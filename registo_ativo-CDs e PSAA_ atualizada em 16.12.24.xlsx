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AMJ\ADDEPS\"/>
    </mc:Choice>
  </mc:AlternateContent>
  <xr:revisionPtr revIDLastSave="0" documentId="13_ncr:1_{37CA6E58-5C56-4516-BBC1-AE839036371E}" xr6:coauthVersionLast="47" xr6:coauthVersionMax="47" xr10:uidLastSave="{00000000-0000-0000-0000-000000000000}"/>
  <bookViews>
    <workbookView xWindow="-108" yWindow="-108" windowWidth="23256" windowHeight="13176" xr2:uid="{26444989-F5D1-4315-BD7A-39E2B78FE0BC}"/>
  </bookViews>
  <sheets>
    <sheet name="registo_ativo-CDs (1)" sheetId="1" r:id="rId1"/>
    <sheet name="Checklist" sheetId="8" r:id="rId2"/>
    <sheet name="Localizacoes" sheetId="2" r:id="rId3"/>
    <sheet name="ID" sheetId="5" r:id="rId4"/>
    <sheet name="Imagens" sheetId="6" r:id="rId5"/>
  </sheets>
  <externalReferences>
    <externalReference r:id="rId6"/>
  </externalReferences>
  <definedNames>
    <definedName name="_xlnm._FilterDatabase" localSheetId="0" hidden="1">'registo_ativo-CDs (1)'!$A$1:$AI$800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501" i="1" l="1"/>
  <c r="AH501" i="1" s="1"/>
  <c r="AF501" i="1"/>
  <c r="Z501" i="1"/>
  <c r="S501" i="1"/>
  <c r="R501" i="1"/>
  <c r="P501" i="1"/>
  <c r="O501" i="1"/>
  <c r="M501" i="1"/>
  <c r="L501" i="1"/>
  <c r="J501" i="1"/>
  <c r="I501" i="1"/>
  <c r="AG500" i="1"/>
  <c r="AH500" i="1" s="1"/>
  <c r="AF500" i="1"/>
  <c r="Z500" i="1"/>
  <c r="S500" i="1"/>
  <c r="R500" i="1"/>
  <c r="P500" i="1"/>
  <c r="O500" i="1"/>
  <c r="M500" i="1"/>
  <c r="L500" i="1"/>
  <c r="J500" i="1"/>
  <c r="I500" i="1"/>
  <c r="G500" i="1"/>
  <c r="B500" i="1" s="1"/>
  <c r="A500" i="1" s="1"/>
  <c r="F500" i="1"/>
  <c r="C500" i="1" s="1"/>
  <c r="AF467" i="1"/>
  <c r="AG467" i="1" s="1"/>
  <c r="AH467" i="1" s="1"/>
  <c r="Z467" i="1"/>
  <c r="S467" i="1"/>
  <c r="R467" i="1"/>
  <c r="P467" i="1"/>
  <c r="O467" i="1"/>
  <c r="M467" i="1"/>
  <c r="L467" i="1"/>
  <c r="J467" i="1"/>
  <c r="B467" i="1" s="1"/>
  <c r="A467" i="1" s="1"/>
  <c r="I467" i="1"/>
  <c r="I465" i="1"/>
  <c r="I466" i="1"/>
  <c r="I464" i="1"/>
  <c r="AF465" i="1"/>
  <c r="AG465" i="1" s="1"/>
  <c r="AH465" i="1" s="1"/>
  <c r="Z465" i="1"/>
  <c r="S465" i="1"/>
  <c r="R465" i="1"/>
  <c r="P465" i="1"/>
  <c r="O465" i="1"/>
  <c r="M465" i="1"/>
  <c r="L465" i="1"/>
  <c r="J465" i="1"/>
  <c r="AF466" i="1"/>
  <c r="AG466" i="1" s="1"/>
  <c r="AH466" i="1" s="1"/>
  <c r="Z466" i="1"/>
  <c r="S466" i="1"/>
  <c r="R466" i="1"/>
  <c r="P466" i="1"/>
  <c r="O466" i="1"/>
  <c r="M466" i="1"/>
  <c r="L466" i="1"/>
  <c r="J466" i="1"/>
  <c r="G466" i="1"/>
  <c r="F466" i="1"/>
  <c r="AF464" i="1"/>
  <c r="AG464" i="1" s="1"/>
  <c r="AH464" i="1" s="1"/>
  <c r="Z464" i="1"/>
  <c r="S464" i="1"/>
  <c r="R464" i="1"/>
  <c r="P464" i="1"/>
  <c r="O464" i="1"/>
  <c r="M464" i="1"/>
  <c r="L464" i="1"/>
  <c r="J464" i="1"/>
  <c r="AF463" i="1"/>
  <c r="AG463" i="1" s="1"/>
  <c r="AH463" i="1" s="1"/>
  <c r="Z463" i="1"/>
  <c r="S463" i="1"/>
  <c r="R463" i="1"/>
  <c r="P463" i="1"/>
  <c r="O463" i="1"/>
  <c r="M463" i="1"/>
  <c r="L463" i="1"/>
  <c r="J463" i="1"/>
  <c r="I463" i="1"/>
  <c r="G463" i="1"/>
  <c r="F463" i="1"/>
  <c r="AF381" i="1"/>
  <c r="AG381" i="1" s="1"/>
  <c r="AH381" i="1" s="1"/>
  <c r="Z381" i="1"/>
  <c r="S381" i="1"/>
  <c r="R381" i="1"/>
  <c r="P381" i="1"/>
  <c r="O381" i="1"/>
  <c r="M381" i="1"/>
  <c r="L381" i="1"/>
  <c r="J381" i="1"/>
  <c r="I381" i="1"/>
  <c r="G381" i="1"/>
  <c r="B381" i="1" s="1"/>
  <c r="A381" i="1" s="1"/>
  <c r="F381" i="1"/>
  <c r="AF324" i="1"/>
  <c r="AG324" i="1" s="1"/>
  <c r="AH324" i="1" s="1"/>
  <c r="Z324" i="1"/>
  <c r="S324" i="1"/>
  <c r="R324" i="1"/>
  <c r="P324" i="1"/>
  <c r="O324" i="1"/>
  <c r="M324" i="1"/>
  <c r="L324" i="1"/>
  <c r="J324" i="1"/>
  <c r="I324" i="1"/>
  <c r="G324" i="1"/>
  <c r="F324" i="1"/>
  <c r="AF291" i="1"/>
  <c r="AG291" i="1" s="1"/>
  <c r="AH291" i="1" s="1"/>
  <c r="Z291" i="1"/>
  <c r="S291" i="1"/>
  <c r="R291" i="1"/>
  <c r="P291" i="1"/>
  <c r="O291" i="1"/>
  <c r="M291" i="1"/>
  <c r="L291" i="1"/>
  <c r="J291" i="1"/>
  <c r="I291" i="1"/>
  <c r="G291" i="1"/>
  <c r="F291" i="1"/>
  <c r="AF289" i="1"/>
  <c r="AG289" i="1" s="1"/>
  <c r="AH289" i="1" s="1"/>
  <c r="Z289" i="1"/>
  <c r="S289" i="1"/>
  <c r="R289" i="1"/>
  <c r="P289" i="1"/>
  <c r="O289" i="1"/>
  <c r="M289" i="1"/>
  <c r="L289" i="1"/>
  <c r="J289" i="1"/>
  <c r="I289" i="1"/>
  <c r="G289" i="1"/>
  <c r="F289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AF191" i="1"/>
  <c r="AG191" i="1" s="1"/>
  <c r="AH191" i="1" s="1"/>
  <c r="Z191" i="1"/>
  <c r="S191" i="1"/>
  <c r="R191" i="1"/>
  <c r="P191" i="1"/>
  <c r="O191" i="1"/>
  <c r="M191" i="1"/>
  <c r="L191" i="1"/>
  <c r="J191" i="1"/>
  <c r="I191" i="1"/>
  <c r="G191" i="1"/>
  <c r="F191" i="1"/>
  <c r="AF190" i="1"/>
  <c r="AG190" i="1" s="1"/>
  <c r="AH190" i="1" s="1"/>
  <c r="Z190" i="1"/>
  <c r="S190" i="1"/>
  <c r="R190" i="1"/>
  <c r="P190" i="1"/>
  <c r="O190" i="1"/>
  <c r="M190" i="1"/>
  <c r="L190" i="1"/>
  <c r="J190" i="1"/>
  <c r="I190" i="1"/>
  <c r="G190" i="1"/>
  <c r="F190" i="1"/>
  <c r="AF188" i="1"/>
  <c r="AG188" i="1" s="1"/>
  <c r="AH188" i="1" s="1"/>
  <c r="Z188" i="1"/>
  <c r="S188" i="1"/>
  <c r="R188" i="1"/>
  <c r="P188" i="1"/>
  <c r="O188" i="1"/>
  <c r="M188" i="1"/>
  <c r="L188" i="1"/>
  <c r="J188" i="1"/>
  <c r="I188" i="1"/>
  <c r="G188" i="1"/>
  <c r="F188" i="1"/>
  <c r="AF187" i="1"/>
  <c r="AG187" i="1" s="1"/>
  <c r="AH187" i="1" s="1"/>
  <c r="Z187" i="1"/>
  <c r="S187" i="1"/>
  <c r="R187" i="1"/>
  <c r="P187" i="1"/>
  <c r="O187" i="1"/>
  <c r="M187" i="1"/>
  <c r="L187" i="1"/>
  <c r="J187" i="1"/>
  <c r="I187" i="1"/>
  <c r="G187" i="1"/>
  <c r="F187" i="1"/>
  <c r="AF696" i="1"/>
  <c r="AG696" i="1" s="1"/>
  <c r="AF656" i="1"/>
  <c r="AG656" i="1" s="1"/>
  <c r="AH656" i="1" s="1"/>
  <c r="AF657" i="1"/>
  <c r="AG657" i="1" s="1"/>
  <c r="AH657" i="1" s="1"/>
  <c r="AF658" i="1"/>
  <c r="AG658" i="1" s="1"/>
  <c r="AH658" i="1" s="1"/>
  <c r="AF659" i="1"/>
  <c r="AG659" i="1" s="1"/>
  <c r="AH659" i="1" s="1"/>
  <c r="AF660" i="1"/>
  <c r="AG660" i="1" s="1"/>
  <c r="AH660" i="1" s="1"/>
  <c r="AF661" i="1"/>
  <c r="AG661" i="1" s="1"/>
  <c r="AH661" i="1" s="1"/>
  <c r="AF662" i="1"/>
  <c r="AG662" i="1" s="1"/>
  <c r="AH662" i="1" s="1"/>
  <c r="AF663" i="1"/>
  <c r="AG663" i="1" s="1"/>
  <c r="AH663" i="1" s="1"/>
  <c r="AF664" i="1"/>
  <c r="AG664" i="1" s="1"/>
  <c r="AH664" i="1" s="1"/>
  <c r="AF665" i="1"/>
  <c r="AG665" i="1" s="1"/>
  <c r="AH665" i="1" s="1"/>
  <c r="AF666" i="1"/>
  <c r="AG666" i="1" s="1"/>
  <c r="AH666" i="1" s="1"/>
  <c r="AF667" i="1"/>
  <c r="AG667" i="1" s="1"/>
  <c r="AH667" i="1" s="1"/>
  <c r="AF668" i="1"/>
  <c r="AG668" i="1" s="1"/>
  <c r="AH668" i="1" s="1"/>
  <c r="AF669" i="1"/>
  <c r="AG669" i="1" s="1"/>
  <c r="AH669" i="1" s="1"/>
  <c r="AF670" i="1"/>
  <c r="AF671" i="1"/>
  <c r="AG671" i="1" s="1"/>
  <c r="AH671" i="1" s="1"/>
  <c r="AF672" i="1"/>
  <c r="AG672" i="1" s="1"/>
  <c r="AH672" i="1" s="1"/>
  <c r="AF673" i="1"/>
  <c r="AG673" i="1" s="1"/>
  <c r="AH673" i="1" s="1"/>
  <c r="AF674" i="1"/>
  <c r="AG674" i="1" s="1"/>
  <c r="AH674" i="1" s="1"/>
  <c r="AF675" i="1"/>
  <c r="AG675" i="1" s="1"/>
  <c r="AH675" i="1" s="1"/>
  <c r="AF676" i="1"/>
  <c r="AG676" i="1" s="1"/>
  <c r="AH676" i="1" s="1"/>
  <c r="AF677" i="1"/>
  <c r="AG677" i="1" s="1"/>
  <c r="AH677" i="1" s="1"/>
  <c r="AF678" i="1"/>
  <c r="AG678" i="1" s="1"/>
  <c r="AH678" i="1" s="1"/>
  <c r="AF679" i="1"/>
  <c r="AG679" i="1" s="1"/>
  <c r="AH679" i="1" s="1"/>
  <c r="AF680" i="1"/>
  <c r="AG680" i="1" s="1"/>
  <c r="AH680" i="1" s="1"/>
  <c r="AF681" i="1"/>
  <c r="AG681" i="1" s="1"/>
  <c r="AH681" i="1" s="1"/>
  <c r="AF682" i="1"/>
  <c r="AG682" i="1" s="1"/>
  <c r="AH682" i="1" s="1"/>
  <c r="AF683" i="1"/>
  <c r="AG683" i="1" s="1"/>
  <c r="AH683" i="1" s="1"/>
  <c r="AF684" i="1"/>
  <c r="AG684" i="1" s="1"/>
  <c r="AH684" i="1" s="1"/>
  <c r="AF685" i="1"/>
  <c r="AG685" i="1" s="1"/>
  <c r="AH685" i="1" s="1"/>
  <c r="AF686" i="1"/>
  <c r="AG686" i="1" s="1"/>
  <c r="AH686" i="1" s="1"/>
  <c r="AF687" i="1"/>
  <c r="AG687" i="1" s="1"/>
  <c r="AH687" i="1" s="1"/>
  <c r="AF688" i="1"/>
  <c r="AG688" i="1" s="1"/>
  <c r="AH688" i="1" s="1"/>
  <c r="AF689" i="1"/>
  <c r="AG689" i="1" s="1"/>
  <c r="AH689" i="1" s="1"/>
  <c r="AF690" i="1"/>
  <c r="AG690" i="1" s="1"/>
  <c r="AH690" i="1" s="1"/>
  <c r="AF691" i="1"/>
  <c r="AG691" i="1" s="1"/>
  <c r="AH691" i="1" s="1"/>
  <c r="AF692" i="1"/>
  <c r="AG692" i="1" s="1"/>
  <c r="AH692" i="1" s="1"/>
  <c r="AF693" i="1"/>
  <c r="AG693" i="1" s="1"/>
  <c r="AH693" i="1" s="1"/>
  <c r="AF694" i="1"/>
  <c r="AG694" i="1" s="1"/>
  <c r="AH694" i="1" s="1"/>
  <c r="AF695" i="1"/>
  <c r="AG695" i="1" s="1"/>
  <c r="AH695" i="1" s="1"/>
  <c r="AF697" i="1"/>
  <c r="AG697" i="1" s="1"/>
  <c r="AH697" i="1" s="1"/>
  <c r="AF652" i="1"/>
  <c r="AG652" i="1" s="1"/>
  <c r="AH652" i="1" s="1"/>
  <c r="AF653" i="1"/>
  <c r="AG653" i="1" s="1"/>
  <c r="AH653" i="1" s="1"/>
  <c r="AF654" i="1"/>
  <c r="AG654" i="1" s="1"/>
  <c r="AH654" i="1" s="1"/>
  <c r="AF655" i="1"/>
  <c r="AG655" i="1" s="1"/>
  <c r="AH655" i="1" s="1"/>
  <c r="AF651" i="1"/>
  <c r="AG651" i="1" s="1"/>
  <c r="AH651" i="1" s="1"/>
  <c r="AF650" i="1"/>
  <c r="AG650" i="1" s="1"/>
  <c r="AH650" i="1" s="1"/>
  <c r="AF649" i="1"/>
  <c r="AG649" i="1" s="1"/>
  <c r="AH649" i="1" s="1"/>
  <c r="AF647" i="1"/>
  <c r="AG647" i="1" s="1"/>
  <c r="AH647" i="1" s="1"/>
  <c r="AF646" i="1"/>
  <c r="AG646" i="1" s="1"/>
  <c r="AH646" i="1" s="1"/>
  <c r="AF645" i="1"/>
  <c r="AG645" i="1" s="1"/>
  <c r="AH645" i="1" s="1"/>
  <c r="AF643" i="1"/>
  <c r="AG643" i="1" s="1"/>
  <c r="AH643" i="1" s="1"/>
  <c r="AF642" i="1"/>
  <c r="AG642" i="1" s="1"/>
  <c r="AH642" i="1" s="1"/>
  <c r="AG648" i="1"/>
  <c r="AH648" i="1" s="1"/>
  <c r="AF641" i="1"/>
  <c r="AG641" i="1" s="1"/>
  <c r="AH641" i="1" s="1"/>
  <c r="AF639" i="1"/>
  <c r="AG639" i="1" s="1"/>
  <c r="AH639" i="1" s="1"/>
  <c r="AF638" i="1"/>
  <c r="AG638" i="1" s="1"/>
  <c r="AH638" i="1" s="1"/>
  <c r="AF586" i="1"/>
  <c r="AF637" i="1"/>
  <c r="AG637" i="1" s="1"/>
  <c r="AH637" i="1" s="1"/>
  <c r="AG640" i="1"/>
  <c r="AH640" i="1" s="1"/>
  <c r="AG644" i="1"/>
  <c r="AH644" i="1" s="1"/>
  <c r="AG670" i="1"/>
  <c r="AH670" i="1" s="1"/>
  <c r="AF620" i="1"/>
  <c r="AG620" i="1" s="1"/>
  <c r="AH620" i="1" s="1"/>
  <c r="AF619" i="1"/>
  <c r="AG619" i="1" s="1"/>
  <c r="AH619" i="1" s="1"/>
  <c r="AF622" i="1"/>
  <c r="AG622" i="1" s="1"/>
  <c r="AH622" i="1" s="1"/>
  <c r="AF621" i="1"/>
  <c r="AG621" i="1" s="1"/>
  <c r="AH621" i="1" s="1"/>
  <c r="AF624" i="1"/>
  <c r="AG624" i="1" s="1"/>
  <c r="AH624" i="1" s="1"/>
  <c r="AF623" i="1"/>
  <c r="AG623" i="1" s="1"/>
  <c r="AH623" i="1" s="1"/>
  <c r="AF626" i="1"/>
  <c r="AG626" i="1" s="1"/>
  <c r="AH626" i="1" s="1"/>
  <c r="AF625" i="1"/>
  <c r="AG625" i="1" s="1"/>
  <c r="AH625" i="1" s="1"/>
  <c r="AF628" i="1"/>
  <c r="AG628" i="1" s="1"/>
  <c r="AH628" i="1" s="1"/>
  <c r="AF627" i="1"/>
  <c r="AG627" i="1" s="1"/>
  <c r="AH627" i="1" s="1"/>
  <c r="AF630" i="1"/>
  <c r="AG630" i="1" s="1"/>
  <c r="AH630" i="1" s="1"/>
  <c r="AF629" i="1"/>
  <c r="AG629" i="1" s="1"/>
  <c r="AH629" i="1" s="1"/>
  <c r="AF632" i="1"/>
  <c r="AG632" i="1" s="1"/>
  <c r="AH632" i="1" s="1"/>
  <c r="AF631" i="1"/>
  <c r="AG631" i="1" s="1"/>
  <c r="AH631" i="1" s="1"/>
  <c r="AF634" i="1"/>
  <c r="AG634" i="1" s="1"/>
  <c r="AH634" i="1" s="1"/>
  <c r="AF633" i="1"/>
  <c r="AG633" i="1" s="1"/>
  <c r="AH633" i="1" s="1"/>
  <c r="AF636" i="1"/>
  <c r="AG636" i="1" s="1"/>
  <c r="AH636" i="1" s="1"/>
  <c r="AF635" i="1"/>
  <c r="AG635" i="1" s="1"/>
  <c r="AH635" i="1" s="1"/>
  <c r="AF618" i="1"/>
  <c r="AG618" i="1" s="1"/>
  <c r="AH618" i="1" s="1"/>
  <c r="AF617" i="1"/>
  <c r="AG617" i="1" s="1"/>
  <c r="AH617" i="1" s="1"/>
  <c r="AF616" i="1"/>
  <c r="AG616" i="1" s="1"/>
  <c r="AH616" i="1" s="1"/>
  <c r="AF615" i="1"/>
  <c r="AG615" i="1" s="1"/>
  <c r="AH615" i="1" s="1"/>
  <c r="AF614" i="1"/>
  <c r="AG614" i="1" s="1"/>
  <c r="AH614" i="1" s="1"/>
  <c r="AF613" i="1"/>
  <c r="AG613" i="1" s="1"/>
  <c r="AH613" i="1" s="1"/>
  <c r="AF612" i="1"/>
  <c r="AG612" i="1" s="1"/>
  <c r="AH612" i="1" s="1"/>
  <c r="AF611" i="1"/>
  <c r="AG611" i="1" s="1"/>
  <c r="AH611" i="1" s="1"/>
  <c r="AF610" i="1"/>
  <c r="AG610" i="1" s="1"/>
  <c r="AH610" i="1" s="1"/>
  <c r="AF609" i="1"/>
  <c r="AG609" i="1" s="1"/>
  <c r="AH609" i="1" s="1"/>
  <c r="S692" i="1"/>
  <c r="S693" i="1"/>
  <c r="S694" i="1"/>
  <c r="S695" i="1"/>
  <c r="S696" i="1"/>
  <c r="S697" i="1"/>
  <c r="R692" i="1"/>
  <c r="R693" i="1"/>
  <c r="R694" i="1"/>
  <c r="R695" i="1"/>
  <c r="R696" i="1"/>
  <c r="R697" i="1"/>
  <c r="G697" i="1"/>
  <c r="F696" i="1"/>
  <c r="F697" i="1"/>
  <c r="G692" i="1"/>
  <c r="G693" i="1"/>
  <c r="G694" i="1"/>
  <c r="G695" i="1"/>
  <c r="G696" i="1"/>
  <c r="F692" i="1"/>
  <c r="F693" i="1"/>
  <c r="F694" i="1"/>
  <c r="F695" i="1"/>
  <c r="AF117" i="1"/>
  <c r="Z117" i="1"/>
  <c r="S117" i="1"/>
  <c r="R117" i="1"/>
  <c r="P117" i="1"/>
  <c r="O117" i="1"/>
  <c r="M117" i="1"/>
  <c r="L117" i="1"/>
  <c r="J117" i="1"/>
  <c r="I117" i="1"/>
  <c r="G117" i="1"/>
  <c r="F117" i="1"/>
  <c r="AF116" i="1"/>
  <c r="Z116" i="1"/>
  <c r="S116" i="1"/>
  <c r="R116" i="1"/>
  <c r="P116" i="1"/>
  <c r="O116" i="1"/>
  <c r="M116" i="1"/>
  <c r="L116" i="1"/>
  <c r="J116" i="1"/>
  <c r="I116" i="1"/>
  <c r="G116" i="1"/>
  <c r="F116" i="1"/>
  <c r="AF115" i="1"/>
  <c r="Z115" i="1"/>
  <c r="S115" i="1"/>
  <c r="R115" i="1"/>
  <c r="P115" i="1"/>
  <c r="O115" i="1"/>
  <c r="M115" i="1"/>
  <c r="L115" i="1"/>
  <c r="J115" i="1"/>
  <c r="I115" i="1"/>
  <c r="G115" i="1"/>
  <c r="F115" i="1"/>
  <c r="C501" i="1" l="1"/>
  <c r="B501" i="1"/>
  <c r="A501" i="1" s="1"/>
  <c r="B465" i="1"/>
  <c r="A465" i="1" s="1"/>
  <c r="C467" i="1"/>
  <c r="C465" i="1"/>
  <c r="C381" i="1"/>
  <c r="B464" i="1"/>
  <c r="A464" i="1" s="1"/>
  <c r="C466" i="1"/>
  <c r="B466" i="1"/>
  <c r="A466" i="1" s="1"/>
  <c r="C464" i="1"/>
  <c r="C463" i="1"/>
  <c r="B463" i="1"/>
  <c r="A463" i="1" s="1"/>
  <c r="B291" i="1"/>
  <c r="A291" i="1" s="1"/>
  <c r="B324" i="1"/>
  <c r="A324" i="1" s="1"/>
  <c r="C324" i="1"/>
  <c r="B191" i="1"/>
  <c r="A191" i="1" s="1"/>
  <c r="C291" i="1"/>
  <c r="B187" i="1"/>
  <c r="A187" i="1" s="1"/>
  <c r="C289" i="1"/>
  <c r="B289" i="1"/>
  <c r="A289" i="1" s="1"/>
  <c r="B190" i="1"/>
  <c r="A190" i="1" s="1"/>
  <c r="C188" i="1"/>
  <c r="C190" i="1"/>
  <c r="C191" i="1"/>
  <c r="B188" i="1"/>
  <c r="A188" i="1" s="1"/>
  <c r="C187" i="1"/>
  <c r="AH696" i="1"/>
  <c r="B117" i="1"/>
  <c r="A117" i="1" s="1"/>
  <c r="C116" i="1"/>
  <c r="C117" i="1"/>
  <c r="B116" i="1"/>
  <c r="A116" i="1" s="1"/>
  <c r="C115" i="1"/>
  <c r="B115" i="1"/>
  <c r="A115" i="1" s="1"/>
  <c r="AF574" i="1"/>
  <c r="S574" i="1"/>
  <c r="R574" i="1"/>
  <c r="P574" i="1"/>
  <c r="O574" i="1"/>
  <c r="M574" i="1"/>
  <c r="L574" i="1"/>
  <c r="J574" i="1"/>
  <c r="I574" i="1"/>
  <c r="G574" i="1"/>
  <c r="F574" i="1"/>
  <c r="AF573" i="1"/>
  <c r="S573" i="1"/>
  <c r="P573" i="1"/>
  <c r="O573" i="1"/>
  <c r="M573" i="1"/>
  <c r="L573" i="1"/>
  <c r="J573" i="1"/>
  <c r="I573" i="1"/>
  <c r="G573" i="1"/>
  <c r="F573" i="1"/>
  <c r="AF572" i="1"/>
  <c r="S572" i="1"/>
  <c r="P572" i="1"/>
  <c r="O572" i="1"/>
  <c r="M572" i="1"/>
  <c r="L572" i="1"/>
  <c r="J572" i="1"/>
  <c r="I572" i="1"/>
  <c r="G572" i="1"/>
  <c r="F572" i="1"/>
  <c r="AF571" i="1"/>
  <c r="S571" i="1"/>
  <c r="R571" i="1"/>
  <c r="P571" i="1"/>
  <c r="O571" i="1"/>
  <c r="M571" i="1"/>
  <c r="L571" i="1"/>
  <c r="J571" i="1"/>
  <c r="I571" i="1"/>
  <c r="G571" i="1"/>
  <c r="F571" i="1"/>
  <c r="AF570" i="1"/>
  <c r="S570" i="1"/>
  <c r="R570" i="1"/>
  <c r="P570" i="1"/>
  <c r="O570" i="1"/>
  <c r="M570" i="1"/>
  <c r="L570" i="1"/>
  <c r="J570" i="1"/>
  <c r="I570" i="1"/>
  <c r="G570" i="1"/>
  <c r="F570" i="1"/>
  <c r="AF569" i="1"/>
  <c r="S569" i="1"/>
  <c r="R569" i="1"/>
  <c r="P569" i="1"/>
  <c r="O569" i="1"/>
  <c r="M569" i="1"/>
  <c r="L569" i="1"/>
  <c r="J569" i="1"/>
  <c r="I569" i="1"/>
  <c r="G569" i="1"/>
  <c r="F569" i="1"/>
  <c r="AF568" i="1"/>
  <c r="S568" i="1"/>
  <c r="R568" i="1"/>
  <c r="P568" i="1"/>
  <c r="O568" i="1"/>
  <c r="M568" i="1"/>
  <c r="L568" i="1"/>
  <c r="J568" i="1"/>
  <c r="I568" i="1"/>
  <c r="G568" i="1"/>
  <c r="F568" i="1"/>
  <c r="AF567" i="1"/>
  <c r="S567" i="1"/>
  <c r="R567" i="1"/>
  <c r="P567" i="1"/>
  <c r="O567" i="1"/>
  <c r="M567" i="1"/>
  <c r="L567" i="1"/>
  <c r="J567" i="1"/>
  <c r="I567" i="1"/>
  <c r="G567" i="1"/>
  <c r="F567" i="1"/>
  <c r="AF566" i="1"/>
  <c r="S566" i="1"/>
  <c r="R566" i="1"/>
  <c r="P566" i="1"/>
  <c r="O566" i="1"/>
  <c r="M566" i="1"/>
  <c r="L566" i="1"/>
  <c r="J566" i="1"/>
  <c r="I566" i="1"/>
  <c r="G566" i="1"/>
  <c r="F566" i="1"/>
  <c r="AF565" i="1"/>
  <c r="S565" i="1"/>
  <c r="R565" i="1"/>
  <c r="P565" i="1"/>
  <c r="O565" i="1"/>
  <c r="M565" i="1"/>
  <c r="L565" i="1"/>
  <c r="J565" i="1"/>
  <c r="I565" i="1"/>
  <c r="G565" i="1"/>
  <c r="F565" i="1"/>
  <c r="AF564" i="1"/>
  <c r="S564" i="1"/>
  <c r="R564" i="1"/>
  <c r="P564" i="1"/>
  <c r="O564" i="1"/>
  <c r="M564" i="1"/>
  <c r="L564" i="1"/>
  <c r="J564" i="1"/>
  <c r="I564" i="1"/>
  <c r="G564" i="1"/>
  <c r="F564" i="1"/>
  <c r="AF563" i="1"/>
  <c r="S563" i="1"/>
  <c r="R563" i="1"/>
  <c r="P563" i="1"/>
  <c r="O563" i="1"/>
  <c r="M563" i="1"/>
  <c r="L563" i="1"/>
  <c r="J563" i="1"/>
  <c r="I563" i="1"/>
  <c r="G563" i="1"/>
  <c r="F563" i="1"/>
  <c r="AF562" i="1"/>
  <c r="S562" i="1"/>
  <c r="R562" i="1"/>
  <c r="P562" i="1"/>
  <c r="O562" i="1"/>
  <c r="M562" i="1"/>
  <c r="L562" i="1"/>
  <c r="J562" i="1"/>
  <c r="I562" i="1"/>
  <c r="G562" i="1"/>
  <c r="F562" i="1"/>
  <c r="AF214" i="1"/>
  <c r="Z214" i="1"/>
  <c r="S214" i="1"/>
  <c r="R214" i="1"/>
  <c r="P214" i="1"/>
  <c r="O214" i="1"/>
  <c r="M214" i="1"/>
  <c r="L214" i="1"/>
  <c r="J214" i="1"/>
  <c r="I214" i="1"/>
  <c r="G214" i="1"/>
  <c r="F214" i="1"/>
  <c r="F244" i="1"/>
  <c r="G244" i="1"/>
  <c r="I244" i="1"/>
  <c r="J244" i="1"/>
  <c r="L244" i="1"/>
  <c r="M244" i="1"/>
  <c r="O244" i="1"/>
  <c r="P244" i="1"/>
  <c r="R244" i="1"/>
  <c r="S244" i="1"/>
  <c r="Z244" i="1"/>
  <c r="AF244" i="1"/>
  <c r="AF306" i="1"/>
  <c r="Z306" i="1"/>
  <c r="S306" i="1"/>
  <c r="R306" i="1"/>
  <c r="P306" i="1"/>
  <c r="O306" i="1"/>
  <c r="M306" i="1"/>
  <c r="L306" i="1"/>
  <c r="J306" i="1"/>
  <c r="I306" i="1"/>
  <c r="G306" i="1"/>
  <c r="F306" i="1"/>
  <c r="J307" i="1"/>
  <c r="L307" i="1"/>
  <c r="M307" i="1"/>
  <c r="O307" i="1"/>
  <c r="P307" i="1"/>
  <c r="R307" i="1"/>
  <c r="S307" i="1"/>
  <c r="Z307" i="1"/>
  <c r="AF307" i="1"/>
  <c r="AF337" i="1"/>
  <c r="Z337" i="1"/>
  <c r="S337" i="1"/>
  <c r="R337" i="1"/>
  <c r="P337" i="1"/>
  <c r="O337" i="1"/>
  <c r="M337" i="1"/>
  <c r="L337" i="1"/>
  <c r="J337" i="1"/>
  <c r="I337" i="1"/>
  <c r="G337" i="1"/>
  <c r="F337" i="1"/>
  <c r="AF539" i="1"/>
  <c r="Z539" i="1"/>
  <c r="S539" i="1"/>
  <c r="R539" i="1"/>
  <c r="P539" i="1"/>
  <c r="O539" i="1"/>
  <c r="M539" i="1"/>
  <c r="L539" i="1"/>
  <c r="J539" i="1"/>
  <c r="I539" i="1"/>
  <c r="G539" i="1"/>
  <c r="F539" i="1"/>
  <c r="AF513" i="1"/>
  <c r="Z513" i="1"/>
  <c r="S513" i="1"/>
  <c r="R513" i="1"/>
  <c r="P513" i="1"/>
  <c r="O513" i="1"/>
  <c r="M513" i="1"/>
  <c r="L513" i="1"/>
  <c r="J513" i="1"/>
  <c r="I513" i="1"/>
  <c r="G513" i="1"/>
  <c r="F513" i="1"/>
  <c r="AF477" i="1"/>
  <c r="Z477" i="1"/>
  <c r="S477" i="1"/>
  <c r="R477" i="1"/>
  <c r="P477" i="1"/>
  <c r="O477" i="1"/>
  <c r="M477" i="1"/>
  <c r="L477" i="1"/>
  <c r="J477" i="1"/>
  <c r="I477" i="1"/>
  <c r="G477" i="1"/>
  <c r="F477" i="1"/>
  <c r="AF475" i="1"/>
  <c r="Z475" i="1"/>
  <c r="S475" i="1"/>
  <c r="R475" i="1"/>
  <c r="P475" i="1"/>
  <c r="O475" i="1"/>
  <c r="M475" i="1"/>
  <c r="L475" i="1"/>
  <c r="J475" i="1"/>
  <c r="I475" i="1"/>
  <c r="G475" i="1"/>
  <c r="F475" i="1"/>
  <c r="AF474" i="1"/>
  <c r="Z474" i="1"/>
  <c r="S474" i="1"/>
  <c r="R474" i="1"/>
  <c r="P474" i="1"/>
  <c r="O474" i="1"/>
  <c r="M474" i="1"/>
  <c r="L474" i="1"/>
  <c r="J474" i="1"/>
  <c r="I474" i="1"/>
  <c r="G474" i="1"/>
  <c r="F474" i="1"/>
  <c r="AF357" i="1"/>
  <c r="Z357" i="1"/>
  <c r="S357" i="1"/>
  <c r="R357" i="1"/>
  <c r="P357" i="1"/>
  <c r="O357" i="1"/>
  <c r="M357" i="1"/>
  <c r="L357" i="1"/>
  <c r="J357" i="1"/>
  <c r="AF353" i="1"/>
  <c r="Z353" i="1"/>
  <c r="S353" i="1"/>
  <c r="R353" i="1"/>
  <c r="P353" i="1"/>
  <c r="O353" i="1"/>
  <c r="M353" i="1"/>
  <c r="L353" i="1"/>
  <c r="J353" i="1"/>
  <c r="AF352" i="1"/>
  <c r="Z352" i="1"/>
  <c r="S352" i="1"/>
  <c r="R352" i="1"/>
  <c r="P352" i="1"/>
  <c r="O352" i="1"/>
  <c r="M352" i="1"/>
  <c r="L352" i="1"/>
  <c r="J352" i="1"/>
  <c r="AF351" i="1"/>
  <c r="Z351" i="1"/>
  <c r="S351" i="1"/>
  <c r="R351" i="1"/>
  <c r="P351" i="1"/>
  <c r="O351" i="1"/>
  <c r="M351" i="1"/>
  <c r="L351" i="1"/>
  <c r="J351" i="1"/>
  <c r="AF350" i="1"/>
  <c r="Z350" i="1"/>
  <c r="S350" i="1"/>
  <c r="R350" i="1"/>
  <c r="P350" i="1"/>
  <c r="O350" i="1"/>
  <c r="M350" i="1"/>
  <c r="L350" i="1"/>
  <c r="J350" i="1"/>
  <c r="AF349" i="1"/>
  <c r="Z349" i="1"/>
  <c r="S349" i="1"/>
  <c r="R349" i="1"/>
  <c r="P349" i="1"/>
  <c r="O349" i="1"/>
  <c r="M349" i="1"/>
  <c r="L349" i="1"/>
  <c r="J349" i="1"/>
  <c r="AF237" i="1"/>
  <c r="Z237" i="1"/>
  <c r="S237" i="1"/>
  <c r="R237" i="1"/>
  <c r="P237" i="1"/>
  <c r="O237" i="1"/>
  <c r="M237" i="1"/>
  <c r="L237" i="1"/>
  <c r="J237" i="1"/>
  <c r="I237" i="1"/>
  <c r="G237" i="1"/>
  <c r="F237" i="1"/>
  <c r="AF236" i="1"/>
  <c r="Z236" i="1"/>
  <c r="S236" i="1"/>
  <c r="R236" i="1"/>
  <c r="P236" i="1"/>
  <c r="O236" i="1"/>
  <c r="M236" i="1"/>
  <c r="L236" i="1"/>
  <c r="J236" i="1"/>
  <c r="I236" i="1"/>
  <c r="G236" i="1"/>
  <c r="F236" i="1"/>
  <c r="AF235" i="1"/>
  <c r="Z235" i="1"/>
  <c r="S235" i="1"/>
  <c r="R235" i="1"/>
  <c r="P235" i="1"/>
  <c r="O235" i="1"/>
  <c r="M235" i="1"/>
  <c r="L235" i="1"/>
  <c r="J235" i="1"/>
  <c r="I235" i="1"/>
  <c r="G235" i="1"/>
  <c r="F235" i="1"/>
  <c r="AF234" i="1"/>
  <c r="Z234" i="1"/>
  <c r="S234" i="1"/>
  <c r="R234" i="1"/>
  <c r="P234" i="1"/>
  <c r="O234" i="1"/>
  <c r="M234" i="1"/>
  <c r="L234" i="1"/>
  <c r="J234" i="1"/>
  <c r="I234" i="1"/>
  <c r="G234" i="1"/>
  <c r="F234" i="1"/>
  <c r="AF233" i="1"/>
  <c r="Z233" i="1"/>
  <c r="S233" i="1"/>
  <c r="R233" i="1"/>
  <c r="P233" i="1"/>
  <c r="O233" i="1"/>
  <c r="M233" i="1"/>
  <c r="L233" i="1"/>
  <c r="J233" i="1"/>
  <c r="I233" i="1"/>
  <c r="G233" i="1"/>
  <c r="F233" i="1"/>
  <c r="AF22" i="1"/>
  <c r="Z22" i="1"/>
  <c r="S22" i="1"/>
  <c r="R22" i="1"/>
  <c r="P22" i="1"/>
  <c r="O22" i="1"/>
  <c r="M22" i="1"/>
  <c r="L22" i="1"/>
  <c r="J22" i="1"/>
  <c r="I22" i="1"/>
  <c r="G22" i="1"/>
  <c r="F22" i="1"/>
  <c r="AF21" i="1"/>
  <c r="Z21" i="1"/>
  <c r="S21" i="1"/>
  <c r="R21" i="1"/>
  <c r="P21" i="1"/>
  <c r="O21" i="1"/>
  <c r="M21" i="1"/>
  <c r="L21" i="1"/>
  <c r="J21" i="1"/>
  <c r="I21" i="1"/>
  <c r="G21" i="1"/>
  <c r="F21" i="1"/>
  <c r="AF20" i="1"/>
  <c r="Z20" i="1"/>
  <c r="S20" i="1"/>
  <c r="R20" i="1"/>
  <c r="P20" i="1"/>
  <c r="O20" i="1"/>
  <c r="M20" i="1"/>
  <c r="L20" i="1"/>
  <c r="J20" i="1"/>
  <c r="I20" i="1"/>
  <c r="G20" i="1"/>
  <c r="F20" i="1"/>
  <c r="AF19" i="1"/>
  <c r="Z19" i="1"/>
  <c r="S19" i="1"/>
  <c r="R19" i="1"/>
  <c r="P19" i="1"/>
  <c r="O19" i="1"/>
  <c r="M19" i="1"/>
  <c r="L19" i="1"/>
  <c r="J19" i="1"/>
  <c r="I19" i="1"/>
  <c r="G19" i="1"/>
  <c r="F19" i="1"/>
  <c r="AF18" i="1"/>
  <c r="Z18" i="1"/>
  <c r="S18" i="1"/>
  <c r="R18" i="1"/>
  <c r="P18" i="1"/>
  <c r="O18" i="1"/>
  <c r="M18" i="1"/>
  <c r="L18" i="1"/>
  <c r="J18" i="1"/>
  <c r="I18" i="1"/>
  <c r="G18" i="1"/>
  <c r="F18" i="1"/>
  <c r="AF6" i="1"/>
  <c r="Z6" i="1"/>
  <c r="S6" i="1"/>
  <c r="R6" i="1"/>
  <c r="P6" i="1"/>
  <c r="O6" i="1"/>
  <c r="M6" i="1"/>
  <c r="L6" i="1"/>
  <c r="J6" i="1"/>
  <c r="I6" i="1"/>
  <c r="G6" i="1"/>
  <c r="F6" i="1"/>
  <c r="AF5" i="1"/>
  <c r="Z5" i="1"/>
  <c r="S5" i="1"/>
  <c r="R5" i="1"/>
  <c r="P5" i="1"/>
  <c r="O5" i="1"/>
  <c r="M5" i="1"/>
  <c r="L5" i="1"/>
  <c r="J5" i="1"/>
  <c r="I5" i="1"/>
  <c r="G5" i="1"/>
  <c r="F5" i="1"/>
  <c r="AF4" i="1"/>
  <c r="Z4" i="1"/>
  <c r="S4" i="1"/>
  <c r="R4" i="1"/>
  <c r="P4" i="1"/>
  <c r="O4" i="1"/>
  <c r="M4" i="1"/>
  <c r="L4" i="1"/>
  <c r="J4" i="1"/>
  <c r="I4" i="1"/>
  <c r="G4" i="1"/>
  <c r="F4" i="1"/>
  <c r="AF3" i="1"/>
  <c r="Z3" i="1"/>
  <c r="S3" i="1"/>
  <c r="R3" i="1"/>
  <c r="P3" i="1"/>
  <c r="O3" i="1"/>
  <c r="M3" i="1"/>
  <c r="L3" i="1"/>
  <c r="J3" i="1"/>
  <c r="I3" i="1"/>
  <c r="G3" i="1"/>
  <c r="F3" i="1"/>
  <c r="AF2" i="1"/>
  <c r="Z2" i="1"/>
  <c r="S2" i="1"/>
  <c r="R2" i="1"/>
  <c r="P2" i="1"/>
  <c r="O2" i="1"/>
  <c r="M2" i="1"/>
  <c r="L2" i="1"/>
  <c r="J2" i="1"/>
  <c r="I2" i="1"/>
  <c r="G2" i="1"/>
  <c r="F2" i="1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AF443" i="1"/>
  <c r="Z443" i="1"/>
  <c r="S443" i="1"/>
  <c r="R443" i="1"/>
  <c r="P443" i="1"/>
  <c r="O443" i="1"/>
  <c r="M443" i="1"/>
  <c r="L443" i="1"/>
  <c r="J443" i="1"/>
  <c r="AF299" i="1"/>
  <c r="Z299" i="1"/>
  <c r="S299" i="1"/>
  <c r="R299" i="1"/>
  <c r="P299" i="1"/>
  <c r="O299" i="1"/>
  <c r="M299" i="1"/>
  <c r="L299" i="1"/>
  <c r="J299" i="1"/>
  <c r="AF264" i="1"/>
  <c r="Z264" i="1"/>
  <c r="S264" i="1"/>
  <c r="R264" i="1"/>
  <c r="P264" i="1"/>
  <c r="O264" i="1"/>
  <c r="M264" i="1"/>
  <c r="L264" i="1"/>
  <c r="J264" i="1"/>
  <c r="AF114" i="1"/>
  <c r="Z114" i="1"/>
  <c r="S114" i="1"/>
  <c r="R114" i="1"/>
  <c r="P114" i="1"/>
  <c r="O114" i="1"/>
  <c r="M114" i="1"/>
  <c r="L114" i="1"/>
  <c r="J114" i="1"/>
  <c r="I114" i="1"/>
  <c r="G114" i="1"/>
  <c r="F114" i="1"/>
  <c r="P43" i="5"/>
  <c r="P42" i="5"/>
  <c r="P41" i="5"/>
  <c r="P40" i="5"/>
  <c r="P39" i="5"/>
  <c r="P38" i="5"/>
  <c r="P37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R541" i="1"/>
  <c r="R542" i="1"/>
  <c r="R543" i="1"/>
  <c r="R544" i="1"/>
  <c r="R545" i="1"/>
  <c r="R546" i="1"/>
  <c r="O545" i="1"/>
  <c r="O546" i="1"/>
  <c r="O547" i="1"/>
  <c r="O548" i="1"/>
  <c r="O549" i="1"/>
  <c r="O550" i="1"/>
  <c r="O551" i="1"/>
  <c r="O552" i="1"/>
  <c r="C566" i="1" l="1"/>
  <c r="C570" i="1"/>
  <c r="C572" i="1"/>
  <c r="C573" i="1"/>
  <c r="C564" i="1"/>
  <c r="C567" i="1"/>
  <c r="C563" i="1"/>
  <c r="C568" i="1"/>
  <c r="B571" i="1"/>
  <c r="A571" i="1" s="1"/>
  <c r="B562" i="1"/>
  <c r="A562" i="1" s="1"/>
  <c r="C571" i="1"/>
  <c r="C574" i="1"/>
  <c r="C214" i="1"/>
  <c r="C562" i="1"/>
  <c r="C569" i="1"/>
  <c r="B570" i="1"/>
  <c r="A570" i="1" s="1"/>
  <c r="B214" i="1"/>
  <c r="A214" i="1" s="1"/>
  <c r="B564" i="1"/>
  <c r="A564" i="1" s="1"/>
  <c r="C565" i="1"/>
  <c r="B574" i="1"/>
  <c r="A574" i="1" s="1"/>
  <c r="B573" i="1"/>
  <c r="A573" i="1" s="1"/>
  <c r="B572" i="1"/>
  <c r="A572" i="1" s="1"/>
  <c r="B569" i="1"/>
  <c r="A569" i="1" s="1"/>
  <c r="B568" i="1"/>
  <c r="A568" i="1" s="1"/>
  <c r="B567" i="1"/>
  <c r="A567" i="1" s="1"/>
  <c r="B566" i="1"/>
  <c r="A566" i="1" s="1"/>
  <c r="B565" i="1"/>
  <c r="A565" i="1" s="1"/>
  <c r="B563" i="1"/>
  <c r="A563" i="1" s="1"/>
  <c r="C244" i="1"/>
  <c r="B306" i="1"/>
  <c r="A306" i="1" s="1"/>
  <c r="C307" i="1"/>
  <c r="B244" i="1"/>
  <c r="A244" i="1" s="1"/>
  <c r="B337" i="1"/>
  <c r="A337" i="1" s="1"/>
  <c r="B307" i="1"/>
  <c r="A307" i="1" s="1"/>
  <c r="C306" i="1"/>
  <c r="C337" i="1"/>
  <c r="B539" i="1"/>
  <c r="A539" i="1" s="1"/>
  <c r="C539" i="1"/>
  <c r="B513" i="1"/>
  <c r="A513" i="1" s="1"/>
  <c r="C357" i="1"/>
  <c r="C513" i="1"/>
  <c r="B475" i="1"/>
  <c r="B477" i="1"/>
  <c r="A477" i="1" s="1"/>
  <c r="C477" i="1"/>
  <c r="B474" i="1"/>
  <c r="C475" i="1"/>
  <c r="C474" i="1"/>
  <c r="B357" i="1"/>
  <c r="A357" i="1" s="1"/>
  <c r="C353" i="1"/>
  <c r="B350" i="1"/>
  <c r="A350" i="1" s="1"/>
  <c r="B352" i="1"/>
  <c r="A352" i="1" s="1"/>
  <c r="C350" i="1"/>
  <c r="B236" i="1"/>
  <c r="A236" i="1" s="1"/>
  <c r="B349" i="1"/>
  <c r="A349" i="1" s="1"/>
  <c r="C352" i="1"/>
  <c r="B353" i="1"/>
  <c r="A353" i="1" s="1"/>
  <c r="C349" i="1"/>
  <c r="B351" i="1"/>
  <c r="A351" i="1" s="1"/>
  <c r="C235" i="1"/>
  <c r="B233" i="1"/>
  <c r="A233" i="1" s="1"/>
  <c r="C351" i="1"/>
  <c r="C236" i="1"/>
  <c r="B234" i="1"/>
  <c r="A234" i="1" s="1"/>
  <c r="C234" i="1"/>
  <c r="C233" i="1"/>
  <c r="C237" i="1"/>
  <c r="B235" i="1"/>
  <c r="A235" i="1" s="1"/>
  <c r="B237" i="1"/>
  <c r="A237" i="1" s="1"/>
  <c r="C19" i="1"/>
  <c r="B22" i="1"/>
  <c r="A22" i="1" s="1"/>
  <c r="C20" i="1"/>
  <c r="B20" i="1"/>
  <c r="A20" i="1" s="1"/>
  <c r="B6" i="1"/>
  <c r="A6" i="1" s="1"/>
  <c r="B4" i="1"/>
  <c r="A4" i="1" s="1"/>
  <c r="C21" i="1"/>
  <c r="C22" i="1"/>
  <c r="B19" i="1"/>
  <c r="A19" i="1" s="1"/>
  <c r="C5" i="1"/>
  <c r="C18" i="1"/>
  <c r="B18" i="1"/>
  <c r="A18" i="1" s="1"/>
  <c r="B21" i="1"/>
  <c r="A21" i="1" s="1"/>
  <c r="B5" i="1"/>
  <c r="A5" i="1" s="1"/>
  <c r="C4" i="1"/>
  <c r="C6" i="1"/>
  <c r="C3" i="1"/>
  <c r="C2" i="1"/>
  <c r="B2" i="1"/>
  <c r="A2" i="1" s="1"/>
  <c r="B3" i="1"/>
  <c r="A3" i="1" s="1"/>
  <c r="C264" i="1"/>
  <c r="B299" i="1"/>
  <c r="A299" i="1" s="1"/>
  <c r="C299" i="1"/>
  <c r="B443" i="1"/>
  <c r="A443" i="1" s="1"/>
  <c r="C443" i="1"/>
  <c r="B264" i="1"/>
  <c r="A264" i="1" s="1"/>
  <c r="C114" i="1"/>
  <c r="B114" i="1"/>
  <c r="A114" i="1" s="1"/>
  <c r="J575" i="1" l="1"/>
  <c r="J576" i="1"/>
  <c r="J577" i="1"/>
  <c r="I575" i="1"/>
  <c r="I576" i="1"/>
  <c r="I577" i="1"/>
  <c r="S691" i="1"/>
  <c r="R691" i="1"/>
  <c r="P691" i="1"/>
  <c r="O691" i="1"/>
  <c r="M691" i="1"/>
  <c r="L691" i="1"/>
  <c r="S690" i="1"/>
  <c r="R690" i="1"/>
  <c r="P690" i="1"/>
  <c r="O690" i="1"/>
  <c r="M690" i="1"/>
  <c r="S689" i="1"/>
  <c r="R689" i="1"/>
  <c r="P689" i="1"/>
  <c r="O689" i="1"/>
  <c r="M689" i="1"/>
  <c r="S688" i="1"/>
  <c r="R688" i="1"/>
  <c r="P688" i="1"/>
  <c r="O688" i="1"/>
  <c r="M688" i="1"/>
  <c r="S687" i="1"/>
  <c r="R687" i="1"/>
  <c r="P687" i="1"/>
  <c r="O687" i="1"/>
  <c r="M687" i="1"/>
  <c r="S686" i="1"/>
  <c r="R686" i="1"/>
  <c r="P686" i="1"/>
  <c r="O686" i="1"/>
  <c r="M686" i="1"/>
  <c r="L686" i="1"/>
  <c r="S685" i="1"/>
  <c r="R685" i="1"/>
  <c r="P685" i="1"/>
  <c r="O685" i="1"/>
  <c r="M685" i="1"/>
  <c r="S684" i="1"/>
  <c r="R684" i="1"/>
  <c r="P684" i="1"/>
  <c r="O684" i="1"/>
  <c r="M684" i="1"/>
  <c r="S683" i="1"/>
  <c r="R683" i="1"/>
  <c r="P683" i="1"/>
  <c r="O683" i="1"/>
  <c r="M683" i="1"/>
  <c r="S682" i="1"/>
  <c r="R682" i="1"/>
  <c r="P682" i="1"/>
  <c r="O682" i="1"/>
  <c r="M682" i="1"/>
  <c r="S681" i="1"/>
  <c r="R681" i="1"/>
  <c r="P681" i="1"/>
  <c r="O681" i="1"/>
  <c r="M681" i="1"/>
  <c r="L681" i="1"/>
  <c r="S680" i="1"/>
  <c r="R680" i="1"/>
  <c r="P680" i="1"/>
  <c r="O680" i="1"/>
  <c r="M680" i="1"/>
  <c r="S679" i="1"/>
  <c r="R679" i="1"/>
  <c r="P679" i="1"/>
  <c r="O679" i="1"/>
  <c r="M679" i="1"/>
  <c r="S678" i="1"/>
  <c r="R678" i="1"/>
  <c r="P678" i="1"/>
  <c r="O678" i="1"/>
  <c r="M678" i="1"/>
  <c r="S677" i="1"/>
  <c r="R677" i="1"/>
  <c r="P677" i="1"/>
  <c r="O677" i="1"/>
  <c r="M677" i="1"/>
  <c r="S676" i="1"/>
  <c r="R676" i="1"/>
  <c r="P676" i="1"/>
  <c r="O676" i="1"/>
  <c r="M676" i="1"/>
  <c r="L676" i="1"/>
  <c r="S675" i="1"/>
  <c r="R675" i="1"/>
  <c r="P675" i="1"/>
  <c r="O675" i="1"/>
  <c r="M675" i="1"/>
  <c r="S674" i="1"/>
  <c r="R674" i="1"/>
  <c r="P674" i="1"/>
  <c r="O674" i="1"/>
  <c r="M674" i="1"/>
  <c r="S673" i="1"/>
  <c r="R673" i="1"/>
  <c r="P673" i="1"/>
  <c r="O673" i="1"/>
  <c r="M673" i="1"/>
  <c r="S672" i="1"/>
  <c r="R672" i="1"/>
  <c r="P672" i="1"/>
  <c r="O672" i="1"/>
  <c r="M672" i="1"/>
  <c r="S671" i="1"/>
  <c r="R671" i="1"/>
  <c r="P671" i="1"/>
  <c r="O671" i="1"/>
  <c r="M671" i="1"/>
  <c r="L671" i="1"/>
  <c r="S670" i="1"/>
  <c r="R670" i="1"/>
  <c r="P670" i="1"/>
  <c r="O670" i="1"/>
  <c r="M670" i="1"/>
  <c r="S669" i="1"/>
  <c r="R669" i="1"/>
  <c r="P669" i="1"/>
  <c r="O669" i="1"/>
  <c r="M669" i="1"/>
  <c r="S668" i="1"/>
  <c r="R668" i="1"/>
  <c r="P668" i="1"/>
  <c r="O668" i="1"/>
  <c r="M668" i="1"/>
  <c r="S667" i="1"/>
  <c r="R667" i="1"/>
  <c r="P667" i="1"/>
  <c r="O667" i="1"/>
  <c r="M667" i="1"/>
  <c r="S666" i="1"/>
  <c r="R666" i="1"/>
  <c r="P666" i="1"/>
  <c r="O666" i="1"/>
  <c r="M666" i="1"/>
  <c r="L666" i="1"/>
  <c r="S665" i="1"/>
  <c r="R665" i="1"/>
  <c r="P665" i="1"/>
  <c r="O665" i="1"/>
  <c r="M665" i="1"/>
  <c r="S664" i="1"/>
  <c r="R664" i="1"/>
  <c r="P664" i="1"/>
  <c r="O664" i="1"/>
  <c r="M664" i="1"/>
  <c r="S663" i="1"/>
  <c r="R663" i="1"/>
  <c r="P663" i="1"/>
  <c r="O663" i="1"/>
  <c r="M663" i="1"/>
  <c r="S662" i="1"/>
  <c r="R662" i="1"/>
  <c r="P662" i="1"/>
  <c r="O662" i="1"/>
  <c r="M662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P639" i="1"/>
  <c r="O639" i="1"/>
  <c r="M639" i="1"/>
  <c r="L639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32" i="1"/>
  <c r="G633" i="1"/>
  <c r="G634" i="1"/>
  <c r="G635" i="1"/>
  <c r="R633" i="1"/>
  <c r="R634" i="1"/>
  <c r="R635" i="1"/>
  <c r="S633" i="1"/>
  <c r="S634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S615" i="1"/>
  <c r="S616" i="1"/>
  <c r="S617" i="1"/>
  <c r="R615" i="1"/>
  <c r="R616" i="1"/>
  <c r="R614" i="1"/>
  <c r="S613" i="1"/>
  <c r="S614" i="1"/>
  <c r="S609" i="1"/>
  <c r="S610" i="1"/>
  <c r="S611" i="1"/>
  <c r="S612" i="1"/>
  <c r="R609" i="1"/>
  <c r="R610" i="1"/>
  <c r="R611" i="1"/>
  <c r="R612" i="1"/>
  <c r="R613" i="1"/>
  <c r="S607" i="1"/>
  <c r="S608" i="1"/>
  <c r="R607" i="1"/>
  <c r="R608" i="1"/>
  <c r="R606" i="1"/>
  <c r="R603" i="1"/>
  <c r="R604" i="1"/>
  <c r="R605" i="1"/>
  <c r="S603" i="1"/>
  <c r="S604" i="1"/>
  <c r="S605" i="1"/>
  <c r="S606" i="1"/>
  <c r="R601" i="1"/>
  <c r="R602" i="1"/>
  <c r="S602" i="1"/>
  <c r="S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L601" i="1"/>
  <c r="L602" i="1"/>
  <c r="L603" i="1"/>
  <c r="L604" i="1"/>
  <c r="L605" i="1"/>
  <c r="L606" i="1"/>
  <c r="L607" i="1"/>
  <c r="L600" i="1"/>
  <c r="M601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S541" i="1" l="1"/>
  <c r="S542" i="1"/>
  <c r="S543" i="1"/>
  <c r="S544" i="1"/>
  <c r="S545" i="1"/>
  <c r="S546" i="1"/>
  <c r="S547" i="1"/>
  <c r="S548" i="1"/>
  <c r="R440" i="1"/>
  <c r="R441" i="1"/>
  <c r="R442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8" i="1"/>
  <c r="R469" i="1"/>
  <c r="R470" i="1"/>
  <c r="R471" i="1"/>
  <c r="R472" i="1"/>
  <c r="R473" i="1"/>
  <c r="R476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2" i="1"/>
  <c r="R503" i="1"/>
  <c r="R504" i="1"/>
  <c r="R505" i="1"/>
  <c r="R506" i="1"/>
  <c r="R507" i="1"/>
  <c r="R508" i="1"/>
  <c r="R509" i="1"/>
  <c r="R510" i="1"/>
  <c r="R511" i="1"/>
  <c r="R512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40" i="1"/>
  <c r="R547" i="1"/>
  <c r="R548" i="1"/>
  <c r="P541" i="1"/>
  <c r="O541" i="1"/>
  <c r="O540" i="1"/>
  <c r="M545" i="1"/>
  <c r="M546" i="1"/>
  <c r="M547" i="1"/>
  <c r="M548" i="1"/>
  <c r="M543" i="1"/>
  <c r="M544" i="1"/>
  <c r="M541" i="1"/>
  <c r="M542" i="1"/>
  <c r="L545" i="1"/>
  <c r="L546" i="1"/>
  <c r="L547" i="1"/>
  <c r="L548" i="1"/>
  <c r="L543" i="1"/>
  <c r="L544" i="1"/>
  <c r="L541" i="1"/>
  <c r="L542" i="1"/>
  <c r="L537" i="1"/>
  <c r="L538" i="1"/>
  <c r="L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B601" i="1" s="1"/>
  <c r="J602" i="1"/>
  <c r="B602" i="1" s="1"/>
  <c r="J603" i="1"/>
  <c r="B603" i="1" s="1"/>
  <c r="J604" i="1"/>
  <c r="B604" i="1" s="1"/>
  <c r="J605" i="1"/>
  <c r="B605" i="1" s="1"/>
  <c r="J606" i="1"/>
  <c r="B606" i="1" s="1"/>
  <c r="J607" i="1"/>
  <c r="B607" i="1" s="1"/>
  <c r="J608" i="1"/>
  <c r="B608" i="1" s="1"/>
  <c r="J609" i="1"/>
  <c r="B609" i="1" s="1"/>
  <c r="J610" i="1"/>
  <c r="B610" i="1" s="1"/>
  <c r="J611" i="1"/>
  <c r="B611" i="1" s="1"/>
  <c r="J612" i="1"/>
  <c r="B612" i="1" s="1"/>
  <c r="J613" i="1"/>
  <c r="B613" i="1" s="1"/>
  <c r="J614" i="1"/>
  <c r="B614" i="1" s="1"/>
  <c r="J615" i="1"/>
  <c r="B615" i="1" s="1"/>
  <c r="J616" i="1"/>
  <c r="B616" i="1" s="1"/>
  <c r="J617" i="1"/>
  <c r="B617" i="1" s="1"/>
  <c r="J618" i="1"/>
  <c r="B618" i="1" s="1"/>
  <c r="J619" i="1"/>
  <c r="B619" i="1" s="1"/>
  <c r="J620" i="1"/>
  <c r="B620" i="1" s="1"/>
  <c r="J621" i="1"/>
  <c r="B621" i="1" s="1"/>
  <c r="J622" i="1"/>
  <c r="B622" i="1" s="1"/>
  <c r="J623" i="1"/>
  <c r="B623" i="1" s="1"/>
  <c r="J624" i="1"/>
  <c r="B624" i="1" s="1"/>
  <c r="J625" i="1"/>
  <c r="B625" i="1" s="1"/>
  <c r="J626" i="1"/>
  <c r="B626" i="1" s="1"/>
  <c r="J627" i="1"/>
  <c r="B627" i="1" s="1"/>
  <c r="J628" i="1"/>
  <c r="B628" i="1" s="1"/>
  <c r="J629" i="1"/>
  <c r="B629" i="1" s="1"/>
  <c r="J630" i="1"/>
  <c r="B630" i="1" s="1"/>
  <c r="J631" i="1"/>
  <c r="B631" i="1" s="1"/>
  <c r="J632" i="1"/>
  <c r="B632" i="1" s="1"/>
  <c r="J633" i="1"/>
  <c r="B633" i="1" s="1"/>
  <c r="J634" i="1"/>
  <c r="B634" i="1" s="1"/>
  <c r="J635" i="1"/>
  <c r="B635" i="1" s="1"/>
  <c r="J636" i="1"/>
  <c r="B636" i="1" s="1"/>
  <c r="J637" i="1"/>
  <c r="B637" i="1" s="1"/>
  <c r="J638" i="1"/>
  <c r="B638" i="1" s="1"/>
  <c r="J639" i="1"/>
  <c r="B639" i="1" s="1"/>
  <c r="J640" i="1"/>
  <c r="B640" i="1" s="1"/>
  <c r="J641" i="1"/>
  <c r="B641" i="1" s="1"/>
  <c r="J642" i="1"/>
  <c r="B642" i="1" s="1"/>
  <c r="J643" i="1"/>
  <c r="B643" i="1" s="1"/>
  <c r="J644" i="1"/>
  <c r="B644" i="1" s="1"/>
  <c r="J645" i="1"/>
  <c r="B645" i="1" s="1"/>
  <c r="J646" i="1"/>
  <c r="B646" i="1" s="1"/>
  <c r="J647" i="1"/>
  <c r="B647" i="1" s="1"/>
  <c r="J648" i="1"/>
  <c r="B648" i="1" s="1"/>
  <c r="J649" i="1"/>
  <c r="B649" i="1" s="1"/>
  <c r="J650" i="1"/>
  <c r="B650" i="1" s="1"/>
  <c r="J651" i="1"/>
  <c r="B651" i="1" s="1"/>
  <c r="J652" i="1"/>
  <c r="B652" i="1" s="1"/>
  <c r="J653" i="1"/>
  <c r="B653" i="1" s="1"/>
  <c r="J654" i="1"/>
  <c r="B654" i="1" s="1"/>
  <c r="J655" i="1"/>
  <c r="B655" i="1" s="1"/>
  <c r="J656" i="1"/>
  <c r="B656" i="1" s="1"/>
  <c r="J657" i="1"/>
  <c r="B657" i="1" s="1"/>
  <c r="J658" i="1"/>
  <c r="B658" i="1" s="1"/>
  <c r="J659" i="1"/>
  <c r="B659" i="1" s="1"/>
  <c r="J660" i="1"/>
  <c r="B660" i="1" s="1"/>
  <c r="J661" i="1"/>
  <c r="B661" i="1" s="1"/>
  <c r="J662" i="1"/>
  <c r="B662" i="1" s="1"/>
  <c r="J663" i="1"/>
  <c r="B663" i="1" s="1"/>
  <c r="J664" i="1"/>
  <c r="B664" i="1" s="1"/>
  <c r="J665" i="1"/>
  <c r="B665" i="1" s="1"/>
  <c r="J666" i="1"/>
  <c r="B666" i="1" s="1"/>
  <c r="J667" i="1"/>
  <c r="B667" i="1" s="1"/>
  <c r="J668" i="1"/>
  <c r="B668" i="1" s="1"/>
  <c r="J669" i="1"/>
  <c r="B669" i="1" s="1"/>
  <c r="J670" i="1"/>
  <c r="B670" i="1" s="1"/>
  <c r="J671" i="1"/>
  <c r="B671" i="1" s="1"/>
  <c r="J672" i="1"/>
  <c r="B672" i="1" s="1"/>
  <c r="J673" i="1"/>
  <c r="B673" i="1" s="1"/>
  <c r="J674" i="1"/>
  <c r="B674" i="1" s="1"/>
  <c r="J675" i="1"/>
  <c r="B675" i="1" s="1"/>
  <c r="J676" i="1"/>
  <c r="B676" i="1" s="1"/>
  <c r="J677" i="1"/>
  <c r="B677" i="1" s="1"/>
  <c r="J678" i="1"/>
  <c r="B678" i="1" s="1"/>
  <c r="J679" i="1"/>
  <c r="B679" i="1" s="1"/>
  <c r="J680" i="1"/>
  <c r="B680" i="1" s="1"/>
  <c r="J681" i="1"/>
  <c r="B681" i="1" s="1"/>
  <c r="J682" i="1"/>
  <c r="B682" i="1" s="1"/>
  <c r="J683" i="1"/>
  <c r="B683" i="1" s="1"/>
  <c r="J684" i="1"/>
  <c r="B684" i="1" s="1"/>
  <c r="J685" i="1"/>
  <c r="B685" i="1" s="1"/>
  <c r="J686" i="1"/>
  <c r="B686" i="1" s="1"/>
  <c r="J687" i="1"/>
  <c r="B687" i="1" s="1"/>
  <c r="J688" i="1"/>
  <c r="B688" i="1" s="1"/>
  <c r="J689" i="1"/>
  <c r="B689" i="1" s="1"/>
  <c r="J690" i="1"/>
  <c r="B690" i="1" s="1"/>
  <c r="J691" i="1"/>
  <c r="B691" i="1" s="1"/>
  <c r="J692" i="1"/>
  <c r="B692" i="1" s="1"/>
  <c r="J693" i="1"/>
  <c r="B693" i="1" s="1"/>
  <c r="J694" i="1"/>
  <c r="B694" i="1" s="1"/>
  <c r="J695" i="1"/>
  <c r="B695" i="1" s="1"/>
  <c r="J696" i="1"/>
  <c r="B696" i="1" s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C601" i="1" s="1"/>
  <c r="I602" i="1"/>
  <c r="C602" i="1" s="1"/>
  <c r="I603" i="1"/>
  <c r="C603" i="1" s="1"/>
  <c r="I604" i="1"/>
  <c r="C604" i="1" s="1"/>
  <c r="I605" i="1"/>
  <c r="C605" i="1" s="1"/>
  <c r="I606" i="1"/>
  <c r="C606" i="1" s="1"/>
  <c r="I607" i="1"/>
  <c r="C607" i="1" s="1"/>
  <c r="I608" i="1"/>
  <c r="C608" i="1" s="1"/>
  <c r="I609" i="1"/>
  <c r="C609" i="1" s="1"/>
  <c r="I610" i="1"/>
  <c r="C610" i="1" s="1"/>
  <c r="I611" i="1"/>
  <c r="C611" i="1" s="1"/>
  <c r="I612" i="1"/>
  <c r="C612" i="1" s="1"/>
  <c r="I613" i="1"/>
  <c r="C613" i="1" s="1"/>
  <c r="I614" i="1"/>
  <c r="C614" i="1" s="1"/>
  <c r="I615" i="1"/>
  <c r="C615" i="1" s="1"/>
  <c r="I616" i="1"/>
  <c r="C616" i="1" s="1"/>
  <c r="I617" i="1"/>
  <c r="C617" i="1" s="1"/>
  <c r="I618" i="1"/>
  <c r="C618" i="1" s="1"/>
  <c r="I619" i="1"/>
  <c r="C619" i="1" s="1"/>
  <c r="I620" i="1"/>
  <c r="C620" i="1" s="1"/>
  <c r="I621" i="1"/>
  <c r="C621" i="1" s="1"/>
  <c r="I622" i="1"/>
  <c r="C622" i="1" s="1"/>
  <c r="I623" i="1"/>
  <c r="C623" i="1" s="1"/>
  <c r="I624" i="1"/>
  <c r="C624" i="1" s="1"/>
  <c r="I625" i="1"/>
  <c r="C625" i="1" s="1"/>
  <c r="I626" i="1"/>
  <c r="C626" i="1" s="1"/>
  <c r="I627" i="1"/>
  <c r="C627" i="1" s="1"/>
  <c r="I628" i="1"/>
  <c r="C628" i="1" s="1"/>
  <c r="I629" i="1"/>
  <c r="C629" i="1" s="1"/>
  <c r="I630" i="1"/>
  <c r="C630" i="1" s="1"/>
  <c r="I631" i="1"/>
  <c r="C631" i="1" s="1"/>
  <c r="I632" i="1"/>
  <c r="C632" i="1" s="1"/>
  <c r="I633" i="1"/>
  <c r="C633" i="1" s="1"/>
  <c r="I634" i="1"/>
  <c r="C634" i="1" s="1"/>
  <c r="I635" i="1"/>
  <c r="C635" i="1" s="1"/>
  <c r="I636" i="1"/>
  <c r="C636" i="1" s="1"/>
  <c r="I637" i="1"/>
  <c r="C637" i="1" s="1"/>
  <c r="I638" i="1"/>
  <c r="C638" i="1" s="1"/>
  <c r="I639" i="1"/>
  <c r="C639" i="1" s="1"/>
  <c r="I640" i="1"/>
  <c r="C640" i="1" s="1"/>
  <c r="I641" i="1"/>
  <c r="C641" i="1" s="1"/>
  <c r="I642" i="1"/>
  <c r="C642" i="1" s="1"/>
  <c r="I643" i="1"/>
  <c r="C643" i="1" s="1"/>
  <c r="I644" i="1"/>
  <c r="C644" i="1" s="1"/>
  <c r="I645" i="1"/>
  <c r="C645" i="1" s="1"/>
  <c r="I646" i="1"/>
  <c r="C646" i="1" s="1"/>
  <c r="I647" i="1"/>
  <c r="C647" i="1" s="1"/>
  <c r="I648" i="1"/>
  <c r="C648" i="1" s="1"/>
  <c r="I649" i="1"/>
  <c r="C649" i="1" s="1"/>
  <c r="I650" i="1"/>
  <c r="C650" i="1" s="1"/>
  <c r="I651" i="1"/>
  <c r="C651" i="1" s="1"/>
  <c r="I652" i="1"/>
  <c r="C652" i="1" s="1"/>
  <c r="I653" i="1"/>
  <c r="C653" i="1" s="1"/>
  <c r="I654" i="1"/>
  <c r="C654" i="1" s="1"/>
  <c r="I655" i="1"/>
  <c r="C655" i="1" s="1"/>
  <c r="I656" i="1"/>
  <c r="C656" i="1" s="1"/>
  <c r="I657" i="1"/>
  <c r="C657" i="1" s="1"/>
  <c r="I658" i="1"/>
  <c r="C658" i="1" s="1"/>
  <c r="I659" i="1"/>
  <c r="C659" i="1" s="1"/>
  <c r="I660" i="1"/>
  <c r="C660" i="1" s="1"/>
  <c r="I661" i="1"/>
  <c r="C661" i="1" s="1"/>
  <c r="I662" i="1"/>
  <c r="C662" i="1" s="1"/>
  <c r="I663" i="1"/>
  <c r="C663" i="1" s="1"/>
  <c r="I664" i="1"/>
  <c r="C664" i="1" s="1"/>
  <c r="I665" i="1"/>
  <c r="C665" i="1" s="1"/>
  <c r="I666" i="1"/>
  <c r="C666" i="1" s="1"/>
  <c r="I667" i="1"/>
  <c r="C667" i="1" s="1"/>
  <c r="I668" i="1"/>
  <c r="C668" i="1" s="1"/>
  <c r="I669" i="1"/>
  <c r="C669" i="1" s="1"/>
  <c r="I670" i="1"/>
  <c r="C670" i="1" s="1"/>
  <c r="I671" i="1"/>
  <c r="C671" i="1" s="1"/>
  <c r="I672" i="1"/>
  <c r="C672" i="1" s="1"/>
  <c r="I673" i="1"/>
  <c r="C673" i="1" s="1"/>
  <c r="I674" i="1"/>
  <c r="C674" i="1" s="1"/>
  <c r="I675" i="1"/>
  <c r="C675" i="1" s="1"/>
  <c r="I676" i="1"/>
  <c r="C676" i="1" s="1"/>
  <c r="I677" i="1"/>
  <c r="C677" i="1" s="1"/>
  <c r="I678" i="1"/>
  <c r="C678" i="1" s="1"/>
  <c r="I679" i="1"/>
  <c r="C679" i="1" s="1"/>
  <c r="I680" i="1"/>
  <c r="C680" i="1" s="1"/>
  <c r="I681" i="1"/>
  <c r="C681" i="1" s="1"/>
  <c r="I682" i="1"/>
  <c r="C682" i="1" s="1"/>
  <c r="I683" i="1"/>
  <c r="C683" i="1" s="1"/>
  <c r="I684" i="1"/>
  <c r="C684" i="1" s="1"/>
  <c r="I685" i="1"/>
  <c r="C685" i="1" s="1"/>
  <c r="I686" i="1"/>
  <c r="C686" i="1" s="1"/>
  <c r="I687" i="1"/>
  <c r="C687" i="1" s="1"/>
  <c r="I688" i="1"/>
  <c r="C688" i="1" s="1"/>
  <c r="I689" i="1"/>
  <c r="C689" i="1" s="1"/>
  <c r="I690" i="1"/>
  <c r="C690" i="1" s="1"/>
  <c r="I691" i="1"/>
  <c r="C691" i="1" s="1"/>
  <c r="I692" i="1"/>
  <c r="C692" i="1" s="1"/>
  <c r="I693" i="1"/>
  <c r="C693" i="1" s="1"/>
  <c r="I694" i="1"/>
  <c r="C694" i="1" s="1"/>
  <c r="I695" i="1"/>
  <c r="C695" i="1" s="1"/>
  <c r="I696" i="1"/>
  <c r="C696" i="1" s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P545" i="1"/>
  <c r="P546" i="1"/>
  <c r="P547" i="1"/>
  <c r="P548" i="1"/>
  <c r="S600" i="1"/>
  <c r="R600" i="1"/>
  <c r="P600" i="1"/>
  <c r="O600" i="1"/>
  <c r="M600" i="1"/>
  <c r="S599" i="1"/>
  <c r="P599" i="1"/>
  <c r="O599" i="1"/>
  <c r="M599" i="1"/>
  <c r="L599" i="1"/>
  <c r="S598" i="1"/>
  <c r="P598" i="1"/>
  <c r="O598" i="1"/>
  <c r="M598" i="1"/>
  <c r="L598" i="1"/>
  <c r="S597" i="1"/>
  <c r="R597" i="1"/>
  <c r="P597" i="1"/>
  <c r="O597" i="1"/>
  <c r="M597" i="1"/>
  <c r="L597" i="1"/>
  <c r="S596" i="1"/>
  <c r="R596" i="1"/>
  <c r="P596" i="1"/>
  <c r="O596" i="1"/>
  <c r="M596" i="1"/>
  <c r="L596" i="1"/>
  <c r="S595" i="1"/>
  <c r="R595" i="1"/>
  <c r="P595" i="1"/>
  <c r="O595" i="1"/>
  <c r="M595" i="1"/>
  <c r="L595" i="1"/>
  <c r="S594" i="1"/>
  <c r="R594" i="1"/>
  <c r="P594" i="1"/>
  <c r="O594" i="1"/>
  <c r="M594" i="1"/>
  <c r="L594" i="1"/>
  <c r="S593" i="1"/>
  <c r="R593" i="1"/>
  <c r="P593" i="1"/>
  <c r="O593" i="1"/>
  <c r="M593" i="1"/>
  <c r="L593" i="1"/>
  <c r="S592" i="1"/>
  <c r="R592" i="1"/>
  <c r="P592" i="1"/>
  <c r="O592" i="1"/>
  <c r="M592" i="1"/>
  <c r="L592" i="1"/>
  <c r="S591" i="1"/>
  <c r="R591" i="1"/>
  <c r="P591" i="1"/>
  <c r="O591" i="1"/>
  <c r="M591" i="1"/>
  <c r="L591" i="1"/>
  <c r="S590" i="1"/>
  <c r="R590" i="1"/>
  <c r="P590" i="1"/>
  <c r="O590" i="1"/>
  <c r="M590" i="1"/>
  <c r="L590" i="1"/>
  <c r="S589" i="1"/>
  <c r="R589" i="1"/>
  <c r="P589" i="1"/>
  <c r="O589" i="1"/>
  <c r="M589" i="1"/>
  <c r="L589" i="1"/>
  <c r="S588" i="1"/>
  <c r="R588" i="1"/>
  <c r="P588" i="1"/>
  <c r="O588" i="1"/>
  <c r="M588" i="1"/>
  <c r="L588" i="1"/>
  <c r="S587" i="1"/>
  <c r="R587" i="1"/>
  <c r="P587" i="1"/>
  <c r="O587" i="1"/>
  <c r="M587" i="1"/>
  <c r="L587" i="1"/>
  <c r="S586" i="1"/>
  <c r="P586" i="1"/>
  <c r="O586" i="1"/>
  <c r="M586" i="1"/>
  <c r="L586" i="1"/>
  <c r="S585" i="1"/>
  <c r="P585" i="1"/>
  <c r="O585" i="1"/>
  <c r="M585" i="1"/>
  <c r="L585" i="1"/>
  <c r="S584" i="1"/>
  <c r="R584" i="1"/>
  <c r="P584" i="1"/>
  <c r="O584" i="1"/>
  <c r="M584" i="1"/>
  <c r="L584" i="1"/>
  <c r="S583" i="1"/>
  <c r="R583" i="1"/>
  <c r="P583" i="1"/>
  <c r="O583" i="1"/>
  <c r="M583" i="1"/>
  <c r="L583" i="1"/>
  <c r="S582" i="1"/>
  <c r="R582" i="1"/>
  <c r="P582" i="1"/>
  <c r="O582" i="1"/>
  <c r="M582" i="1"/>
  <c r="L582" i="1"/>
  <c r="S581" i="1"/>
  <c r="R581" i="1"/>
  <c r="P581" i="1"/>
  <c r="O581" i="1"/>
  <c r="M581" i="1"/>
  <c r="L581" i="1"/>
  <c r="S580" i="1"/>
  <c r="R580" i="1"/>
  <c r="P580" i="1"/>
  <c r="O580" i="1"/>
  <c r="M580" i="1"/>
  <c r="L580" i="1"/>
  <c r="S579" i="1"/>
  <c r="R579" i="1"/>
  <c r="P579" i="1"/>
  <c r="O579" i="1"/>
  <c r="M579" i="1"/>
  <c r="L579" i="1"/>
  <c r="S578" i="1"/>
  <c r="R578" i="1"/>
  <c r="P578" i="1"/>
  <c r="O578" i="1"/>
  <c r="M578" i="1"/>
  <c r="L578" i="1"/>
  <c r="S577" i="1"/>
  <c r="R577" i="1"/>
  <c r="P577" i="1"/>
  <c r="O577" i="1"/>
  <c r="M577" i="1"/>
  <c r="L577" i="1"/>
  <c r="S576" i="1"/>
  <c r="R576" i="1"/>
  <c r="P576" i="1"/>
  <c r="O576" i="1"/>
  <c r="M576" i="1"/>
  <c r="L576" i="1"/>
  <c r="S575" i="1"/>
  <c r="R575" i="1"/>
  <c r="P575" i="1"/>
  <c r="O575" i="1"/>
  <c r="M575" i="1"/>
  <c r="L575" i="1"/>
  <c r="S561" i="1"/>
  <c r="R561" i="1"/>
  <c r="P561" i="1"/>
  <c r="O561" i="1"/>
  <c r="M561" i="1"/>
  <c r="L561" i="1"/>
  <c r="S560" i="1"/>
  <c r="P560" i="1"/>
  <c r="O560" i="1"/>
  <c r="M560" i="1"/>
  <c r="L560" i="1"/>
  <c r="S559" i="1"/>
  <c r="P559" i="1"/>
  <c r="O559" i="1"/>
  <c r="M559" i="1"/>
  <c r="L559" i="1"/>
  <c r="S558" i="1"/>
  <c r="R558" i="1"/>
  <c r="P558" i="1"/>
  <c r="O558" i="1"/>
  <c r="M558" i="1"/>
  <c r="L558" i="1"/>
  <c r="S557" i="1"/>
  <c r="R557" i="1"/>
  <c r="P557" i="1"/>
  <c r="O557" i="1"/>
  <c r="M557" i="1"/>
  <c r="L557" i="1"/>
  <c r="S556" i="1"/>
  <c r="R556" i="1"/>
  <c r="P556" i="1"/>
  <c r="O556" i="1"/>
  <c r="M556" i="1"/>
  <c r="L556" i="1"/>
  <c r="S555" i="1"/>
  <c r="R555" i="1"/>
  <c r="P555" i="1"/>
  <c r="O555" i="1"/>
  <c r="M555" i="1"/>
  <c r="L555" i="1"/>
  <c r="S554" i="1"/>
  <c r="R554" i="1"/>
  <c r="P554" i="1"/>
  <c r="O554" i="1"/>
  <c r="M554" i="1"/>
  <c r="L554" i="1"/>
  <c r="S553" i="1"/>
  <c r="R553" i="1"/>
  <c r="P553" i="1"/>
  <c r="O553" i="1"/>
  <c r="M553" i="1"/>
  <c r="L553" i="1"/>
  <c r="S552" i="1"/>
  <c r="R552" i="1"/>
  <c r="P552" i="1"/>
  <c r="M552" i="1"/>
  <c r="L552" i="1"/>
  <c r="S551" i="1"/>
  <c r="R551" i="1"/>
  <c r="P551" i="1"/>
  <c r="M551" i="1"/>
  <c r="L551" i="1"/>
  <c r="S550" i="1"/>
  <c r="R550" i="1"/>
  <c r="P550" i="1"/>
  <c r="M550" i="1"/>
  <c r="L550" i="1"/>
  <c r="S549" i="1"/>
  <c r="R549" i="1"/>
  <c r="P549" i="1"/>
  <c r="M549" i="1"/>
  <c r="L549" i="1"/>
  <c r="P544" i="1"/>
  <c r="O544" i="1"/>
  <c r="P543" i="1"/>
  <c r="O543" i="1"/>
  <c r="P542" i="1"/>
  <c r="O542" i="1"/>
  <c r="Z202" i="1" l="1"/>
  <c r="Z525" i="1"/>
  <c r="AF525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9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8" i="1"/>
  <c r="AF239" i="1"/>
  <c r="AF240" i="1"/>
  <c r="AF241" i="1"/>
  <c r="AF242" i="1"/>
  <c r="AF243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90" i="1"/>
  <c r="AF292" i="1"/>
  <c r="AF293" i="1"/>
  <c r="AF294" i="1"/>
  <c r="AF295" i="1"/>
  <c r="AF296" i="1"/>
  <c r="AF297" i="1"/>
  <c r="AF298" i="1"/>
  <c r="AF300" i="1"/>
  <c r="AF301" i="1"/>
  <c r="AF302" i="1"/>
  <c r="AF303" i="1"/>
  <c r="AF304" i="1"/>
  <c r="AF305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8" i="1"/>
  <c r="AF339" i="1"/>
  <c r="AF340" i="1"/>
  <c r="AF341" i="1"/>
  <c r="AF342" i="1"/>
  <c r="AF343" i="1"/>
  <c r="AF344" i="1"/>
  <c r="AF345" i="1"/>
  <c r="AF346" i="1"/>
  <c r="AF347" i="1"/>
  <c r="AF348" i="1"/>
  <c r="AF354" i="1"/>
  <c r="AF355" i="1"/>
  <c r="AF356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8" i="1"/>
  <c r="AF469" i="1"/>
  <c r="AF470" i="1"/>
  <c r="AF471" i="1"/>
  <c r="AF472" i="1"/>
  <c r="AF473" i="1"/>
  <c r="AF476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2" i="1"/>
  <c r="AF503" i="1"/>
  <c r="AF504" i="1"/>
  <c r="AF505" i="1"/>
  <c r="AF506" i="1"/>
  <c r="AF507" i="1"/>
  <c r="AF508" i="1"/>
  <c r="AF509" i="1"/>
  <c r="AF510" i="1"/>
  <c r="AF511" i="1"/>
  <c r="AF512" i="1"/>
  <c r="AF514" i="1"/>
  <c r="AF515" i="1"/>
  <c r="AF516" i="1"/>
  <c r="AF517" i="1"/>
  <c r="AF518" i="1"/>
  <c r="AF519" i="1"/>
  <c r="AF520" i="1"/>
  <c r="AF521" i="1"/>
  <c r="AF522" i="1"/>
  <c r="AF523" i="1"/>
  <c r="AF524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75" i="1"/>
  <c r="AF576" i="1"/>
  <c r="AF577" i="1"/>
  <c r="AF578" i="1"/>
  <c r="AF579" i="1"/>
  <c r="AF580" i="1"/>
  <c r="AF581" i="1"/>
  <c r="AF582" i="1"/>
  <c r="AF583" i="1"/>
  <c r="AF584" i="1"/>
  <c r="AF585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G601" i="1" s="1"/>
  <c r="AH601" i="1" s="1"/>
  <c r="AF602" i="1"/>
  <c r="AG602" i="1" s="1"/>
  <c r="AH602" i="1" s="1"/>
  <c r="AF603" i="1"/>
  <c r="AG603" i="1" s="1"/>
  <c r="AH603" i="1" s="1"/>
  <c r="AF604" i="1"/>
  <c r="AG604" i="1" s="1"/>
  <c r="AH604" i="1" s="1"/>
  <c r="AF605" i="1"/>
  <c r="AG605" i="1" s="1"/>
  <c r="AH605" i="1" s="1"/>
  <c r="AF606" i="1"/>
  <c r="AG606" i="1" s="1"/>
  <c r="AH606" i="1" s="1"/>
  <c r="AF607" i="1"/>
  <c r="AG607" i="1" s="1"/>
  <c r="AH607" i="1" s="1"/>
  <c r="AF608" i="1"/>
  <c r="AG608" i="1" s="1"/>
  <c r="AH608" i="1" s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10" i="1"/>
  <c r="AF111" i="1"/>
  <c r="AF112" i="1"/>
  <c r="AF113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C1" i="6"/>
  <c r="Z334" i="1"/>
  <c r="S334" i="1"/>
  <c r="R334" i="1"/>
  <c r="P334" i="1"/>
  <c r="O334" i="1"/>
  <c r="M334" i="1"/>
  <c r="L334" i="1"/>
  <c r="J334" i="1"/>
  <c r="Z333" i="1"/>
  <c r="S333" i="1"/>
  <c r="R333" i="1"/>
  <c r="P333" i="1"/>
  <c r="O333" i="1"/>
  <c r="M333" i="1"/>
  <c r="L333" i="1"/>
  <c r="J333" i="1"/>
  <c r="Z358" i="1"/>
  <c r="Z338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Z445" i="1"/>
  <c r="Z444" i="1"/>
  <c r="Z442" i="1"/>
  <c r="Z441" i="1"/>
  <c r="Z440" i="1"/>
  <c r="Z439" i="1"/>
  <c r="S439" i="1"/>
  <c r="S440" i="1"/>
  <c r="S441" i="1"/>
  <c r="S442" i="1"/>
  <c r="S444" i="1"/>
  <c r="S445" i="1"/>
  <c r="R439" i="1"/>
  <c r="P439" i="1"/>
  <c r="P440" i="1"/>
  <c r="P441" i="1"/>
  <c r="P442" i="1"/>
  <c r="P444" i="1"/>
  <c r="P445" i="1"/>
  <c r="O439" i="1"/>
  <c r="O440" i="1"/>
  <c r="O441" i="1"/>
  <c r="O442" i="1"/>
  <c r="O444" i="1"/>
  <c r="O445" i="1"/>
  <c r="L439" i="1"/>
  <c r="L440" i="1"/>
  <c r="L441" i="1"/>
  <c r="L442" i="1"/>
  <c r="L444" i="1"/>
  <c r="L445" i="1"/>
  <c r="M230" i="1"/>
  <c r="M231" i="1"/>
  <c r="M232" i="1"/>
  <c r="M238" i="1"/>
  <c r="M239" i="1"/>
  <c r="M240" i="1"/>
  <c r="M241" i="1"/>
  <c r="M242" i="1"/>
  <c r="M243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90" i="1"/>
  <c r="M292" i="1"/>
  <c r="M293" i="1"/>
  <c r="M294" i="1"/>
  <c r="M295" i="1"/>
  <c r="M296" i="1"/>
  <c r="M297" i="1"/>
  <c r="M298" i="1"/>
  <c r="M300" i="1"/>
  <c r="M301" i="1"/>
  <c r="M302" i="1"/>
  <c r="M303" i="1"/>
  <c r="M304" i="1"/>
  <c r="M305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5" i="1"/>
  <c r="M326" i="1"/>
  <c r="M327" i="1"/>
  <c r="M328" i="1"/>
  <c r="M329" i="1"/>
  <c r="M330" i="1"/>
  <c r="M331" i="1"/>
  <c r="M332" i="1"/>
  <c r="M335" i="1"/>
  <c r="M336" i="1"/>
  <c r="M338" i="1"/>
  <c r="M339" i="1"/>
  <c r="M340" i="1"/>
  <c r="M341" i="1"/>
  <c r="M342" i="1"/>
  <c r="M343" i="1"/>
  <c r="M344" i="1"/>
  <c r="M345" i="1"/>
  <c r="M346" i="1"/>
  <c r="M347" i="1"/>
  <c r="M348" i="1"/>
  <c r="M354" i="1"/>
  <c r="M355" i="1"/>
  <c r="M356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8" i="1"/>
  <c r="M469" i="1"/>
  <c r="M470" i="1"/>
  <c r="M471" i="1"/>
  <c r="M472" i="1"/>
  <c r="M473" i="1"/>
  <c r="M476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2" i="1"/>
  <c r="M503" i="1"/>
  <c r="M504" i="1"/>
  <c r="M505" i="1"/>
  <c r="M506" i="1"/>
  <c r="M507" i="1"/>
  <c r="M508" i="1"/>
  <c r="M509" i="1"/>
  <c r="M510" i="1"/>
  <c r="M511" i="1"/>
  <c r="M512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40" i="1"/>
  <c r="M215" i="1"/>
  <c r="R438" i="1"/>
  <c r="R228" i="1"/>
  <c r="R229" i="1"/>
  <c r="R230" i="1"/>
  <c r="R231" i="1"/>
  <c r="R232" i="1"/>
  <c r="R238" i="1"/>
  <c r="R239" i="1"/>
  <c r="R240" i="1"/>
  <c r="R241" i="1"/>
  <c r="R242" i="1"/>
  <c r="R243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90" i="1"/>
  <c r="R292" i="1"/>
  <c r="R293" i="1"/>
  <c r="R294" i="1"/>
  <c r="R295" i="1"/>
  <c r="R296" i="1"/>
  <c r="R297" i="1"/>
  <c r="R298" i="1"/>
  <c r="R300" i="1"/>
  <c r="R301" i="1"/>
  <c r="R302" i="1"/>
  <c r="R303" i="1"/>
  <c r="R304" i="1"/>
  <c r="R305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5" i="1"/>
  <c r="R326" i="1"/>
  <c r="R327" i="1"/>
  <c r="R328" i="1"/>
  <c r="R329" i="1"/>
  <c r="R330" i="1"/>
  <c r="R331" i="1"/>
  <c r="R332" i="1"/>
  <c r="R335" i="1"/>
  <c r="R336" i="1"/>
  <c r="R338" i="1"/>
  <c r="R339" i="1"/>
  <c r="R340" i="1"/>
  <c r="R341" i="1"/>
  <c r="R342" i="1"/>
  <c r="R343" i="1"/>
  <c r="R344" i="1"/>
  <c r="R345" i="1"/>
  <c r="R346" i="1"/>
  <c r="R347" i="1"/>
  <c r="R348" i="1"/>
  <c r="R354" i="1"/>
  <c r="R355" i="1"/>
  <c r="R356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S438" i="1"/>
  <c r="Z438" i="1"/>
  <c r="J438" i="1"/>
  <c r="J439" i="1"/>
  <c r="J440" i="1"/>
  <c r="J441" i="1"/>
  <c r="J442" i="1"/>
  <c r="J444" i="1"/>
  <c r="J445" i="1"/>
  <c r="P438" i="1"/>
  <c r="O438" i="1"/>
  <c r="L438" i="1"/>
  <c r="I446" i="1"/>
  <c r="I447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8" i="1"/>
  <c r="S469" i="1"/>
  <c r="S470" i="1"/>
  <c r="S471" i="1"/>
  <c r="S472" i="1"/>
  <c r="S473" i="1"/>
  <c r="S476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2" i="1"/>
  <c r="S503" i="1"/>
  <c r="S504" i="1"/>
  <c r="S505" i="1"/>
  <c r="S506" i="1"/>
  <c r="S507" i="1"/>
  <c r="S508" i="1"/>
  <c r="S509" i="1"/>
  <c r="S510" i="1"/>
  <c r="S511" i="1"/>
  <c r="S512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40" i="1"/>
  <c r="J242" i="1"/>
  <c r="J243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90" i="1"/>
  <c r="J292" i="1"/>
  <c r="J293" i="1"/>
  <c r="J294" i="1"/>
  <c r="J295" i="1"/>
  <c r="J296" i="1"/>
  <c r="J297" i="1"/>
  <c r="J298" i="1"/>
  <c r="J300" i="1"/>
  <c r="J301" i="1"/>
  <c r="J302" i="1"/>
  <c r="J303" i="1"/>
  <c r="J304" i="1"/>
  <c r="J305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5" i="1"/>
  <c r="J326" i="1"/>
  <c r="J327" i="1"/>
  <c r="J328" i="1"/>
  <c r="J329" i="1"/>
  <c r="J330" i="1"/>
  <c r="J331" i="1"/>
  <c r="J332" i="1"/>
  <c r="J335" i="1"/>
  <c r="J336" i="1"/>
  <c r="J338" i="1"/>
  <c r="J339" i="1"/>
  <c r="J340" i="1"/>
  <c r="J341" i="1"/>
  <c r="J342" i="1"/>
  <c r="J343" i="1"/>
  <c r="J344" i="1"/>
  <c r="J345" i="1"/>
  <c r="J346" i="1"/>
  <c r="J347" i="1"/>
  <c r="J348" i="1"/>
  <c r="J354" i="1"/>
  <c r="J355" i="1"/>
  <c r="J356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8" i="1"/>
  <c r="J469" i="1"/>
  <c r="J470" i="1"/>
  <c r="J471" i="1"/>
  <c r="J472" i="1"/>
  <c r="J473" i="1"/>
  <c r="J476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2" i="1"/>
  <c r="J503" i="1"/>
  <c r="J504" i="1"/>
  <c r="J505" i="1"/>
  <c r="J506" i="1"/>
  <c r="J507" i="1"/>
  <c r="J508" i="1"/>
  <c r="J509" i="1"/>
  <c r="J510" i="1"/>
  <c r="J511" i="1"/>
  <c r="J512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40" i="1"/>
  <c r="O327" i="1"/>
  <c r="P327" i="1"/>
  <c r="P239" i="1"/>
  <c r="P240" i="1"/>
  <c r="P241" i="1"/>
  <c r="P242" i="1"/>
  <c r="P243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90" i="1"/>
  <c r="P292" i="1"/>
  <c r="P293" i="1"/>
  <c r="P294" i="1"/>
  <c r="P295" i="1"/>
  <c r="P296" i="1"/>
  <c r="P297" i="1"/>
  <c r="P298" i="1"/>
  <c r="P300" i="1"/>
  <c r="P301" i="1"/>
  <c r="P302" i="1"/>
  <c r="P303" i="1"/>
  <c r="P304" i="1"/>
  <c r="P305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5" i="1"/>
  <c r="P326" i="1"/>
  <c r="P328" i="1"/>
  <c r="P329" i="1"/>
  <c r="P330" i="1"/>
  <c r="P331" i="1"/>
  <c r="P332" i="1"/>
  <c r="P335" i="1"/>
  <c r="P336" i="1"/>
  <c r="P338" i="1"/>
  <c r="P339" i="1"/>
  <c r="P340" i="1"/>
  <c r="P341" i="1"/>
  <c r="P342" i="1"/>
  <c r="P343" i="1"/>
  <c r="P344" i="1"/>
  <c r="P345" i="1"/>
  <c r="P346" i="1"/>
  <c r="P347" i="1"/>
  <c r="P348" i="1"/>
  <c r="P354" i="1"/>
  <c r="P355" i="1"/>
  <c r="P356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8" i="1"/>
  <c r="P469" i="1"/>
  <c r="P470" i="1"/>
  <c r="P471" i="1"/>
  <c r="P472" i="1"/>
  <c r="P473" i="1"/>
  <c r="P476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2" i="1"/>
  <c r="P503" i="1"/>
  <c r="P504" i="1"/>
  <c r="P505" i="1"/>
  <c r="P506" i="1"/>
  <c r="P507" i="1"/>
  <c r="P508" i="1"/>
  <c r="P509" i="1"/>
  <c r="P510" i="1"/>
  <c r="P511" i="1"/>
  <c r="P512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40" i="1"/>
  <c r="S260" i="1"/>
  <c r="S261" i="1"/>
  <c r="S262" i="1"/>
  <c r="S263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90" i="1"/>
  <c r="S292" i="1"/>
  <c r="S293" i="1"/>
  <c r="S294" i="1"/>
  <c r="S295" i="1"/>
  <c r="S296" i="1"/>
  <c r="S297" i="1"/>
  <c r="S298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5" i="1"/>
  <c r="S326" i="1"/>
  <c r="S327" i="1"/>
  <c r="S328" i="1"/>
  <c r="S329" i="1"/>
  <c r="S330" i="1"/>
  <c r="S331" i="1"/>
  <c r="S332" i="1"/>
  <c r="S335" i="1"/>
  <c r="S336" i="1"/>
  <c r="S338" i="1"/>
  <c r="S339" i="1"/>
  <c r="S340" i="1"/>
  <c r="S341" i="1"/>
  <c r="S342" i="1"/>
  <c r="S343" i="1"/>
  <c r="S344" i="1"/>
  <c r="S345" i="1"/>
  <c r="S346" i="1"/>
  <c r="S347" i="1"/>
  <c r="S348" i="1"/>
  <c r="S354" i="1"/>
  <c r="S355" i="1"/>
  <c r="S356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O242" i="1"/>
  <c r="O243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90" i="1"/>
  <c r="O292" i="1"/>
  <c r="O293" i="1"/>
  <c r="O294" i="1"/>
  <c r="O295" i="1"/>
  <c r="O296" i="1"/>
  <c r="O297" i="1"/>
  <c r="O298" i="1"/>
  <c r="O300" i="1"/>
  <c r="O301" i="1"/>
  <c r="O302" i="1"/>
  <c r="O303" i="1"/>
  <c r="O304" i="1"/>
  <c r="O305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5" i="1"/>
  <c r="O326" i="1"/>
  <c r="O328" i="1"/>
  <c r="O329" i="1"/>
  <c r="O330" i="1"/>
  <c r="O331" i="1"/>
  <c r="O332" i="1"/>
  <c r="O335" i="1"/>
  <c r="O336" i="1"/>
  <c r="O338" i="1"/>
  <c r="O339" i="1"/>
  <c r="O340" i="1"/>
  <c r="O341" i="1"/>
  <c r="O342" i="1"/>
  <c r="O343" i="1"/>
  <c r="O344" i="1"/>
  <c r="O345" i="1"/>
  <c r="O346" i="1"/>
  <c r="O347" i="1"/>
  <c r="O348" i="1"/>
  <c r="O354" i="1"/>
  <c r="O355" i="1"/>
  <c r="O356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8" i="1"/>
  <c r="O469" i="1"/>
  <c r="O470" i="1"/>
  <c r="O471" i="1"/>
  <c r="O472" i="1"/>
  <c r="O473" i="1"/>
  <c r="O476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2" i="1"/>
  <c r="O503" i="1"/>
  <c r="O504" i="1"/>
  <c r="O505" i="1"/>
  <c r="O506" i="1"/>
  <c r="O507" i="1"/>
  <c r="O508" i="1"/>
  <c r="O509" i="1"/>
  <c r="O510" i="1"/>
  <c r="O511" i="1"/>
  <c r="O512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90" i="1"/>
  <c r="L292" i="1"/>
  <c r="L293" i="1"/>
  <c r="L294" i="1"/>
  <c r="L295" i="1"/>
  <c r="L296" i="1"/>
  <c r="L297" i="1"/>
  <c r="L298" i="1"/>
  <c r="L300" i="1"/>
  <c r="L301" i="1"/>
  <c r="L302" i="1"/>
  <c r="L303" i="1"/>
  <c r="L304" i="1"/>
  <c r="L305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5" i="1"/>
  <c r="L326" i="1"/>
  <c r="L327" i="1"/>
  <c r="L328" i="1"/>
  <c r="L329" i="1"/>
  <c r="L330" i="1"/>
  <c r="L331" i="1"/>
  <c r="L332" i="1"/>
  <c r="L335" i="1"/>
  <c r="L336" i="1"/>
  <c r="L338" i="1"/>
  <c r="L339" i="1"/>
  <c r="L340" i="1"/>
  <c r="L341" i="1"/>
  <c r="L342" i="1"/>
  <c r="L343" i="1"/>
  <c r="L344" i="1"/>
  <c r="L345" i="1"/>
  <c r="L346" i="1"/>
  <c r="L347" i="1"/>
  <c r="L348" i="1"/>
  <c r="L354" i="1"/>
  <c r="L355" i="1"/>
  <c r="L356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8" i="1"/>
  <c r="L469" i="1"/>
  <c r="L470" i="1"/>
  <c r="L471" i="1"/>
  <c r="L472" i="1"/>
  <c r="L473" i="1"/>
  <c r="L476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2" i="1"/>
  <c r="L503" i="1"/>
  <c r="L504" i="1"/>
  <c r="L505" i="1"/>
  <c r="L506" i="1"/>
  <c r="L507" i="1"/>
  <c r="L508" i="1"/>
  <c r="L509" i="1"/>
  <c r="L510" i="1"/>
  <c r="L511" i="1"/>
  <c r="L512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8" i="1"/>
  <c r="S239" i="1"/>
  <c r="S240" i="1"/>
  <c r="S241" i="1"/>
  <c r="S242" i="1"/>
  <c r="S243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L238" i="1"/>
  <c r="L239" i="1"/>
  <c r="L240" i="1"/>
  <c r="L241" i="1"/>
  <c r="L242" i="1"/>
  <c r="L243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8" i="1"/>
  <c r="I469" i="1"/>
  <c r="I470" i="1"/>
  <c r="I471" i="1"/>
  <c r="I472" i="1"/>
  <c r="I473" i="1"/>
  <c r="I476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2" i="1"/>
  <c r="I503" i="1"/>
  <c r="I504" i="1"/>
  <c r="I505" i="1"/>
  <c r="I506" i="1"/>
  <c r="I507" i="1"/>
  <c r="I508" i="1"/>
  <c r="I509" i="1"/>
  <c r="I510" i="1"/>
  <c r="I511" i="1"/>
  <c r="I512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4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9" i="1"/>
  <c r="G189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5" i="1"/>
  <c r="G215" i="1"/>
  <c r="F216" i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F231" i="1"/>
  <c r="G231" i="1"/>
  <c r="F232" i="1"/>
  <c r="G232" i="1"/>
  <c r="F238" i="1"/>
  <c r="G238" i="1"/>
  <c r="F239" i="1"/>
  <c r="G239" i="1"/>
  <c r="F240" i="1"/>
  <c r="G240" i="1"/>
  <c r="F241" i="1"/>
  <c r="G241" i="1"/>
  <c r="F242" i="1"/>
  <c r="G242" i="1"/>
  <c r="F243" i="1"/>
  <c r="G243" i="1"/>
  <c r="F448" i="1"/>
  <c r="G448" i="1"/>
  <c r="F449" i="1"/>
  <c r="G449" i="1"/>
  <c r="F450" i="1"/>
  <c r="G450" i="1"/>
  <c r="F451" i="1"/>
  <c r="G451" i="1"/>
  <c r="F452" i="1"/>
  <c r="G452" i="1"/>
  <c r="F453" i="1"/>
  <c r="G453" i="1"/>
  <c r="F454" i="1"/>
  <c r="G454" i="1"/>
  <c r="F455" i="1"/>
  <c r="G455" i="1"/>
  <c r="F456" i="1"/>
  <c r="G456" i="1"/>
  <c r="F457" i="1"/>
  <c r="G457" i="1"/>
  <c r="F458" i="1"/>
  <c r="G458" i="1"/>
  <c r="F459" i="1"/>
  <c r="G459" i="1"/>
  <c r="F460" i="1"/>
  <c r="G460" i="1"/>
  <c r="F461" i="1"/>
  <c r="G461" i="1"/>
  <c r="F462" i="1"/>
  <c r="G462" i="1"/>
  <c r="F468" i="1"/>
  <c r="G468" i="1"/>
  <c r="F469" i="1"/>
  <c r="G469" i="1"/>
  <c r="F470" i="1"/>
  <c r="G470" i="1"/>
  <c r="F471" i="1"/>
  <c r="G471" i="1"/>
  <c r="F472" i="1"/>
  <c r="G472" i="1"/>
  <c r="F473" i="1"/>
  <c r="G473" i="1"/>
  <c r="F476" i="1"/>
  <c r="G476" i="1"/>
  <c r="F478" i="1"/>
  <c r="G478" i="1"/>
  <c r="F479" i="1"/>
  <c r="G479" i="1"/>
  <c r="F480" i="1"/>
  <c r="G480" i="1"/>
  <c r="F481" i="1"/>
  <c r="G481" i="1"/>
  <c r="F482" i="1"/>
  <c r="G482" i="1"/>
  <c r="F483" i="1"/>
  <c r="G483" i="1"/>
  <c r="F484" i="1"/>
  <c r="G484" i="1"/>
  <c r="F485" i="1"/>
  <c r="G485" i="1"/>
  <c r="F486" i="1"/>
  <c r="G486" i="1"/>
  <c r="F487" i="1"/>
  <c r="G487" i="1"/>
  <c r="F488" i="1"/>
  <c r="G488" i="1"/>
  <c r="F489" i="1"/>
  <c r="G489" i="1"/>
  <c r="F490" i="1"/>
  <c r="G490" i="1"/>
  <c r="F491" i="1"/>
  <c r="G491" i="1"/>
  <c r="F492" i="1"/>
  <c r="G492" i="1"/>
  <c r="F493" i="1"/>
  <c r="G493" i="1"/>
  <c r="F494" i="1"/>
  <c r="G494" i="1"/>
  <c r="F495" i="1"/>
  <c r="G495" i="1"/>
  <c r="F496" i="1"/>
  <c r="G496" i="1"/>
  <c r="F497" i="1"/>
  <c r="G497" i="1"/>
  <c r="F498" i="1"/>
  <c r="G498" i="1"/>
  <c r="F499" i="1"/>
  <c r="G499" i="1"/>
  <c r="F502" i="1"/>
  <c r="G502" i="1"/>
  <c r="F503" i="1"/>
  <c r="G503" i="1"/>
  <c r="F504" i="1"/>
  <c r="G504" i="1"/>
  <c r="F505" i="1"/>
  <c r="G505" i="1"/>
  <c r="F506" i="1"/>
  <c r="G506" i="1"/>
  <c r="F507" i="1"/>
  <c r="G507" i="1"/>
  <c r="F508" i="1"/>
  <c r="G508" i="1"/>
  <c r="F509" i="1"/>
  <c r="G509" i="1"/>
  <c r="F510" i="1"/>
  <c r="G510" i="1"/>
  <c r="F511" i="1"/>
  <c r="G511" i="1"/>
  <c r="F512" i="1"/>
  <c r="G512" i="1"/>
  <c r="F514" i="1"/>
  <c r="G514" i="1"/>
  <c r="F515" i="1"/>
  <c r="G515" i="1"/>
  <c r="F516" i="1"/>
  <c r="G516" i="1"/>
  <c r="F517" i="1"/>
  <c r="G517" i="1"/>
  <c r="F518" i="1"/>
  <c r="G518" i="1"/>
  <c r="F519" i="1"/>
  <c r="G519" i="1"/>
  <c r="F520" i="1"/>
  <c r="G520" i="1"/>
  <c r="F521" i="1"/>
  <c r="G521" i="1"/>
  <c r="F522" i="1"/>
  <c r="G522" i="1"/>
  <c r="F523" i="1"/>
  <c r="G523" i="1"/>
  <c r="F524" i="1"/>
  <c r="G524" i="1"/>
  <c r="F525" i="1"/>
  <c r="G525" i="1"/>
  <c r="F526" i="1"/>
  <c r="G526" i="1"/>
  <c r="F527" i="1"/>
  <c r="G527" i="1"/>
  <c r="F528" i="1"/>
  <c r="G528" i="1"/>
  <c r="F529" i="1"/>
  <c r="G529" i="1"/>
  <c r="F530" i="1"/>
  <c r="G530" i="1"/>
  <c r="F531" i="1"/>
  <c r="G531" i="1"/>
  <c r="F532" i="1"/>
  <c r="G532" i="1"/>
  <c r="F533" i="1"/>
  <c r="G533" i="1"/>
  <c r="F534" i="1"/>
  <c r="G534" i="1"/>
  <c r="F535" i="1"/>
  <c r="G535" i="1"/>
  <c r="F536" i="1"/>
  <c r="G536" i="1"/>
  <c r="F537" i="1"/>
  <c r="G537" i="1"/>
  <c r="F538" i="1"/>
  <c r="G538" i="1"/>
  <c r="F540" i="1"/>
  <c r="G540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8" i="1"/>
  <c r="Z469" i="1"/>
  <c r="Z470" i="1"/>
  <c r="Z471" i="1"/>
  <c r="Z472" i="1"/>
  <c r="Z473" i="1"/>
  <c r="Z476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2" i="1"/>
  <c r="Z503" i="1"/>
  <c r="Z504" i="1"/>
  <c r="Z505" i="1"/>
  <c r="Z506" i="1"/>
  <c r="Z507" i="1"/>
  <c r="Z508" i="1"/>
  <c r="Z509" i="1"/>
  <c r="Z510" i="1"/>
  <c r="Z511" i="1"/>
  <c r="Z512" i="1"/>
  <c r="Z514" i="1"/>
  <c r="Z515" i="1"/>
  <c r="Z516" i="1"/>
  <c r="Z517" i="1"/>
  <c r="Z518" i="1"/>
  <c r="Z519" i="1"/>
  <c r="Z520" i="1"/>
  <c r="Z521" i="1"/>
  <c r="Z522" i="1"/>
  <c r="Z523" i="1"/>
  <c r="Z524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40" i="1"/>
  <c r="P215" i="1"/>
  <c r="I205" i="1"/>
  <c r="J205" i="1"/>
  <c r="L205" i="1"/>
  <c r="M205" i="1"/>
  <c r="O205" i="1"/>
  <c r="P205" i="1"/>
  <c r="R205" i="1"/>
  <c r="S205" i="1"/>
  <c r="Z205" i="1"/>
  <c r="M112" i="1"/>
  <c r="L112" i="1"/>
  <c r="Z112" i="1"/>
  <c r="F110" i="1"/>
  <c r="F111" i="1"/>
  <c r="F112" i="1"/>
  <c r="G110" i="1"/>
  <c r="G111" i="1"/>
  <c r="G112" i="1"/>
  <c r="R110" i="1"/>
  <c r="R111" i="1"/>
  <c r="R112" i="1"/>
  <c r="S110" i="1"/>
  <c r="S111" i="1"/>
  <c r="S112" i="1"/>
  <c r="Z111" i="1"/>
  <c r="O110" i="1"/>
  <c r="O111" i="1"/>
  <c r="O112" i="1"/>
  <c r="P110" i="1"/>
  <c r="P111" i="1"/>
  <c r="P112" i="1"/>
  <c r="L110" i="1"/>
  <c r="L111" i="1"/>
  <c r="M110" i="1"/>
  <c r="M111" i="1"/>
  <c r="I110" i="1"/>
  <c r="I111" i="1"/>
  <c r="I112" i="1"/>
  <c r="J110" i="1"/>
  <c r="J111" i="1"/>
  <c r="J112" i="1"/>
  <c r="Z110" i="1"/>
  <c r="AG495" i="1" l="1"/>
  <c r="AH495" i="1" s="1"/>
  <c r="AG359" i="1"/>
  <c r="AH359" i="1" s="1"/>
  <c r="AG116" i="1"/>
  <c r="AH116" i="1" s="1"/>
  <c r="AG117" i="1"/>
  <c r="AH117" i="1" s="1"/>
  <c r="AG115" i="1"/>
  <c r="AH115" i="1" s="1"/>
  <c r="AG477" i="1"/>
  <c r="AH477" i="1" s="1"/>
  <c r="AG5" i="1"/>
  <c r="AH5" i="1" s="1"/>
  <c r="AG564" i="1"/>
  <c r="AH564" i="1" s="1"/>
  <c r="AG352" i="1"/>
  <c r="AH352" i="1" s="1"/>
  <c r="AG6" i="1"/>
  <c r="AH6" i="1" s="1"/>
  <c r="AG236" i="1"/>
  <c r="AH236" i="1" s="1"/>
  <c r="AG351" i="1"/>
  <c r="AH351" i="1" s="1"/>
  <c r="AG349" i="1"/>
  <c r="AH349" i="1" s="1"/>
  <c r="AG563" i="1"/>
  <c r="AH563" i="1" s="1"/>
  <c r="AG562" i="1"/>
  <c r="AH562" i="1" s="1"/>
  <c r="AG571" i="1"/>
  <c r="AH571" i="1" s="1"/>
  <c r="AG2" i="1"/>
  <c r="AH2" i="1" s="1"/>
  <c r="AG572" i="1"/>
  <c r="AH572" i="1" s="1"/>
  <c r="AG539" i="1"/>
  <c r="AH539" i="1" s="1"/>
  <c r="AG244" i="1"/>
  <c r="AH244" i="1" s="1"/>
  <c r="AG357" i="1"/>
  <c r="AH357" i="1" s="1"/>
  <c r="AG114" i="1"/>
  <c r="AH114" i="1" s="1"/>
  <c r="AG19" i="1"/>
  <c r="AH19" i="1" s="1"/>
  <c r="AG264" i="1"/>
  <c r="AH264" i="1" s="1"/>
  <c r="AG513" i="1"/>
  <c r="AH513" i="1" s="1"/>
  <c r="AG565" i="1"/>
  <c r="AH565" i="1" s="1"/>
  <c r="AG337" i="1"/>
  <c r="AH337" i="1" s="1"/>
  <c r="AG443" i="1"/>
  <c r="AH443" i="1" s="1"/>
  <c r="AG237" i="1"/>
  <c r="AH237" i="1" s="1"/>
  <c r="AG3" i="1"/>
  <c r="AH3" i="1" s="1"/>
  <c r="AG474" i="1"/>
  <c r="AH474" i="1" s="1"/>
  <c r="AG4" i="1"/>
  <c r="AH4" i="1" s="1"/>
  <c r="AG566" i="1"/>
  <c r="AH566" i="1" s="1"/>
  <c r="AG353" i="1"/>
  <c r="AH353" i="1" s="1"/>
  <c r="AG475" i="1"/>
  <c r="AH475" i="1" s="1"/>
  <c r="AG307" i="1"/>
  <c r="AH307" i="1" s="1"/>
  <c r="AG21" i="1"/>
  <c r="AH21" i="1" s="1"/>
  <c r="AG299" i="1"/>
  <c r="AH299" i="1" s="1"/>
  <c r="AG567" i="1"/>
  <c r="AH567" i="1" s="1"/>
  <c r="AG233" i="1"/>
  <c r="AH233" i="1" s="1"/>
  <c r="AG18" i="1"/>
  <c r="AH18" i="1" s="1"/>
  <c r="AG214" i="1"/>
  <c r="AH214" i="1" s="1"/>
  <c r="AG234" i="1"/>
  <c r="AH234" i="1" s="1"/>
  <c r="AG350" i="1"/>
  <c r="AH350" i="1" s="1"/>
  <c r="AG568" i="1"/>
  <c r="AH568" i="1" s="1"/>
  <c r="AG22" i="1"/>
  <c r="AH22" i="1" s="1"/>
  <c r="AG574" i="1"/>
  <c r="AH574" i="1" s="1"/>
  <c r="AG306" i="1"/>
  <c r="AH306" i="1" s="1"/>
  <c r="AG573" i="1"/>
  <c r="AH573" i="1" s="1"/>
  <c r="AG235" i="1"/>
  <c r="AH235" i="1" s="1"/>
  <c r="AG569" i="1"/>
  <c r="AH569" i="1" s="1"/>
  <c r="AG20" i="1"/>
  <c r="AH20" i="1" s="1"/>
  <c r="AG570" i="1"/>
  <c r="AH570" i="1" s="1"/>
  <c r="AG521" i="1"/>
  <c r="AH521" i="1" s="1"/>
  <c r="AG344" i="1"/>
  <c r="AH344" i="1" s="1"/>
  <c r="AG484" i="1"/>
  <c r="AH484" i="1" s="1"/>
  <c r="AG216" i="1"/>
  <c r="AH216" i="1" s="1"/>
  <c r="AG137" i="1"/>
  <c r="AH137" i="1" s="1"/>
  <c r="C540" i="1"/>
  <c r="B142" i="1"/>
  <c r="A142" i="1" s="1"/>
  <c r="B540" i="1"/>
  <c r="AG167" i="1"/>
  <c r="AH167" i="1" s="1"/>
  <c r="B333" i="1"/>
  <c r="A333" i="1" s="1"/>
  <c r="C333" i="1"/>
  <c r="AG147" i="1"/>
  <c r="AH147" i="1" s="1"/>
  <c r="AG599" i="1"/>
  <c r="AH599" i="1" s="1"/>
  <c r="AG591" i="1"/>
  <c r="AH591" i="1" s="1"/>
  <c r="AG583" i="1"/>
  <c r="AH583" i="1" s="1"/>
  <c r="AG575" i="1"/>
  <c r="AH575" i="1" s="1"/>
  <c r="AG554" i="1"/>
  <c r="AH554" i="1" s="1"/>
  <c r="AG546" i="1"/>
  <c r="AH546" i="1" s="1"/>
  <c r="AG537" i="1"/>
  <c r="AH537" i="1" s="1"/>
  <c r="AG529" i="1"/>
  <c r="AH529" i="1" s="1"/>
  <c r="AG512" i="1"/>
  <c r="AH512" i="1" s="1"/>
  <c r="AG505" i="1"/>
  <c r="AH505" i="1" s="1"/>
  <c r="AG473" i="1"/>
  <c r="AH473" i="1" s="1"/>
  <c r="AG454" i="1"/>
  <c r="AH454" i="1" s="1"/>
  <c r="AG445" i="1"/>
  <c r="AH445" i="1" s="1"/>
  <c r="AG438" i="1"/>
  <c r="AH438" i="1" s="1"/>
  <c r="AG431" i="1"/>
  <c r="AH431" i="1" s="1"/>
  <c r="AG423" i="1"/>
  <c r="AH423" i="1" s="1"/>
  <c r="AG414" i="1"/>
  <c r="AH414" i="1" s="1"/>
  <c r="AG406" i="1"/>
  <c r="AH406" i="1" s="1"/>
  <c r="AG399" i="1"/>
  <c r="AH399" i="1" s="1"/>
  <c r="AG390" i="1"/>
  <c r="AH390" i="1" s="1"/>
  <c r="AG380" i="1"/>
  <c r="AH380" i="1" s="1"/>
  <c r="AG374" i="1"/>
  <c r="AH374" i="1" s="1"/>
  <c r="AG367" i="1"/>
  <c r="AH367" i="1" s="1"/>
  <c r="AG335" i="1"/>
  <c r="AH335" i="1" s="1"/>
  <c r="AG328" i="1"/>
  <c r="AH328" i="1" s="1"/>
  <c r="AG317" i="1"/>
  <c r="AH317" i="1" s="1"/>
  <c r="AG302" i="1"/>
  <c r="AH302" i="1" s="1"/>
  <c r="AG282" i="1"/>
  <c r="AH282" i="1" s="1"/>
  <c r="AG247" i="1"/>
  <c r="AH247" i="1" s="1"/>
  <c r="AG171" i="1"/>
  <c r="AH171" i="1" s="1"/>
  <c r="AG112" i="1"/>
  <c r="AH112" i="1" s="1"/>
  <c r="AG133" i="1"/>
  <c r="AH133" i="1" s="1"/>
  <c r="B334" i="1"/>
  <c r="A334" i="1" s="1"/>
  <c r="AG598" i="1"/>
  <c r="AH598" i="1" s="1"/>
  <c r="AG590" i="1"/>
  <c r="AH590" i="1" s="1"/>
  <c r="AG582" i="1"/>
  <c r="AH582" i="1" s="1"/>
  <c r="AG561" i="1"/>
  <c r="AH561" i="1" s="1"/>
  <c r="AG553" i="1"/>
  <c r="AH553" i="1" s="1"/>
  <c r="AG545" i="1"/>
  <c r="AH545" i="1" s="1"/>
  <c r="AG536" i="1"/>
  <c r="AH536" i="1" s="1"/>
  <c r="AG528" i="1"/>
  <c r="AH528" i="1" s="1"/>
  <c r="AG520" i="1"/>
  <c r="AH520" i="1" s="1"/>
  <c r="AG511" i="1"/>
  <c r="AH511" i="1" s="1"/>
  <c r="AG504" i="1"/>
  <c r="AH504" i="1" s="1"/>
  <c r="AG494" i="1"/>
  <c r="AH494" i="1" s="1"/>
  <c r="AG479" i="1"/>
  <c r="AH479" i="1" s="1"/>
  <c r="AG470" i="1"/>
  <c r="AH470" i="1" s="1"/>
  <c r="AG462" i="1"/>
  <c r="AH462" i="1" s="1"/>
  <c r="AG448" i="1"/>
  <c r="AH448" i="1" s="1"/>
  <c r="AG444" i="1"/>
  <c r="AH444" i="1" s="1"/>
  <c r="AG437" i="1"/>
  <c r="AH437" i="1" s="1"/>
  <c r="AG430" i="1"/>
  <c r="AH430" i="1" s="1"/>
  <c r="AG422" i="1"/>
  <c r="AH422" i="1" s="1"/>
  <c r="AG413" i="1"/>
  <c r="AH413" i="1" s="1"/>
  <c r="AG405" i="1"/>
  <c r="AH405" i="1" s="1"/>
  <c r="AG398" i="1"/>
  <c r="AH398" i="1" s="1"/>
  <c r="AG389" i="1"/>
  <c r="AH389" i="1" s="1"/>
  <c r="AG379" i="1"/>
  <c r="AH379" i="1" s="1"/>
  <c r="AG373" i="1"/>
  <c r="AH373" i="1" s="1"/>
  <c r="AG366" i="1"/>
  <c r="AH366" i="1" s="1"/>
  <c r="AG358" i="1"/>
  <c r="AH358" i="1" s="1"/>
  <c r="AG343" i="1"/>
  <c r="AH343" i="1" s="1"/>
  <c r="AG334" i="1"/>
  <c r="AH334" i="1" s="1"/>
  <c r="AG327" i="1"/>
  <c r="AH327" i="1" s="1"/>
  <c r="AG309" i="1"/>
  <c r="AH309" i="1" s="1"/>
  <c r="AG298" i="1"/>
  <c r="AH298" i="1" s="1"/>
  <c r="AG273" i="1"/>
  <c r="AH273" i="1" s="1"/>
  <c r="AG240" i="1"/>
  <c r="AH240" i="1" s="1"/>
  <c r="AG206" i="1"/>
  <c r="AH206" i="1" s="1"/>
  <c r="C334" i="1"/>
  <c r="AG118" i="1"/>
  <c r="AH118" i="1" s="1"/>
  <c r="AG126" i="1"/>
  <c r="AH126" i="1" s="1"/>
  <c r="AG134" i="1"/>
  <c r="AH134" i="1" s="1"/>
  <c r="AG111" i="1"/>
  <c r="AH111" i="1" s="1"/>
  <c r="AG119" i="1"/>
  <c r="AH119" i="1" s="1"/>
  <c r="AG127" i="1"/>
  <c r="AH127" i="1" s="1"/>
  <c r="AG120" i="1"/>
  <c r="AH120" i="1" s="1"/>
  <c r="AG128" i="1"/>
  <c r="AH128" i="1" s="1"/>
  <c r="AG138" i="1"/>
  <c r="AH138" i="1" s="1"/>
  <c r="AG148" i="1"/>
  <c r="AH148" i="1" s="1"/>
  <c r="AG157" i="1"/>
  <c r="AH157" i="1" s="1"/>
  <c r="AG163" i="1"/>
  <c r="AH163" i="1" s="1"/>
  <c r="AG168" i="1"/>
  <c r="AH168" i="1" s="1"/>
  <c r="AG172" i="1"/>
  <c r="AH172" i="1" s="1"/>
  <c r="AG186" i="1"/>
  <c r="AH186" i="1" s="1"/>
  <c r="AG198" i="1"/>
  <c r="AH198" i="1" s="1"/>
  <c r="AG207" i="1"/>
  <c r="AH207" i="1" s="1"/>
  <c r="AG217" i="1"/>
  <c r="AH217" i="1" s="1"/>
  <c r="AG223" i="1"/>
  <c r="AH223" i="1" s="1"/>
  <c r="AG232" i="1"/>
  <c r="AH232" i="1" s="1"/>
  <c r="AG241" i="1"/>
  <c r="AH241" i="1" s="1"/>
  <c r="AG248" i="1"/>
  <c r="AH248" i="1" s="1"/>
  <c r="AG256" i="1"/>
  <c r="AH256" i="1" s="1"/>
  <c r="AG266" i="1"/>
  <c r="AH266" i="1" s="1"/>
  <c r="AG274" i="1"/>
  <c r="AH274" i="1" s="1"/>
  <c r="AG283" i="1"/>
  <c r="AH283" i="1" s="1"/>
  <c r="AG292" i="1"/>
  <c r="AH292" i="1" s="1"/>
  <c r="AG113" i="1"/>
  <c r="AH113" i="1" s="1"/>
  <c r="AG135" i="1"/>
  <c r="AH135" i="1" s="1"/>
  <c r="AG139" i="1"/>
  <c r="AH139" i="1" s="1"/>
  <c r="AG154" i="1"/>
  <c r="AH154" i="1" s="1"/>
  <c r="AG159" i="1"/>
  <c r="AH159" i="1" s="1"/>
  <c r="AG164" i="1"/>
  <c r="AH164" i="1" s="1"/>
  <c r="AG169" i="1"/>
  <c r="AH169" i="1" s="1"/>
  <c r="AG178" i="1"/>
  <c r="AH178" i="1" s="1"/>
  <c r="AG189" i="1"/>
  <c r="AH189" i="1" s="1"/>
  <c r="AG199" i="1"/>
  <c r="AH199" i="1" s="1"/>
  <c r="AG208" i="1"/>
  <c r="AH208" i="1" s="1"/>
  <c r="AG220" i="1"/>
  <c r="AH220" i="1" s="1"/>
  <c r="AG224" i="1"/>
  <c r="AH224" i="1" s="1"/>
  <c r="AG249" i="1"/>
  <c r="AH249" i="1" s="1"/>
  <c r="AG257" i="1"/>
  <c r="AH257" i="1" s="1"/>
  <c r="AG270" i="1"/>
  <c r="AH270" i="1" s="1"/>
  <c r="AG275" i="1"/>
  <c r="AH275" i="1" s="1"/>
  <c r="AG285" i="1"/>
  <c r="AH285" i="1" s="1"/>
  <c r="AG293" i="1"/>
  <c r="AH293" i="1" s="1"/>
  <c r="AG300" i="1"/>
  <c r="AH300" i="1" s="1"/>
  <c r="AG305" i="1"/>
  <c r="AH305" i="1" s="1"/>
  <c r="AG310" i="1"/>
  <c r="AH310" i="1" s="1"/>
  <c r="AG325" i="1"/>
  <c r="AH325" i="1" s="1"/>
  <c r="AG121" i="1"/>
  <c r="AH121" i="1" s="1"/>
  <c r="AG136" i="1"/>
  <c r="AH136" i="1" s="1"/>
  <c r="AG140" i="1"/>
  <c r="AH140" i="1" s="1"/>
  <c r="AG155" i="1"/>
  <c r="AH155" i="1" s="1"/>
  <c r="AG160" i="1"/>
  <c r="AH160" i="1" s="1"/>
  <c r="AG165" i="1"/>
  <c r="AH165" i="1" s="1"/>
  <c r="AG170" i="1"/>
  <c r="AH170" i="1" s="1"/>
  <c r="AG179" i="1"/>
  <c r="AH179" i="1" s="1"/>
  <c r="AG192" i="1"/>
  <c r="AH192" i="1" s="1"/>
  <c r="AG200" i="1"/>
  <c r="AH200" i="1" s="1"/>
  <c r="AG209" i="1"/>
  <c r="AH209" i="1" s="1"/>
  <c r="AG221" i="1"/>
  <c r="AH221" i="1" s="1"/>
  <c r="AG225" i="1"/>
  <c r="AH225" i="1" s="1"/>
  <c r="AG239" i="1"/>
  <c r="AH239" i="1" s="1"/>
  <c r="AG245" i="1"/>
  <c r="AH245" i="1" s="1"/>
  <c r="AG250" i="1"/>
  <c r="AH250" i="1" s="1"/>
  <c r="AG263" i="1"/>
  <c r="AH263" i="1" s="1"/>
  <c r="AG272" i="1"/>
  <c r="AH272" i="1" s="1"/>
  <c r="AG281" i="1"/>
  <c r="AH281" i="1" s="1"/>
  <c r="AG288" i="1"/>
  <c r="AH288" i="1" s="1"/>
  <c r="AG295" i="1"/>
  <c r="AH295" i="1" s="1"/>
  <c r="AG301" i="1"/>
  <c r="AH301" i="1" s="1"/>
  <c r="AG316" i="1"/>
  <c r="AH316" i="1" s="1"/>
  <c r="AG597" i="1"/>
  <c r="AH597" i="1" s="1"/>
  <c r="AG589" i="1"/>
  <c r="AH589" i="1" s="1"/>
  <c r="AG581" i="1"/>
  <c r="AH581" i="1" s="1"/>
  <c r="AG560" i="1"/>
  <c r="AH560" i="1" s="1"/>
  <c r="AG552" i="1"/>
  <c r="AH552" i="1" s="1"/>
  <c r="AG544" i="1"/>
  <c r="AH544" i="1" s="1"/>
  <c r="AG535" i="1"/>
  <c r="AH535" i="1" s="1"/>
  <c r="AG527" i="1"/>
  <c r="AH527" i="1" s="1"/>
  <c r="AG519" i="1"/>
  <c r="AH519" i="1" s="1"/>
  <c r="AG510" i="1"/>
  <c r="AH510" i="1" s="1"/>
  <c r="AG503" i="1"/>
  <c r="AH503" i="1" s="1"/>
  <c r="AG486" i="1"/>
  <c r="AH486" i="1" s="1"/>
  <c r="AG478" i="1"/>
  <c r="AH478" i="1" s="1"/>
  <c r="AG468" i="1"/>
  <c r="AH468" i="1" s="1"/>
  <c r="AG456" i="1"/>
  <c r="AH456" i="1" s="1"/>
  <c r="AG447" i="1"/>
  <c r="AH447" i="1" s="1"/>
  <c r="AG442" i="1"/>
  <c r="AH442" i="1" s="1"/>
  <c r="AG434" i="1"/>
  <c r="AH434" i="1" s="1"/>
  <c r="AG429" i="1"/>
  <c r="AH429" i="1" s="1"/>
  <c r="AG421" i="1"/>
  <c r="AH421" i="1" s="1"/>
  <c r="AG408" i="1"/>
  <c r="AH408" i="1" s="1"/>
  <c r="AG402" i="1"/>
  <c r="AH402" i="1" s="1"/>
  <c r="AG397" i="1"/>
  <c r="AH397" i="1" s="1"/>
  <c r="AG383" i="1"/>
  <c r="AH383" i="1" s="1"/>
  <c r="AG378" i="1"/>
  <c r="AH378" i="1" s="1"/>
  <c r="AG372" i="1"/>
  <c r="AH372" i="1" s="1"/>
  <c r="AG365" i="1"/>
  <c r="AH365" i="1" s="1"/>
  <c r="AG356" i="1"/>
  <c r="AH356" i="1" s="1"/>
  <c r="AG342" i="1"/>
  <c r="AH342" i="1" s="1"/>
  <c r="AG333" i="1"/>
  <c r="AH333" i="1" s="1"/>
  <c r="AG326" i="1"/>
  <c r="AH326" i="1" s="1"/>
  <c r="AG308" i="1"/>
  <c r="AH308" i="1" s="1"/>
  <c r="AG296" i="1"/>
  <c r="AH296" i="1" s="1"/>
  <c r="AG265" i="1"/>
  <c r="AH265" i="1" s="1"/>
  <c r="AG231" i="1"/>
  <c r="AH231" i="1" s="1"/>
  <c r="AG193" i="1"/>
  <c r="AH193" i="1" s="1"/>
  <c r="AG162" i="1"/>
  <c r="AH162" i="1" s="1"/>
  <c r="AG129" i="1"/>
  <c r="AH129" i="1" s="1"/>
  <c r="AG596" i="1"/>
  <c r="AH596" i="1" s="1"/>
  <c r="AG588" i="1"/>
  <c r="AH588" i="1" s="1"/>
  <c r="AG580" i="1"/>
  <c r="AH580" i="1" s="1"/>
  <c r="AG559" i="1"/>
  <c r="AH559" i="1" s="1"/>
  <c r="AG551" i="1"/>
  <c r="AH551" i="1" s="1"/>
  <c r="AG543" i="1"/>
  <c r="AH543" i="1" s="1"/>
  <c r="AG534" i="1"/>
  <c r="AH534" i="1" s="1"/>
  <c r="AG526" i="1"/>
  <c r="AH526" i="1" s="1"/>
  <c r="AG518" i="1"/>
  <c r="AH518" i="1" s="1"/>
  <c r="AG502" i="1"/>
  <c r="AH502" i="1" s="1"/>
  <c r="AG485" i="1"/>
  <c r="AH485" i="1" s="1"/>
  <c r="AG476" i="1"/>
  <c r="AH476" i="1" s="1"/>
  <c r="AG455" i="1"/>
  <c r="AH455" i="1" s="1"/>
  <c r="AG446" i="1"/>
  <c r="AH446" i="1" s="1"/>
  <c r="AG439" i="1"/>
  <c r="AH439" i="1" s="1"/>
  <c r="AG432" i="1"/>
  <c r="AH432" i="1" s="1"/>
  <c r="AG424" i="1"/>
  <c r="AH424" i="1" s="1"/>
  <c r="AG415" i="1"/>
  <c r="AH415" i="1" s="1"/>
  <c r="AG407" i="1"/>
  <c r="AH407" i="1" s="1"/>
  <c r="AG400" i="1"/>
  <c r="AH400" i="1" s="1"/>
  <c r="AG391" i="1"/>
  <c r="AH391" i="1" s="1"/>
  <c r="AG382" i="1"/>
  <c r="AH382" i="1" s="1"/>
  <c r="AG377" i="1"/>
  <c r="AH377" i="1" s="1"/>
  <c r="AG369" i="1"/>
  <c r="AH369" i="1" s="1"/>
  <c r="AG364" i="1"/>
  <c r="AH364" i="1" s="1"/>
  <c r="AG355" i="1"/>
  <c r="AH355" i="1" s="1"/>
  <c r="AG336" i="1"/>
  <c r="AH336" i="1" s="1"/>
  <c r="AG330" i="1"/>
  <c r="AH330" i="1" s="1"/>
  <c r="AG318" i="1"/>
  <c r="AH318" i="1" s="1"/>
  <c r="AG304" i="1"/>
  <c r="AH304" i="1" s="1"/>
  <c r="AG290" i="1"/>
  <c r="AH290" i="1" s="1"/>
  <c r="AG255" i="1"/>
  <c r="AH255" i="1" s="1"/>
  <c r="AG222" i="1"/>
  <c r="AH222" i="1" s="1"/>
  <c r="AG180" i="1"/>
  <c r="AH180" i="1" s="1"/>
  <c r="AG156" i="1"/>
  <c r="AH156" i="1" s="1"/>
  <c r="AG125" i="1"/>
  <c r="AH125" i="1" s="1"/>
  <c r="AG594" i="1"/>
  <c r="AH594" i="1" s="1"/>
  <c r="AG586" i="1"/>
  <c r="AH586" i="1" s="1"/>
  <c r="AG578" i="1"/>
  <c r="AH578" i="1" s="1"/>
  <c r="AG557" i="1"/>
  <c r="AH557" i="1" s="1"/>
  <c r="AG549" i="1"/>
  <c r="AH549" i="1" s="1"/>
  <c r="AG541" i="1"/>
  <c r="AH541" i="1" s="1"/>
  <c r="AG538" i="1"/>
  <c r="AH538" i="1" s="1"/>
  <c r="AG530" i="1"/>
  <c r="AH530" i="1" s="1"/>
  <c r="AG517" i="1"/>
  <c r="AH517" i="1" s="1"/>
  <c r="AG509" i="1"/>
  <c r="AH509" i="1" s="1"/>
  <c r="AG499" i="1"/>
  <c r="AH499" i="1" s="1"/>
  <c r="AG491" i="1"/>
  <c r="AH491" i="1" s="1"/>
  <c r="AG487" i="1"/>
  <c r="AH487" i="1" s="1"/>
  <c r="AG483" i="1"/>
  <c r="AH483" i="1" s="1"/>
  <c r="AG472" i="1"/>
  <c r="AH472" i="1" s="1"/>
  <c r="AG461" i="1"/>
  <c r="AH461" i="1" s="1"/>
  <c r="AG457" i="1"/>
  <c r="AH457" i="1" s="1"/>
  <c r="AG453" i="1"/>
  <c r="AH453" i="1" s="1"/>
  <c r="AG449" i="1"/>
  <c r="AH449" i="1" s="1"/>
  <c r="AG440" i="1"/>
  <c r="AH440" i="1" s="1"/>
  <c r="AG436" i="1"/>
  <c r="AH436" i="1" s="1"/>
  <c r="AG428" i="1"/>
  <c r="AH428" i="1" s="1"/>
  <c r="AG420" i="1"/>
  <c r="AH420" i="1" s="1"/>
  <c r="AG416" i="1"/>
  <c r="AH416" i="1" s="1"/>
  <c r="AG412" i="1"/>
  <c r="AH412" i="1" s="1"/>
  <c r="AG404" i="1"/>
  <c r="AH404" i="1" s="1"/>
  <c r="AG396" i="1"/>
  <c r="AH396" i="1" s="1"/>
  <c r="AG392" i="1"/>
  <c r="AH392" i="1" s="1"/>
  <c r="AG388" i="1"/>
  <c r="AH388" i="1" s="1"/>
  <c r="AG384" i="1"/>
  <c r="AH384" i="1" s="1"/>
  <c r="AG375" i="1"/>
  <c r="AH375" i="1" s="1"/>
  <c r="AG371" i="1"/>
  <c r="AH371" i="1" s="1"/>
  <c r="AG363" i="1"/>
  <c r="AH363" i="1" s="1"/>
  <c r="AG354" i="1"/>
  <c r="AH354" i="1" s="1"/>
  <c r="AG345" i="1"/>
  <c r="AH345" i="1" s="1"/>
  <c r="AG341" i="1"/>
  <c r="AH341" i="1" s="1"/>
  <c r="AG332" i="1"/>
  <c r="AH332" i="1" s="1"/>
  <c r="AG323" i="1"/>
  <c r="AH323" i="1" s="1"/>
  <c r="AG319" i="1"/>
  <c r="AH319" i="1" s="1"/>
  <c r="AG315" i="1"/>
  <c r="AH315" i="1" s="1"/>
  <c r="AG311" i="1"/>
  <c r="AH311" i="1" s="1"/>
  <c r="AG297" i="1"/>
  <c r="AH297" i="1" s="1"/>
  <c r="AG287" i="1"/>
  <c r="AH287" i="1" s="1"/>
  <c r="AG279" i="1"/>
  <c r="AH279" i="1" s="1"/>
  <c r="AG271" i="1"/>
  <c r="AH271" i="1" s="1"/>
  <c r="AG267" i="1"/>
  <c r="AH267" i="1" s="1"/>
  <c r="AG262" i="1"/>
  <c r="AH262" i="1" s="1"/>
  <c r="AG258" i="1"/>
  <c r="AH258" i="1" s="1"/>
  <c r="AG254" i="1"/>
  <c r="AH254" i="1" s="1"/>
  <c r="AG246" i="1"/>
  <c r="AH246" i="1" s="1"/>
  <c r="AG242" i="1"/>
  <c r="AH242" i="1" s="1"/>
  <c r="AG238" i="1"/>
  <c r="AH238" i="1" s="1"/>
  <c r="AG230" i="1"/>
  <c r="AH230" i="1" s="1"/>
  <c r="AG226" i="1"/>
  <c r="AH226" i="1" s="1"/>
  <c r="AG218" i="1"/>
  <c r="AH218" i="1" s="1"/>
  <c r="AG213" i="1"/>
  <c r="AH213" i="1" s="1"/>
  <c r="AG205" i="1"/>
  <c r="AH205" i="1" s="1"/>
  <c r="AG201" i="1"/>
  <c r="AH201" i="1" s="1"/>
  <c r="AG197" i="1"/>
  <c r="AH197" i="1" s="1"/>
  <c r="AG185" i="1"/>
  <c r="AH185" i="1" s="1"/>
  <c r="AG181" i="1"/>
  <c r="AH181" i="1" s="1"/>
  <c r="AG177" i="1"/>
  <c r="AH177" i="1" s="1"/>
  <c r="AG173" i="1"/>
  <c r="AH173" i="1" s="1"/>
  <c r="AG161" i="1"/>
  <c r="AH161" i="1" s="1"/>
  <c r="AG153" i="1"/>
  <c r="AH153" i="1" s="1"/>
  <c r="AG149" i="1"/>
  <c r="AH149" i="1" s="1"/>
  <c r="AG145" i="1"/>
  <c r="AH145" i="1" s="1"/>
  <c r="AG141" i="1"/>
  <c r="AH141" i="1" s="1"/>
  <c r="AG132" i="1"/>
  <c r="AH132" i="1" s="1"/>
  <c r="AG124" i="1"/>
  <c r="AH124" i="1" s="1"/>
  <c r="AG593" i="1"/>
  <c r="AH593" i="1" s="1"/>
  <c r="AG585" i="1"/>
  <c r="AH585" i="1" s="1"/>
  <c r="AG577" i="1"/>
  <c r="AH577" i="1" s="1"/>
  <c r="AG556" i="1"/>
  <c r="AH556" i="1" s="1"/>
  <c r="AG548" i="1"/>
  <c r="AH548" i="1" s="1"/>
  <c r="AG533" i="1"/>
  <c r="AH533" i="1" s="1"/>
  <c r="AG524" i="1"/>
  <c r="AH524" i="1" s="1"/>
  <c r="AG516" i="1"/>
  <c r="AH516" i="1" s="1"/>
  <c r="AG508" i="1"/>
  <c r="AH508" i="1" s="1"/>
  <c r="AG498" i="1"/>
  <c r="AH498" i="1" s="1"/>
  <c r="AG490" i="1"/>
  <c r="AH490" i="1" s="1"/>
  <c r="AG482" i="1"/>
  <c r="AH482" i="1" s="1"/>
  <c r="AG471" i="1"/>
  <c r="AH471" i="1" s="1"/>
  <c r="AG460" i="1"/>
  <c r="AH460" i="1" s="1"/>
  <c r="AG452" i="1"/>
  <c r="AH452" i="1" s="1"/>
  <c r="AG435" i="1"/>
  <c r="AH435" i="1" s="1"/>
  <c r="AG427" i="1"/>
  <c r="AH427" i="1" s="1"/>
  <c r="AG419" i="1"/>
  <c r="AH419" i="1" s="1"/>
  <c r="AG411" i="1"/>
  <c r="AH411" i="1" s="1"/>
  <c r="AG403" i="1"/>
  <c r="AH403" i="1" s="1"/>
  <c r="AG395" i="1"/>
  <c r="AH395" i="1" s="1"/>
  <c r="AG387" i="1"/>
  <c r="AH387" i="1" s="1"/>
  <c r="AG370" i="1"/>
  <c r="AH370" i="1" s="1"/>
  <c r="AG362" i="1"/>
  <c r="AH362" i="1" s="1"/>
  <c r="AG348" i="1"/>
  <c r="AH348" i="1" s="1"/>
  <c r="AG340" i="1"/>
  <c r="AH340" i="1" s="1"/>
  <c r="AG331" i="1"/>
  <c r="AH331" i="1" s="1"/>
  <c r="AG322" i="1"/>
  <c r="AH322" i="1" s="1"/>
  <c r="AG314" i="1"/>
  <c r="AH314" i="1" s="1"/>
  <c r="AG286" i="1"/>
  <c r="AH286" i="1" s="1"/>
  <c r="AG278" i="1"/>
  <c r="AH278" i="1" s="1"/>
  <c r="AG261" i="1"/>
  <c r="AH261" i="1" s="1"/>
  <c r="AG253" i="1"/>
  <c r="AH253" i="1" s="1"/>
  <c r="AG229" i="1"/>
  <c r="AH229" i="1" s="1"/>
  <c r="AG212" i="1"/>
  <c r="AH212" i="1" s="1"/>
  <c r="AG204" i="1"/>
  <c r="AH204" i="1" s="1"/>
  <c r="AG196" i="1"/>
  <c r="AH196" i="1" s="1"/>
  <c r="AG184" i="1"/>
  <c r="AH184" i="1" s="1"/>
  <c r="AG176" i="1"/>
  <c r="AH176" i="1" s="1"/>
  <c r="AG152" i="1"/>
  <c r="AH152" i="1" s="1"/>
  <c r="AG144" i="1"/>
  <c r="AH144" i="1" s="1"/>
  <c r="AG525" i="1"/>
  <c r="AH525" i="1" s="1"/>
  <c r="AG110" i="1"/>
  <c r="AH110" i="1" s="1"/>
  <c r="AG131" i="1"/>
  <c r="AH131" i="1" s="1"/>
  <c r="AG123" i="1"/>
  <c r="AH123" i="1" s="1"/>
  <c r="AG600" i="1"/>
  <c r="AH600" i="1" s="1"/>
  <c r="AG592" i="1"/>
  <c r="AH592" i="1" s="1"/>
  <c r="AG584" i="1"/>
  <c r="AH584" i="1" s="1"/>
  <c r="AG576" i="1"/>
  <c r="AH576" i="1" s="1"/>
  <c r="AG555" i="1"/>
  <c r="AH555" i="1" s="1"/>
  <c r="AG547" i="1"/>
  <c r="AH547" i="1" s="1"/>
  <c r="AG532" i="1"/>
  <c r="AH532" i="1" s="1"/>
  <c r="AG523" i="1"/>
  <c r="AH523" i="1" s="1"/>
  <c r="AG515" i="1"/>
  <c r="AH515" i="1" s="1"/>
  <c r="AG507" i="1"/>
  <c r="AH507" i="1" s="1"/>
  <c r="AG497" i="1"/>
  <c r="AH497" i="1" s="1"/>
  <c r="AG493" i="1"/>
  <c r="AH493" i="1" s="1"/>
  <c r="AG489" i="1"/>
  <c r="AH489" i="1" s="1"/>
  <c r="AG481" i="1"/>
  <c r="AH481" i="1" s="1"/>
  <c r="AG459" i="1"/>
  <c r="AH459" i="1" s="1"/>
  <c r="AG451" i="1"/>
  <c r="AH451" i="1" s="1"/>
  <c r="AG426" i="1"/>
  <c r="AH426" i="1" s="1"/>
  <c r="AG418" i="1"/>
  <c r="AH418" i="1" s="1"/>
  <c r="AG410" i="1"/>
  <c r="AH410" i="1" s="1"/>
  <c r="AG394" i="1"/>
  <c r="AH394" i="1" s="1"/>
  <c r="AG386" i="1"/>
  <c r="AH386" i="1" s="1"/>
  <c r="AG361" i="1"/>
  <c r="AH361" i="1" s="1"/>
  <c r="AG347" i="1"/>
  <c r="AH347" i="1" s="1"/>
  <c r="AG339" i="1"/>
  <c r="AH339" i="1" s="1"/>
  <c r="AG321" i="1"/>
  <c r="AH321" i="1" s="1"/>
  <c r="AG313" i="1"/>
  <c r="AH313" i="1" s="1"/>
  <c r="AG277" i="1"/>
  <c r="AH277" i="1" s="1"/>
  <c r="AG269" i="1"/>
  <c r="AH269" i="1" s="1"/>
  <c r="AG260" i="1"/>
  <c r="AH260" i="1" s="1"/>
  <c r="AG252" i="1"/>
  <c r="AH252" i="1" s="1"/>
  <c r="AG228" i="1"/>
  <c r="AH228" i="1" s="1"/>
  <c r="AG211" i="1"/>
  <c r="AH211" i="1" s="1"/>
  <c r="AG203" i="1"/>
  <c r="AH203" i="1" s="1"/>
  <c r="AG195" i="1"/>
  <c r="AH195" i="1" s="1"/>
  <c r="AG183" i="1"/>
  <c r="AH183" i="1" s="1"/>
  <c r="AG175" i="1"/>
  <c r="AH175" i="1" s="1"/>
  <c r="AG151" i="1"/>
  <c r="AH151" i="1" s="1"/>
  <c r="AG143" i="1"/>
  <c r="AH143" i="1" s="1"/>
  <c r="AG130" i="1"/>
  <c r="AH130" i="1" s="1"/>
  <c r="AG122" i="1"/>
  <c r="AH122" i="1" s="1"/>
  <c r="AG595" i="1"/>
  <c r="AH595" i="1" s="1"/>
  <c r="AG587" i="1"/>
  <c r="AH587" i="1" s="1"/>
  <c r="AG579" i="1"/>
  <c r="AH579" i="1" s="1"/>
  <c r="AG558" i="1"/>
  <c r="AH558" i="1" s="1"/>
  <c r="AG550" i="1"/>
  <c r="AH550" i="1" s="1"/>
  <c r="AG542" i="1"/>
  <c r="AH542" i="1" s="1"/>
  <c r="AG540" i="1"/>
  <c r="AH540" i="1" s="1"/>
  <c r="AG531" i="1"/>
  <c r="AH531" i="1" s="1"/>
  <c r="AG522" i="1"/>
  <c r="AH522" i="1" s="1"/>
  <c r="AG514" i="1"/>
  <c r="AH514" i="1" s="1"/>
  <c r="AG506" i="1"/>
  <c r="AH506" i="1" s="1"/>
  <c r="AG496" i="1"/>
  <c r="AH496" i="1" s="1"/>
  <c r="AG492" i="1"/>
  <c r="AH492" i="1" s="1"/>
  <c r="AG488" i="1"/>
  <c r="AH488" i="1" s="1"/>
  <c r="AG480" i="1"/>
  <c r="AH480" i="1" s="1"/>
  <c r="AG469" i="1"/>
  <c r="AH469" i="1" s="1"/>
  <c r="AG458" i="1"/>
  <c r="AH458" i="1" s="1"/>
  <c r="AG450" i="1"/>
  <c r="AH450" i="1" s="1"/>
  <c r="AG441" i="1"/>
  <c r="AH441" i="1" s="1"/>
  <c r="AG433" i="1"/>
  <c r="AH433" i="1" s="1"/>
  <c r="AG425" i="1"/>
  <c r="AH425" i="1" s="1"/>
  <c r="AG417" i="1"/>
  <c r="AH417" i="1" s="1"/>
  <c r="AG409" i="1"/>
  <c r="AH409" i="1" s="1"/>
  <c r="AG401" i="1"/>
  <c r="AH401" i="1" s="1"/>
  <c r="AG393" i="1"/>
  <c r="AH393" i="1" s="1"/>
  <c r="AG385" i="1"/>
  <c r="AH385" i="1" s="1"/>
  <c r="AG376" i="1"/>
  <c r="AH376" i="1" s="1"/>
  <c r="AG368" i="1"/>
  <c r="AH368" i="1" s="1"/>
  <c r="AG360" i="1"/>
  <c r="AH360" i="1" s="1"/>
  <c r="AG346" i="1"/>
  <c r="AH346" i="1" s="1"/>
  <c r="AG338" i="1"/>
  <c r="AH338" i="1" s="1"/>
  <c r="AG329" i="1"/>
  <c r="AH329" i="1" s="1"/>
  <c r="AG320" i="1"/>
  <c r="AH320" i="1" s="1"/>
  <c r="AG312" i="1"/>
  <c r="AH312" i="1" s="1"/>
  <c r="AG303" i="1"/>
  <c r="AH303" i="1" s="1"/>
  <c r="AG294" i="1"/>
  <c r="AH294" i="1" s="1"/>
  <c r="AG284" i="1"/>
  <c r="AH284" i="1" s="1"/>
  <c r="AG280" i="1"/>
  <c r="AH280" i="1" s="1"/>
  <c r="AG276" i="1"/>
  <c r="AH276" i="1" s="1"/>
  <c r="AG268" i="1"/>
  <c r="AH268" i="1" s="1"/>
  <c r="AG259" i="1"/>
  <c r="AH259" i="1" s="1"/>
  <c r="AG251" i="1"/>
  <c r="AH251" i="1" s="1"/>
  <c r="AG243" i="1"/>
  <c r="AH243" i="1" s="1"/>
  <c r="AG227" i="1"/>
  <c r="AH227" i="1" s="1"/>
  <c r="AG219" i="1"/>
  <c r="AH219" i="1" s="1"/>
  <c r="AG215" i="1"/>
  <c r="AH215" i="1" s="1"/>
  <c r="AG210" i="1"/>
  <c r="AH210" i="1" s="1"/>
  <c r="AG202" i="1"/>
  <c r="AH202" i="1" s="1"/>
  <c r="AG194" i="1"/>
  <c r="AH194" i="1" s="1"/>
  <c r="AG182" i="1"/>
  <c r="AH182" i="1" s="1"/>
  <c r="AG174" i="1"/>
  <c r="AH174" i="1" s="1"/>
  <c r="AG166" i="1"/>
  <c r="AH166" i="1" s="1"/>
  <c r="AG158" i="1"/>
  <c r="AH158" i="1" s="1"/>
  <c r="AG150" i="1"/>
  <c r="AH150" i="1" s="1"/>
  <c r="AG146" i="1"/>
  <c r="AH146" i="1" s="1"/>
  <c r="AG142" i="1"/>
  <c r="AH142" i="1" s="1"/>
  <c r="B444" i="1"/>
  <c r="A444" i="1" s="1"/>
  <c r="C133" i="1"/>
  <c r="C124" i="1"/>
  <c r="B124" i="1"/>
  <c r="A124" i="1" s="1"/>
  <c r="C138" i="1"/>
  <c r="C130" i="1"/>
  <c r="B138" i="1"/>
  <c r="A138" i="1" s="1"/>
  <c r="B139" i="1"/>
  <c r="A139" i="1" s="1"/>
  <c r="B145" i="1"/>
  <c r="A145" i="1" s="1"/>
  <c r="C139" i="1"/>
  <c r="C136" i="1"/>
  <c r="C127" i="1"/>
  <c r="B127" i="1"/>
  <c r="A127" i="1" s="1"/>
  <c r="C150" i="1"/>
  <c r="B150" i="1"/>
  <c r="A150" i="1" s="1"/>
  <c r="B134" i="1"/>
  <c r="A134" i="1" s="1"/>
  <c r="B126" i="1"/>
  <c r="A126" i="1" s="1"/>
  <c r="B149" i="1"/>
  <c r="A149" i="1" s="1"/>
  <c r="C149" i="1"/>
  <c r="C148" i="1"/>
  <c r="B148" i="1"/>
  <c r="A148" i="1" s="1"/>
  <c r="C147" i="1"/>
  <c r="C145" i="1"/>
  <c r="C146" i="1"/>
  <c r="B147" i="1"/>
  <c r="A147" i="1" s="1"/>
  <c r="B146" i="1"/>
  <c r="A146" i="1" s="1"/>
  <c r="C144" i="1"/>
  <c r="B143" i="1"/>
  <c r="A143" i="1" s="1"/>
  <c r="B144" i="1"/>
  <c r="A144" i="1" s="1"/>
  <c r="C143" i="1"/>
  <c r="C142" i="1"/>
  <c r="B135" i="1"/>
  <c r="A135" i="1" s="1"/>
  <c r="B140" i="1"/>
  <c r="A140" i="1" s="1"/>
  <c r="B141" i="1"/>
  <c r="A141" i="1" s="1"/>
  <c r="C141" i="1"/>
  <c r="C140" i="1"/>
  <c r="C137" i="1"/>
  <c r="B137" i="1"/>
  <c r="A137" i="1" s="1"/>
  <c r="B136" i="1"/>
  <c r="A136" i="1" s="1"/>
  <c r="C135" i="1"/>
  <c r="C134" i="1"/>
  <c r="B133" i="1"/>
  <c r="A133" i="1" s="1"/>
  <c r="B132" i="1"/>
  <c r="A132" i="1" s="1"/>
  <c r="B131" i="1"/>
  <c r="A131" i="1" s="1"/>
  <c r="C132" i="1"/>
  <c r="B129" i="1"/>
  <c r="A129" i="1" s="1"/>
  <c r="C131" i="1"/>
  <c r="C129" i="1"/>
  <c r="B125" i="1"/>
  <c r="A125" i="1" s="1"/>
  <c r="C128" i="1"/>
  <c r="C123" i="1"/>
  <c r="B128" i="1"/>
  <c r="A128" i="1" s="1"/>
  <c r="C126" i="1"/>
  <c r="C125" i="1"/>
  <c r="B130" i="1"/>
  <c r="A130" i="1" s="1"/>
  <c r="B123" i="1"/>
  <c r="A123" i="1" s="1"/>
  <c r="C122" i="1"/>
  <c r="B121" i="1"/>
  <c r="A121" i="1" s="1"/>
  <c r="B119" i="1"/>
  <c r="A119" i="1" s="1"/>
  <c r="C119" i="1"/>
  <c r="B120" i="1"/>
  <c r="A120" i="1" s="1"/>
  <c r="C121" i="1"/>
  <c r="C120" i="1"/>
  <c r="B122" i="1"/>
  <c r="A122" i="1" s="1"/>
  <c r="C440" i="1"/>
  <c r="B438" i="1"/>
  <c r="A438" i="1" s="1"/>
  <c r="B442" i="1"/>
  <c r="A442" i="1" s="1"/>
  <c r="C271" i="1"/>
  <c r="C262" i="1"/>
  <c r="C254" i="1"/>
  <c r="B441" i="1"/>
  <c r="A441" i="1" s="1"/>
  <c r="C438" i="1"/>
  <c r="C441" i="1"/>
  <c r="C270" i="1"/>
  <c r="C261" i="1"/>
  <c r="C253" i="1"/>
  <c r="B440" i="1"/>
  <c r="A440" i="1" s="1"/>
  <c r="C442" i="1"/>
  <c r="B439" i="1"/>
  <c r="A439" i="1" s="1"/>
  <c r="B445" i="1"/>
  <c r="A445" i="1" s="1"/>
  <c r="C444" i="1"/>
  <c r="C439" i="1"/>
  <c r="C445" i="1"/>
  <c r="C268" i="1"/>
  <c r="C251" i="1"/>
  <c r="C269" i="1"/>
  <c r="C250" i="1"/>
  <c r="C260" i="1"/>
  <c r="C252" i="1"/>
  <c r="C509" i="1"/>
  <c r="B447" i="1"/>
  <c r="C461" i="1"/>
  <c r="C272" i="1"/>
  <c r="C263" i="1"/>
  <c r="C255" i="1"/>
  <c r="B446" i="1"/>
  <c r="B492" i="1"/>
  <c r="C311" i="1"/>
  <c r="C266" i="1"/>
  <c r="C257" i="1"/>
  <c r="C447" i="1"/>
  <c r="C265" i="1"/>
  <c r="C536" i="1"/>
  <c r="C528" i="1"/>
  <c r="C520" i="1"/>
  <c r="C511" i="1"/>
  <c r="C504" i="1"/>
  <c r="C494" i="1"/>
  <c r="C486" i="1"/>
  <c r="C478" i="1"/>
  <c r="C456" i="1"/>
  <c r="C448" i="1"/>
  <c r="C491" i="1"/>
  <c r="B493" i="1"/>
  <c r="B476" i="1"/>
  <c r="C256" i="1"/>
  <c r="B535" i="1"/>
  <c r="B527" i="1"/>
  <c r="B519" i="1"/>
  <c r="B510" i="1"/>
  <c r="B503" i="1"/>
  <c r="B485" i="1"/>
  <c r="B455" i="1"/>
  <c r="B525" i="1"/>
  <c r="B270" i="1"/>
  <c r="A270" i="1" s="1"/>
  <c r="B533" i="1"/>
  <c r="B509" i="1"/>
  <c r="B491" i="1"/>
  <c r="B472" i="1"/>
  <c r="B453" i="1"/>
  <c r="B522" i="1"/>
  <c r="C533" i="1"/>
  <c r="C525" i="1"/>
  <c r="C517" i="1"/>
  <c r="C499" i="1"/>
  <c r="C483" i="1"/>
  <c r="C479" i="1"/>
  <c r="C472" i="1"/>
  <c r="C453" i="1"/>
  <c r="C527" i="1"/>
  <c r="C519" i="1"/>
  <c r="C515" i="1"/>
  <c r="C510" i="1"/>
  <c r="C503" i="1"/>
  <c r="C493" i="1"/>
  <c r="C489" i="1"/>
  <c r="C485" i="1"/>
  <c r="C476" i="1"/>
  <c r="C459" i="1"/>
  <c r="C455" i="1"/>
  <c r="B480" i="1"/>
  <c r="B514" i="1"/>
  <c r="B506" i="1"/>
  <c r="B496" i="1"/>
  <c r="B488" i="1"/>
  <c r="B458" i="1"/>
  <c r="B450" i="1"/>
  <c r="B538" i="1"/>
  <c r="B469" i="1"/>
  <c r="B534" i="1"/>
  <c r="B518" i="1"/>
  <c r="B502" i="1"/>
  <c r="B484" i="1"/>
  <c r="B473" i="1"/>
  <c r="B462" i="1"/>
  <c r="B454" i="1"/>
  <c r="C507" i="1"/>
  <c r="B532" i="1"/>
  <c r="B524" i="1"/>
  <c r="B516" i="1"/>
  <c r="B508" i="1"/>
  <c r="B498" i="1"/>
  <c r="B490" i="1"/>
  <c r="B482" i="1"/>
  <c r="B471" i="1"/>
  <c r="B460" i="1"/>
  <c r="B452" i="1"/>
  <c r="C531" i="1"/>
  <c r="C470" i="1"/>
  <c r="C481" i="1"/>
  <c r="C523" i="1"/>
  <c r="C535" i="1"/>
  <c r="C537" i="1"/>
  <c r="C529" i="1"/>
  <c r="C521" i="1"/>
  <c r="C512" i="1"/>
  <c r="C505" i="1"/>
  <c r="C495" i="1"/>
  <c r="C487" i="1"/>
  <c r="C468" i="1"/>
  <c r="C457" i="1"/>
  <c r="C449" i="1"/>
  <c r="C451" i="1"/>
  <c r="C497" i="1"/>
  <c r="C267" i="1"/>
  <c r="C259" i="1"/>
  <c r="C258" i="1"/>
  <c r="C490" i="1"/>
  <c r="C482" i="1"/>
  <c r="B479" i="1"/>
  <c r="B526" i="1"/>
  <c r="C538" i="1"/>
  <c r="C534" i="1"/>
  <c r="C530" i="1"/>
  <c r="C526" i="1"/>
  <c r="C522" i="1"/>
  <c r="C518" i="1"/>
  <c r="C514" i="1"/>
  <c r="C506" i="1"/>
  <c r="C502" i="1"/>
  <c r="C496" i="1"/>
  <c r="C492" i="1"/>
  <c r="C488" i="1"/>
  <c r="C484" i="1"/>
  <c r="C480" i="1"/>
  <c r="C473" i="1"/>
  <c r="C469" i="1"/>
  <c r="C462" i="1"/>
  <c r="C458" i="1"/>
  <c r="C454" i="1"/>
  <c r="C450" i="1"/>
  <c r="C446" i="1"/>
  <c r="B517" i="1"/>
  <c r="B499" i="1"/>
  <c r="B483" i="1"/>
  <c r="B461" i="1"/>
  <c r="C532" i="1"/>
  <c r="C524" i="1"/>
  <c r="C516" i="1"/>
  <c r="C508" i="1"/>
  <c r="C498" i="1"/>
  <c r="C471" i="1"/>
  <c r="C460" i="1"/>
  <c r="C452" i="1"/>
  <c r="B531" i="1"/>
  <c r="B523" i="1"/>
  <c r="B515" i="1"/>
  <c r="B507" i="1"/>
  <c r="B497" i="1"/>
  <c r="B489" i="1"/>
  <c r="B481" i="1"/>
  <c r="B459" i="1"/>
  <c r="B451" i="1"/>
  <c r="B530" i="1"/>
  <c r="B470" i="1"/>
  <c r="B457" i="1"/>
  <c r="B529" i="1"/>
  <c r="B521" i="1"/>
  <c r="B512" i="1"/>
  <c r="B505" i="1"/>
  <c r="B495" i="1"/>
  <c r="B487" i="1"/>
  <c r="B468" i="1"/>
  <c r="B449" i="1"/>
  <c r="B494" i="1"/>
  <c r="B536" i="1"/>
  <c r="B528" i="1"/>
  <c r="B520" i="1"/>
  <c r="B511" i="1"/>
  <c r="B504" i="1"/>
  <c r="B486" i="1"/>
  <c r="B478" i="1"/>
  <c r="B456" i="1"/>
  <c r="B448" i="1"/>
  <c r="B537" i="1"/>
  <c r="B205" i="1"/>
  <c r="A205" i="1" s="1"/>
  <c r="C205" i="1"/>
  <c r="B112" i="1"/>
  <c r="A112" i="1" s="1"/>
  <c r="C111" i="1"/>
  <c r="C112" i="1"/>
  <c r="C110" i="1"/>
  <c r="B111" i="1"/>
  <c r="A111" i="1" s="1"/>
  <c r="B110" i="1"/>
  <c r="A110" i="1" s="1"/>
  <c r="Z8" i="1" l="1"/>
  <c r="Z9" i="1"/>
  <c r="Z10" i="1"/>
  <c r="Z11" i="1"/>
  <c r="Z12" i="1"/>
  <c r="Z13" i="1"/>
  <c r="Z14" i="1"/>
  <c r="Z15" i="1"/>
  <c r="Z16" i="1"/>
  <c r="Z17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3" i="1"/>
  <c r="Z118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9" i="1"/>
  <c r="Z192" i="1"/>
  <c r="Z193" i="1"/>
  <c r="Z194" i="1"/>
  <c r="Z195" i="1"/>
  <c r="Z196" i="1"/>
  <c r="Z197" i="1"/>
  <c r="Z198" i="1"/>
  <c r="Z199" i="1"/>
  <c r="Z200" i="1"/>
  <c r="Z201" i="1"/>
  <c r="Z203" i="1"/>
  <c r="Z204" i="1"/>
  <c r="Z206" i="1"/>
  <c r="Z207" i="1"/>
  <c r="Z208" i="1"/>
  <c r="Z209" i="1"/>
  <c r="Z210" i="1"/>
  <c r="Z211" i="1"/>
  <c r="Z212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8" i="1"/>
  <c r="Z239" i="1"/>
  <c r="Z240" i="1"/>
  <c r="Z241" i="1"/>
  <c r="Z242" i="1"/>
  <c r="Z243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90" i="1"/>
  <c r="Z292" i="1"/>
  <c r="Z293" i="1"/>
  <c r="Z294" i="1"/>
  <c r="Z295" i="1"/>
  <c r="Z296" i="1"/>
  <c r="Z297" i="1"/>
  <c r="Z298" i="1"/>
  <c r="Z300" i="1"/>
  <c r="Z301" i="1"/>
  <c r="Z302" i="1"/>
  <c r="Z303" i="1"/>
  <c r="Z304" i="1"/>
  <c r="Z305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5" i="1"/>
  <c r="Z326" i="1"/>
  <c r="Z327" i="1"/>
  <c r="Z328" i="1"/>
  <c r="Z329" i="1"/>
  <c r="Z330" i="1"/>
  <c r="Z331" i="1"/>
  <c r="Z332" i="1"/>
  <c r="Z335" i="1"/>
  <c r="Z336" i="1"/>
  <c r="Z339" i="1"/>
  <c r="Z340" i="1"/>
  <c r="Z341" i="1"/>
  <c r="Z342" i="1"/>
  <c r="Z343" i="1"/>
  <c r="Z344" i="1"/>
  <c r="Z345" i="1"/>
  <c r="Z346" i="1"/>
  <c r="Z347" i="1"/>
  <c r="Z348" i="1"/>
  <c r="Z354" i="1"/>
  <c r="Z355" i="1"/>
  <c r="Z356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46" i="1"/>
  <c r="Z7" i="1"/>
  <c r="P232" i="1" l="1"/>
  <c r="O232" i="1"/>
  <c r="L232" i="1"/>
  <c r="P231" i="1"/>
  <c r="O231" i="1"/>
  <c r="L231" i="1"/>
  <c r="P230" i="1"/>
  <c r="O230" i="1"/>
  <c r="L230" i="1"/>
  <c r="P229" i="1"/>
  <c r="O229" i="1"/>
  <c r="M229" i="1"/>
  <c r="L229" i="1"/>
  <c r="P228" i="1"/>
  <c r="O228" i="1"/>
  <c r="M228" i="1"/>
  <c r="L228" i="1"/>
  <c r="R227" i="1"/>
  <c r="P227" i="1"/>
  <c r="O227" i="1"/>
  <c r="M227" i="1"/>
  <c r="L227" i="1"/>
  <c r="R226" i="1"/>
  <c r="P226" i="1"/>
  <c r="O226" i="1"/>
  <c r="M226" i="1"/>
  <c r="L226" i="1"/>
  <c r="R225" i="1"/>
  <c r="P225" i="1"/>
  <c r="O225" i="1"/>
  <c r="M225" i="1"/>
  <c r="L225" i="1"/>
  <c r="R224" i="1"/>
  <c r="P224" i="1"/>
  <c r="O224" i="1"/>
  <c r="M224" i="1"/>
  <c r="L224" i="1"/>
  <c r="R223" i="1"/>
  <c r="P223" i="1"/>
  <c r="O223" i="1"/>
  <c r="M223" i="1"/>
  <c r="L223" i="1"/>
  <c r="R222" i="1"/>
  <c r="P222" i="1"/>
  <c r="O222" i="1"/>
  <c r="M222" i="1"/>
  <c r="L222" i="1"/>
  <c r="R220" i="1"/>
  <c r="P220" i="1"/>
  <c r="O220" i="1"/>
  <c r="M220" i="1"/>
  <c r="L220" i="1"/>
  <c r="R219" i="1"/>
  <c r="P219" i="1"/>
  <c r="O219" i="1"/>
  <c r="M219" i="1"/>
  <c r="L219" i="1"/>
  <c r="S218" i="1"/>
  <c r="R218" i="1"/>
  <c r="P218" i="1"/>
  <c r="O218" i="1"/>
  <c r="M218" i="1"/>
  <c r="L218" i="1"/>
  <c r="S217" i="1"/>
  <c r="R217" i="1"/>
  <c r="P217" i="1"/>
  <c r="O217" i="1"/>
  <c r="M217" i="1"/>
  <c r="L217" i="1"/>
  <c r="S216" i="1"/>
  <c r="R216" i="1"/>
  <c r="P216" i="1"/>
  <c r="O216" i="1"/>
  <c r="M216" i="1"/>
  <c r="L216" i="1"/>
  <c r="S215" i="1"/>
  <c r="R215" i="1"/>
  <c r="O215" i="1"/>
  <c r="L215" i="1"/>
  <c r="J215" i="1"/>
  <c r="I215" i="1"/>
  <c r="S207" i="1"/>
  <c r="R207" i="1"/>
  <c r="P207" i="1"/>
  <c r="O207" i="1"/>
  <c r="M207" i="1"/>
  <c r="L207" i="1"/>
  <c r="S206" i="1"/>
  <c r="R206" i="1"/>
  <c r="P206" i="1"/>
  <c r="O206" i="1"/>
  <c r="M206" i="1"/>
  <c r="L206" i="1"/>
  <c r="S204" i="1"/>
  <c r="R204" i="1"/>
  <c r="P204" i="1"/>
  <c r="O204" i="1"/>
  <c r="M204" i="1"/>
  <c r="L204" i="1"/>
  <c r="S203" i="1"/>
  <c r="R203" i="1"/>
  <c r="P203" i="1"/>
  <c r="O203" i="1"/>
  <c r="M203" i="1"/>
  <c r="L203" i="1"/>
  <c r="S202" i="1"/>
  <c r="R202" i="1"/>
  <c r="P202" i="1"/>
  <c r="O202" i="1"/>
  <c r="M202" i="1"/>
  <c r="L202" i="1"/>
  <c r="S201" i="1"/>
  <c r="R201" i="1"/>
  <c r="P201" i="1"/>
  <c r="O201" i="1"/>
  <c r="M201" i="1"/>
  <c r="L201" i="1"/>
  <c r="S200" i="1"/>
  <c r="R200" i="1"/>
  <c r="P200" i="1"/>
  <c r="O200" i="1"/>
  <c r="M200" i="1"/>
  <c r="L200" i="1"/>
  <c r="S199" i="1"/>
  <c r="R199" i="1"/>
  <c r="P199" i="1"/>
  <c r="O199" i="1"/>
  <c r="M199" i="1"/>
  <c r="L199" i="1"/>
  <c r="S198" i="1"/>
  <c r="R198" i="1"/>
  <c r="P198" i="1"/>
  <c r="O198" i="1"/>
  <c r="M198" i="1"/>
  <c r="L198" i="1"/>
  <c r="S197" i="1"/>
  <c r="R197" i="1"/>
  <c r="P197" i="1"/>
  <c r="O197" i="1"/>
  <c r="M197" i="1"/>
  <c r="L197" i="1"/>
  <c r="S196" i="1"/>
  <c r="R196" i="1"/>
  <c r="P196" i="1"/>
  <c r="O196" i="1"/>
  <c r="M196" i="1"/>
  <c r="L196" i="1"/>
  <c r="S195" i="1"/>
  <c r="R195" i="1"/>
  <c r="P195" i="1"/>
  <c r="O195" i="1"/>
  <c r="M195" i="1"/>
  <c r="L195" i="1"/>
  <c r="S194" i="1"/>
  <c r="R194" i="1"/>
  <c r="P194" i="1"/>
  <c r="O194" i="1"/>
  <c r="M194" i="1"/>
  <c r="L194" i="1"/>
  <c r="S193" i="1"/>
  <c r="R193" i="1"/>
  <c r="P193" i="1"/>
  <c r="O193" i="1"/>
  <c r="M193" i="1"/>
  <c r="L193" i="1"/>
  <c r="S192" i="1"/>
  <c r="R192" i="1"/>
  <c r="P192" i="1"/>
  <c r="O192" i="1"/>
  <c r="M192" i="1"/>
  <c r="L192" i="1"/>
  <c r="M185" i="1"/>
  <c r="M171" i="1"/>
  <c r="M172" i="1"/>
  <c r="R171" i="1"/>
  <c r="S171" i="1"/>
  <c r="R172" i="1"/>
  <c r="S172" i="1"/>
  <c r="R173" i="1"/>
  <c r="S173" i="1"/>
  <c r="R174" i="1"/>
  <c r="S174" i="1"/>
  <c r="R175" i="1"/>
  <c r="S175" i="1"/>
  <c r="R176" i="1"/>
  <c r="S176" i="1"/>
  <c r="R177" i="1"/>
  <c r="S177" i="1"/>
  <c r="R178" i="1"/>
  <c r="S178" i="1"/>
  <c r="R179" i="1"/>
  <c r="S179" i="1"/>
  <c r="R180" i="1"/>
  <c r="S180" i="1"/>
  <c r="R181" i="1"/>
  <c r="S181" i="1"/>
  <c r="R182" i="1"/>
  <c r="S182" i="1"/>
  <c r="R183" i="1"/>
  <c r="S183" i="1"/>
  <c r="R184" i="1"/>
  <c r="S184" i="1"/>
  <c r="R185" i="1"/>
  <c r="S185" i="1"/>
  <c r="R186" i="1"/>
  <c r="S186" i="1"/>
  <c r="R189" i="1"/>
  <c r="S189" i="1"/>
  <c r="B215" i="1" l="1"/>
  <c r="A215" i="1" s="1"/>
  <c r="C215" i="1"/>
  <c r="S170" i="1"/>
  <c r="R170" i="1"/>
  <c r="P170" i="1"/>
  <c r="O170" i="1"/>
  <c r="M170" i="1"/>
  <c r="L170" i="1"/>
  <c r="S169" i="1"/>
  <c r="R169" i="1"/>
  <c r="P169" i="1"/>
  <c r="O169" i="1"/>
  <c r="M169" i="1"/>
  <c r="L169" i="1"/>
  <c r="S168" i="1"/>
  <c r="R168" i="1"/>
  <c r="P168" i="1"/>
  <c r="O168" i="1"/>
  <c r="M168" i="1"/>
  <c r="L168" i="1"/>
  <c r="S167" i="1"/>
  <c r="R167" i="1"/>
  <c r="P167" i="1"/>
  <c r="O167" i="1"/>
  <c r="M167" i="1"/>
  <c r="L167" i="1"/>
  <c r="S166" i="1"/>
  <c r="R166" i="1"/>
  <c r="P166" i="1"/>
  <c r="O166" i="1"/>
  <c r="M166" i="1"/>
  <c r="L166" i="1"/>
  <c r="S165" i="1"/>
  <c r="R165" i="1"/>
  <c r="P165" i="1"/>
  <c r="O165" i="1"/>
  <c r="M165" i="1"/>
  <c r="L165" i="1"/>
  <c r="S164" i="1"/>
  <c r="R164" i="1"/>
  <c r="P164" i="1"/>
  <c r="O164" i="1"/>
  <c r="M164" i="1"/>
  <c r="L164" i="1"/>
  <c r="S163" i="1"/>
  <c r="R163" i="1"/>
  <c r="P163" i="1"/>
  <c r="O163" i="1"/>
  <c r="M163" i="1"/>
  <c r="L163" i="1"/>
  <c r="S162" i="1"/>
  <c r="R162" i="1"/>
  <c r="P162" i="1"/>
  <c r="O162" i="1"/>
  <c r="M162" i="1"/>
  <c r="L162" i="1"/>
  <c r="S161" i="1"/>
  <c r="R161" i="1"/>
  <c r="P161" i="1"/>
  <c r="O161" i="1"/>
  <c r="M161" i="1"/>
  <c r="L161" i="1"/>
  <c r="R7" i="1"/>
  <c r="S7" i="1"/>
  <c r="R8" i="1"/>
  <c r="S8" i="1"/>
  <c r="R9" i="1"/>
  <c r="S9" i="1"/>
  <c r="R10" i="1"/>
  <c r="S10" i="1"/>
  <c r="P160" i="1"/>
  <c r="O160" i="1"/>
  <c r="M160" i="1"/>
  <c r="L160" i="1"/>
  <c r="P159" i="1"/>
  <c r="O159" i="1"/>
  <c r="M159" i="1"/>
  <c r="L159" i="1"/>
  <c r="P158" i="1"/>
  <c r="O158" i="1"/>
  <c r="M158" i="1"/>
  <c r="L158" i="1"/>
  <c r="P157" i="1"/>
  <c r="O157" i="1"/>
  <c r="M157" i="1"/>
  <c r="L157" i="1"/>
  <c r="P156" i="1"/>
  <c r="O156" i="1"/>
  <c r="M156" i="1"/>
  <c r="L156" i="1"/>
  <c r="P155" i="1"/>
  <c r="O155" i="1"/>
  <c r="M155" i="1"/>
  <c r="L155" i="1"/>
  <c r="P154" i="1"/>
  <c r="O154" i="1"/>
  <c r="M154" i="1"/>
  <c r="L154" i="1"/>
  <c r="P153" i="1"/>
  <c r="O153" i="1"/>
  <c r="M153" i="1"/>
  <c r="L153" i="1"/>
  <c r="P152" i="1"/>
  <c r="O152" i="1"/>
  <c r="M152" i="1"/>
  <c r="L152" i="1"/>
  <c r="P151" i="1"/>
  <c r="O151" i="1"/>
  <c r="M151" i="1"/>
  <c r="L151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3" i="1"/>
  <c r="S118" i="1"/>
  <c r="S151" i="1"/>
  <c r="S152" i="1"/>
  <c r="S153" i="1"/>
  <c r="S154" i="1"/>
  <c r="S155" i="1"/>
  <c r="S156" i="1"/>
  <c r="S157" i="1"/>
  <c r="S158" i="1"/>
  <c r="S159" i="1"/>
  <c r="S160" i="1"/>
  <c r="S208" i="1"/>
  <c r="S209" i="1"/>
  <c r="S210" i="1"/>
  <c r="S211" i="1"/>
  <c r="S212" i="1"/>
  <c r="S213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3" i="1"/>
  <c r="R118" i="1"/>
  <c r="R151" i="1"/>
  <c r="R152" i="1"/>
  <c r="R153" i="1"/>
  <c r="R154" i="1"/>
  <c r="R155" i="1"/>
  <c r="R156" i="1"/>
  <c r="R157" i="1"/>
  <c r="R158" i="1"/>
  <c r="R159" i="1"/>
  <c r="R160" i="1"/>
  <c r="R208" i="1"/>
  <c r="R209" i="1"/>
  <c r="R210" i="1"/>
  <c r="R211" i="1"/>
  <c r="R212" i="1"/>
  <c r="R213" i="1"/>
  <c r="R221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3" i="1"/>
  <c r="O118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9" i="1"/>
  <c r="O208" i="1"/>
  <c r="O209" i="1"/>
  <c r="O210" i="1"/>
  <c r="O211" i="1"/>
  <c r="O212" i="1"/>
  <c r="O213" i="1"/>
  <c r="O221" i="1"/>
  <c r="O238" i="1"/>
  <c r="O239" i="1"/>
  <c r="O240" i="1"/>
  <c r="O241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3" i="1"/>
  <c r="M118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6" i="1"/>
  <c r="M189" i="1"/>
  <c r="M208" i="1"/>
  <c r="M209" i="1"/>
  <c r="M210" i="1"/>
  <c r="M211" i="1"/>
  <c r="M212" i="1"/>
  <c r="M213" i="1"/>
  <c r="M221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3" i="1"/>
  <c r="L118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9" i="1"/>
  <c r="L208" i="1"/>
  <c r="L209" i="1"/>
  <c r="L210" i="1"/>
  <c r="L211" i="1"/>
  <c r="L212" i="1"/>
  <c r="L213" i="1"/>
  <c r="L221" i="1"/>
  <c r="J54" i="1"/>
  <c r="I54" i="1"/>
  <c r="G54" i="1"/>
  <c r="F54" i="1"/>
  <c r="J53" i="1"/>
  <c r="I53" i="1"/>
  <c r="G53" i="1"/>
  <c r="F53" i="1"/>
  <c r="S13" i="1"/>
  <c r="S14" i="1"/>
  <c r="S15" i="1"/>
  <c r="S16" i="1"/>
  <c r="S17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R13" i="1"/>
  <c r="R14" i="1"/>
  <c r="R15" i="1"/>
  <c r="R16" i="1"/>
  <c r="R17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J50" i="1"/>
  <c r="I50" i="1"/>
  <c r="G50" i="1"/>
  <c r="F50" i="1"/>
  <c r="J49" i="1"/>
  <c r="I49" i="1"/>
  <c r="G49" i="1"/>
  <c r="F49" i="1"/>
  <c r="AF53" i="1"/>
  <c r="AG53" i="1" s="1"/>
  <c r="AH53" i="1" s="1"/>
  <c r="AF54" i="1"/>
  <c r="AG54" i="1" s="1"/>
  <c r="AH54" i="1" s="1"/>
  <c r="AF50" i="1"/>
  <c r="AG50" i="1" s="1"/>
  <c r="AH50" i="1" s="1"/>
  <c r="AF49" i="1"/>
  <c r="AG49" i="1" s="1"/>
  <c r="AH49" i="1" s="1"/>
  <c r="C53" i="1" l="1"/>
  <c r="C49" i="1"/>
  <c r="C54" i="1"/>
  <c r="C50" i="1"/>
  <c r="F7" i="1" l="1"/>
  <c r="G7" i="1"/>
  <c r="I7" i="1"/>
  <c r="J7" i="1"/>
  <c r="L7" i="1"/>
  <c r="M7" i="1"/>
  <c r="O7" i="1"/>
  <c r="F8" i="1"/>
  <c r="G8" i="1"/>
  <c r="I8" i="1"/>
  <c r="J8" i="1"/>
  <c r="L8" i="1"/>
  <c r="M8" i="1"/>
  <c r="O8" i="1"/>
  <c r="F9" i="1"/>
  <c r="G9" i="1"/>
  <c r="I9" i="1"/>
  <c r="J9" i="1"/>
  <c r="L9" i="1"/>
  <c r="M9" i="1"/>
  <c r="O9" i="1"/>
  <c r="F10" i="1"/>
  <c r="G10" i="1"/>
  <c r="I10" i="1"/>
  <c r="J10" i="1"/>
  <c r="L10" i="1"/>
  <c r="M10" i="1"/>
  <c r="O10" i="1"/>
  <c r="F11" i="1"/>
  <c r="G11" i="1"/>
  <c r="I11" i="1"/>
  <c r="J11" i="1"/>
  <c r="L11" i="1"/>
  <c r="M11" i="1"/>
  <c r="O11" i="1"/>
  <c r="R11" i="1"/>
  <c r="S11" i="1"/>
  <c r="F12" i="1"/>
  <c r="G12" i="1"/>
  <c r="I12" i="1"/>
  <c r="J12" i="1"/>
  <c r="L12" i="1"/>
  <c r="M12" i="1"/>
  <c r="O12" i="1"/>
  <c r="R12" i="1"/>
  <c r="S12" i="1"/>
  <c r="F13" i="1"/>
  <c r="G13" i="1"/>
  <c r="I13" i="1"/>
  <c r="J13" i="1"/>
  <c r="L13" i="1"/>
  <c r="M13" i="1"/>
  <c r="O13" i="1"/>
  <c r="F14" i="1"/>
  <c r="G14" i="1"/>
  <c r="I14" i="1"/>
  <c r="J14" i="1"/>
  <c r="L14" i="1"/>
  <c r="M14" i="1"/>
  <c r="O14" i="1"/>
  <c r="F15" i="1"/>
  <c r="G15" i="1"/>
  <c r="I15" i="1"/>
  <c r="J15" i="1"/>
  <c r="L15" i="1"/>
  <c r="M15" i="1"/>
  <c r="O15" i="1"/>
  <c r="F16" i="1"/>
  <c r="G16" i="1"/>
  <c r="I16" i="1"/>
  <c r="J16" i="1"/>
  <c r="L16" i="1"/>
  <c r="M16" i="1"/>
  <c r="O16" i="1"/>
  <c r="F17" i="1"/>
  <c r="G17" i="1"/>
  <c r="I17" i="1"/>
  <c r="J17" i="1"/>
  <c r="L17" i="1"/>
  <c r="M17" i="1"/>
  <c r="O17" i="1"/>
  <c r="F23" i="1"/>
  <c r="G23" i="1"/>
  <c r="I23" i="1"/>
  <c r="J23" i="1"/>
  <c r="L23" i="1"/>
  <c r="M23" i="1"/>
  <c r="O23" i="1"/>
  <c r="F24" i="1"/>
  <c r="G24" i="1"/>
  <c r="I24" i="1"/>
  <c r="J24" i="1"/>
  <c r="L24" i="1"/>
  <c r="M24" i="1"/>
  <c r="O24" i="1"/>
  <c r="F25" i="1"/>
  <c r="G25" i="1"/>
  <c r="I25" i="1"/>
  <c r="J25" i="1"/>
  <c r="L25" i="1"/>
  <c r="M25" i="1"/>
  <c r="O25" i="1"/>
  <c r="F26" i="1"/>
  <c r="G26" i="1"/>
  <c r="I26" i="1"/>
  <c r="J26" i="1"/>
  <c r="L26" i="1"/>
  <c r="M26" i="1"/>
  <c r="O26" i="1"/>
  <c r="F27" i="1"/>
  <c r="G27" i="1"/>
  <c r="I27" i="1"/>
  <c r="J27" i="1"/>
  <c r="L27" i="1"/>
  <c r="M27" i="1"/>
  <c r="O27" i="1"/>
  <c r="F28" i="1"/>
  <c r="G28" i="1"/>
  <c r="I28" i="1"/>
  <c r="J28" i="1"/>
  <c r="L28" i="1"/>
  <c r="M28" i="1"/>
  <c r="O28" i="1"/>
  <c r="F29" i="1"/>
  <c r="G29" i="1"/>
  <c r="I29" i="1"/>
  <c r="J29" i="1"/>
  <c r="L29" i="1"/>
  <c r="M29" i="1"/>
  <c r="O29" i="1"/>
  <c r="F30" i="1"/>
  <c r="G30" i="1"/>
  <c r="I30" i="1"/>
  <c r="J30" i="1"/>
  <c r="L30" i="1"/>
  <c r="M30" i="1"/>
  <c r="O30" i="1"/>
  <c r="F31" i="1"/>
  <c r="G31" i="1"/>
  <c r="I31" i="1"/>
  <c r="J31" i="1"/>
  <c r="L31" i="1"/>
  <c r="M31" i="1"/>
  <c r="O31" i="1"/>
  <c r="F32" i="1"/>
  <c r="G32" i="1"/>
  <c r="I32" i="1"/>
  <c r="J32" i="1"/>
  <c r="L32" i="1"/>
  <c r="M32" i="1"/>
  <c r="O32" i="1"/>
  <c r="F33" i="1"/>
  <c r="G33" i="1"/>
  <c r="I33" i="1"/>
  <c r="J33" i="1"/>
  <c r="L33" i="1"/>
  <c r="M33" i="1"/>
  <c r="O33" i="1"/>
  <c r="F34" i="1"/>
  <c r="G34" i="1"/>
  <c r="I34" i="1"/>
  <c r="J34" i="1"/>
  <c r="L34" i="1"/>
  <c r="M34" i="1"/>
  <c r="O34" i="1"/>
  <c r="F35" i="1"/>
  <c r="G35" i="1"/>
  <c r="I35" i="1"/>
  <c r="J35" i="1"/>
  <c r="L35" i="1"/>
  <c r="M35" i="1"/>
  <c r="O35" i="1"/>
  <c r="F36" i="1"/>
  <c r="G36" i="1"/>
  <c r="I36" i="1"/>
  <c r="J36" i="1"/>
  <c r="L36" i="1"/>
  <c r="M36" i="1"/>
  <c r="O36" i="1"/>
  <c r="F37" i="1"/>
  <c r="G37" i="1"/>
  <c r="I37" i="1"/>
  <c r="J37" i="1"/>
  <c r="L37" i="1"/>
  <c r="M37" i="1"/>
  <c r="O37" i="1"/>
  <c r="F38" i="1"/>
  <c r="G38" i="1"/>
  <c r="I38" i="1"/>
  <c r="J38" i="1"/>
  <c r="L38" i="1"/>
  <c r="M38" i="1"/>
  <c r="O38" i="1"/>
  <c r="F39" i="1"/>
  <c r="G39" i="1"/>
  <c r="I39" i="1"/>
  <c r="J39" i="1"/>
  <c r="L39" i="1"/>
  <c r="M39" i="1"/>
  <c r="O39" i="1"/>
  <c r="F40" i="1"/>
  <c r="G40" i="1"/>
  <c r="I40" i="1"/>
  <c r="J40" i="1"/>
  <c r="L40" i="1"/>
  <c r="F41" i="1"/>
  <c r="G41" i="1"/>
  <c r="I41" i="1"/>
  <c r="J41" i="1"/>
  <c r="L41" i="1"/>
  <c r="F42" i="1"/>
  <c r="G42" i="1"/>
  <c r="I42" i="1"/>
  <c r="J42" i="1"/>
  <c r="L42" i="1"/>
  <c r="F43" i="1"/>
  <c r="G43" i="1"/>
  <c r="I43" i="1"/>
  <c r="J43" i="1"/>
  <c r="L43" i="1"/>
  <c r="F44" i="1"/>
  <c r="G44" i="1"/>
  <c r="I44" i="1"/>
  <c r="J44" i="1"/>
  <c r="L44" i="1"/>
  <c r="F45" i="1"/>
  <c r="G45" i="1"/>
  <c r="I45" i="1"/>
  <c r="J45" i="1"/>
  <c r="F46" i="1"/>
  <c r="G46" i="1"/>
  <c r="I46" i="1"/>
  <c r="J46" i="1"/>
  <c r="F47" i="1"/>
  <c r="G47" i="1"/>
  <c r="I47" i="1"/>
  <c r="J47" i="1"/>
  <c r="F48" i="1"/>
  <c r="G48" i="1"/>
  <c r="I48" i="1"/>
  <c r="J48" i="1"/>
  <c r="F51" i="1"/>
  <c r="G51" i="1"/>
  <c r="I51" i="1"/>
  <c r="J51" i="1"/>
  <c r="F52" i="1"/>
  <c r="G52" i="1"/>
  <c r="I52" i="1"/>
  <c r="J52" i="1"/>
  <c r="F55" i="1"/>
  <c r="G55" i="1"/>
  <c r="I55" i="1"/>
  <c r="J55" i="1"/>
  <c r="F56" i="1"/>
  <c r="G56" i="1"/>
  <c r="I56" i="1"/>
  <c r="J56" i="1"/>
  <c r="F57" i="1"/>
  <c r="G57" i="1"/>
  <c r="I57" i="1"/>
  <c r="J57" i="1"/>
  <c r="F58" i="1"/>
  <c r="G58" i="1"/>
  <c r="I58" i="1"/>
  <c r="J58" i="1"/>
  <c r="F59" i="1"/>
  <c r="G59" i="1"/>
  <c r="I59" i="1"/>
  <c r="J59" i="1"/>
  <c r="F60" i="1"/>
  <c r="G60" i="1"/>
  <c r="I60" i="1"/>
  <c r="J60" i="1"/>
  <c r="F61" i="1"/>
  <c r="G61" i="1"/>
  <c r="I61" i="1"/>
  <c r="J61" i="1"/>
  <c r="F62" i="1"/>
  <c r="G62" i="1"/>
  <c r="I62" i="1"/>
  <c r="J62" i="1"/>
  <c r="F63" i="1"/>
  <c r="G63" i="1"/>
  <c r="I63" i="1"/>
  <c r="J63" i="1"/>
  <c r="F64" i="1"/>
  <c r="G64" i="1"/>
  <c r="I64" i="1"/>
  <c r="J64" i="1"/>
  <c r="F65" i="1"/>
  <c r="G65" i="1"/>
  <c r="I65" i="1"/>
  <c r="J65" i="1"/>
  <c r="F66" i="1"/>
  <c r="G66" i="1"/>
  <c r="I66" i="1"/>
  <c r="J66" i="1"/>
  <c r="F67" i="1"/>
  <c r="G67" i="1"/>
  <c r="I67" i="1"/>
  <c r="J67" i="1"/>
  <c r="F68" i="1"/>
  <c r="G68" i="1"/>
  <c r="I68" i="1"/>
  <c r="J68" i="1"/>
  <c r="F69" i="1"/>
  <c r="G69" i="1"/>
  <c r="I69" i="1"/>
  <c r="J69" i="1"/>
  <c r="F70" i="1"/>
  <c r="G70" i="1"/>
  <c r="I70" i="1"/>
  <c r="J70" i="1"/>
  <c r="F71" i="1"/>
  <c r="G71" i="1"/>
  <c r="I71" i="1"/>
  <c r="J71" i="1"/>
  <c r="F72" i="1"/>
  <c r="G72" i="1"/>
  <c r="I72" i="1"/>
  <c r="J72" i="1"/>
  <c r="F73" i="1"/>
  <c r="G73" i="1"/>
  <c r="I73" i="1"/>
  <c r="J73" i="1"/>
  <c r="F74" i="1"/>
  <c r="G74" i="1"/>
  <c r="I74" i="1"/>
  <c r="J74" i="1"/>
  <c r="F75" i="1"/>
  <c r="G75" i="1"/>
  <c r="I75" i="1"/>
  <c r="J75" i="1"/>
  <c r="F76" i="1"/>
  <c r="G76" i="1"/>
  <c r="I76" i="1"/>
  <c r="J76" i="1"/>
  <c r="F77" i="1"/>
  <c r="G77" i="1"/>
  <c r="I77" i="1"/>
  <c r="J77" i="1"/>
  <c r="F78" i="1"/>
  <c r="G78" i="1"/>
  <c r="I78" i="1"/>
  <c r="J78" i="1"/>
  <c r="F79" i="1"/>
  <c r="G79" i="1"/>
  <c r="I79" i="1"/>
  <c r="J79" i="1"/>
  <c r="F80" i="1"/>
  <c r="G80" i="1"/>
  <c r="I80" i="1"/>
  <c r="J80" i="1"/>
  <c r="F81" i="1"/>
  <c r="G81" i="1"/>
  <c r="I81" i="1"/>
  <c r="J81" i="1"/>
  <c r="F82" i="1"/>
  <c r="G82" i="1"/>
  <c r="I82" i="1"/>
  <c r="J82" i="1"/>
  <c r="F83" i="1"/>
  <c r="G83" i="1"/>
  <c r="I83" i="1"/>
  <c r="J83" i="1"/>
  <c r="F84" i="1"/>
  <c r="G84" i="1"/>
  <c r="I84" i="1"/>
  <c r="J84" i="1"/>
  <c r="F85" i="1"/>
  <c r="G85" i="1"/>
  <c r="I85" i="1"/>
  <c r="J85" i="1"/>
  <c r="F86" i="1"/>
  <c r="G86" i="1"/>
  <c r="I86" i="1"/>
  <c r="J86" i="1"/>
  <c r="F87" i="1"/>
  <c r="G87" i="1"/>
  <c r="I87" i="1"/>
  <c r="J87" i="1"/>
  <c r="F88" i="1"/>
  <c r="G88" i="1"/>
  <c r="I88" i="1"/>
  <c r="J88" i="1"/>
  <c r="F89" i="1"/>
  <c r="G89" i="1"/>
  <c r="I89" i="1"/>
  <c r="J89" i="1"/>
  <c r="F90" i="1"/>
  <c r="G90" i="1"/>
  <c r="I90" i="1"/>
  <c r="J90" i="1"/>
  <c r="F91" i="1"/>
  <c r="G91" i="1"/>
  <c r="I91" i="1"/>
  <c r="J91" i="1"/>
  <c r="F92" i="1"/>
  <c r="G92" i="1"/>
  <c r="I92" i="1"/>
  <c r="J92" i="1"/>
  <c r="F93" i="1"/>
  <c r="G93" i="1"/>
  <c r="I93" i="1"/>
  <c r="J93" i="1"/>
  <c r="F94" i="1"/>
  <c r="G94" i="1"/>
  <c r="I94" i="1"/>
  <c r="J94" i="1"/>
  <c r="F95" i="1"/>
  <c r="G95" i="1"/>
  <c r="I95" i="1"/>
  <c r="J95" i="1"/>
  <c r="F96" i="1"/>
  <c r="G96" i="1"/>
  <c r="I96" i="1"/>
  <c r="J96" i="1"/>
  <c r="F97" i="1"/>
  <c r="G97" i="1"/>
  <c r="I97" i="1"/>
  <c r="J97" i="1"/>
  <c r="F98" i="1"/>
  <c r="G98" i="1"/>
  <c r="I98" i="1"/>
  <c r="J98" i="1"/>
  <c r="F99" i="1"/>
  <c r="G99" i="1"/>
  <c r="I99" i="1"/>
  <c r="J99" i="1"/>
  <c r="F100" i="1"/>
  <c r="G100" i="1"/>
  <c r="I100" i="1"/>
  <c r="J100" i="1"/>
  <c r="F101" i="1"/>
  <c r="G101" i="1"/>
  <c r="I101" i="1"/>
  <c r="J101" i="1"/>
  <c r="F102" i="1"/>
  <c r="G102" i="1"/>
  <c r="I102" i="1"/>
  <c r="J102" i="1"/>
  <c r="F103" i="1"/>
  <c r="G103" i="1"/>
  <c r="I103" i="1"/>
  <c r="J103" i="1"/>
  <c r="F104" i="1"/>
  <c r="G104" i="1"/>
  <c r="I104" i="1"/>
  <c r="J104" i="1"/>
  <c r="F105" i="1"/>
  <c r="G105" i="1"/>
  <c r="I105" i="1"/>
  <c r="J105" i="1"/>
  <c r="F106" i="1"/>
  <c r="G106" i="1"/>
  <c r="I106" i="1"/>
  <c r="J106" i="1"/>
  <c r="F107" i="1"/>
  <c r="G107" i="1"/>
  <c r="I107" i="1"/>
  <c r="J107" i="1"/>
  <c r="F108" i="1"/>
  <c r="G108" i="1"/>
  <c r="I108" i="1"/>
  <c r="J108" i="1"/>
  <c r="F109" i="1"/>
  <c r="G109" i="1"/>
  <c r="I109" i="1"/>
  <c r="J109" i="1"/>
  <c r="F113" i="1"/>
  <c r="G113" i="1"/>
  <c r="I113" i="1"/>
  <c r="J113" i="1"/>
  <c r="F118" i="1"/>
  <c r="G118" i="1"/>
  <c r="I118" i="1"/>
  <c r="J118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9" i="1"/>
  <c r="J189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8" i="1"/>
  <c r="J238" i="1"/>
  <c r="I239" i="1"/>
  <c r="J239" i="1"/>
  <c r="I240" i="1"/>
  <c r="J240" i="1"/>
  <c r="I241" i="1"/>
  <c r="J241" i="1"/>
  <c r="I242" i="1"/>
  <c r="I243" i="1"/>
  <c r="F541" i="1"/>
  <c r="C541" i="1" s="1"/>
  <c r="G541" i="1"/>
  <c r="B541" i="1" s="1"/>
  <c r="F542" i="1"/>
  <c r="C542" i="1" s="1"/>
  <c r="G542" i="1"/>
  <c r="B542" i="1" s="1"/>
  <c r="F543" i="1"/>
  <c r="C543" i="1" s="1"/>
  <c r="G543" i="1"/>
  <c r="B543" i="1" s="1"/>
  <c r="F544" i="1"/>
  <c r="C544" i="1" s="1"/>
  <c r="G544" i="1"/>
  <c r="B544" i="1" s="1"/>
  <c r="F545" i="1"/>
  <c r="C545" i="1" s="1"/>
  <c r="G545" i="1"/>
  <c r="B545" i="1" s="1"/>
  <c r="F546" i="1"/>
  <c r="C546" i="1" s="1"/>
  <c r="G546" i="1"/>
  <c r="B546" i="1" s="1"/>
  <c r="F547" i="1"/>
  <c r="C547" i="1" s="1"/>
  <c r="G547" i="1"/>
  <c r="B547" i="1" s="1"/>
  <c r="F548" i="1"/>
  <c r="G548" i="1"/>
  <c r="F549" i="1"/>
  <c r="G549" i="1"/>
  <c r="F550" i="1"/>
  <c r="G550" i="1"/>
  <c r="F551" i="1"/>
  <c r="G551" i="1"/>
  <c r="F552" i="1"/>
  <c r="G552" i="1"/>
  <c r="F553" i="1"/>
  <c r="G553" i="1"/>
  <c r="F554" i="1"/>
  <c r="G554" i="1"/>
  <c r="F555" i="1"/>
  <c r="G555" i="1"/>
  <c r="F556" i="1"/>
  <c r="G556" i="1"/>
  <c r="F557" i="1"/>
  <c r="G557" i="1"/>
  <c r="F558" i="1"/>
  <c r="G558" i="1"/>
  <c r="F559" i="1"/>
  <c r="G559" i="1"/>
  <c r="F560" i="1"/>
  <c r="G560" i="1"/>
  <c r="F561" i="1"/>
  <c r="G561" i="1"/>
  <c r="F575" i="1"/>
  <c r="G575" i="1"/>
  <c r="F576" i="1"/>
  <c r="G576" i="1"/>
  <c r="F577" i="1"/>
  <c r="G577" i="1"/>
  <c r="F578" i="1"/>
  <c r="G578" i="1"/>
  <c r="F579" i="1"/>
  <c r="G579" i="1"/>
  <c r="F580" i="1"/>
  <c r="G580" i="1"/>
  <c r="F581" i="1"/>
  <c r="G581" i="1"/>
  <c r="F582" i="1"/>
  <c r="G582" i="1"/>
  <c r="F583" i="1"/>
  <c r="G583" i="1"/>
  <c r="F584" i="1"/>
  <c r="G584" i="1"/>
  <c r="F585" i="1"/>
  <c r="G585" i="1"/>
  <c r="F586" i="1"/>
  <c r="G586" i="1"/>
  <c r="F587" i="1"/>
  <c r="G587" i="1"/>
  <c r="F588" i="1"/>
  <c r="G588" i="1"/>
  <c r="F589" i="1"/>
  <c r="G589" i="1"/>
  <c r="F590" i="1"/>
  <c r="G590" i="1"/>
  <c r="F591" i="1"/>
  <c r="G591" i="1"/>
  <c r="F592" i="1"/>
  <c r="G592" i="1"/>
  <c r="F593" i="1"/>
  <c r="G593" i="1"/>
  <c r="F594" i="1"/>
  <c r="G594" i="1"/>
  <c r="F595" i="1"/>
  <c r="G595" i="1"/>
  <c r="F596" i="1"/>
  <c r="G596" i="1"/>
  <c r="F597" i="1"/>
  <c r="G597" i="1"/>
  <c r="F598" i="1"/>
  <c r="G598" i="1"/>
  <c r="F599" i="1"/>
  <c r="G599" i="1"/>
  <c r="F600" i="1"/>
  <c r="G600" i="1"/>
  <c r="AF7" i="1"/>
  <c r="AG7" i="1" s="1"/>
  <c r="AH7" i="1" s="1"/>
  <c r="AF11" i="1"/>
  <c r="AG11" i="1" s="1"/>
  <c r="AH11" i="1" s="1"/>
  <c r="AF15" i="1"/>
  <c r="AG15" i="1" s="1"/>
  <c r="AH15" i="1" s="1"/>
  <c r="AF24" i="1"/>
  <c r="AG24" i="1" s="1"/>
  <c r="AH24" i="1" s="1"/>
  <c r="AF28" i="1"/>
  <c r="AG28" i="1" s="1"/>
  <c r="AH28" i="1" s="1"/>
  <c r="AF32" i="1"/>
  <c r="AG32" i="1" s="1"/>
  <c r="AH32" i="1" s="1"/>
  <c r="AF36" i="1"/>
  <c r="AG36" i="1" s="1"/>
  <c r="AH36" i="1" s="1"/>
  <c r="AF40" i="1"/>
  <c r="AG40" i="1" s="1"/>
  <c r="AH40" i="1" s="1"/>
  <c r="AF44" i="1"/>
  <c r="AG44" i="1" s="1"/>
  <c r="AH44" i="1" s="1"/>
  <c r="AF55" i="1"/>
  <c r="AG55" i="1" s="1"/>
  <c r="AH55" i="1" s="1"/>
  <c r="AF59" i="1"/>
  <c r="AG59" i="1" s="1"/>
  <c r="AH59" i="1" s="1"/>
  <c r="AF63" i="1"/>
  <c r="AG63" i="1" s="1"/>
  <c r="AH63" i="1" s="1"/>
  <c r="AF67" i="1"/>
  <c r="AG67" i="1" s="1"/>
  <c r="AH67" i="1" s="1"/>
  <c r="AF71" i="1"/>
  <c r="AG71" i="1" s="1"/>
  <c r="AH71" i="1" s="1"/>
  <c r="AF79" i="1"/>
  <c r="AG79" i="1" s="1"/>
  <c r="AH79" i="1" s="1"/>
  <c r="AF82" i="1"/>
  <c r="AG82" i="1" s="1"/>
  <c r="AH82" i="1" s="1"/>
  <c r="AF86" i="1"/>
  <c r="AG86" i="1" s="1"/>
  <c r="AH86" i="1" s="1"/>
  <c r="AF90" i="1"/>
  <c r="AG90" i="1" s="1"/>
  <c r="AH90" i="1" s="1"/>
  <c r="AF93" i="1"/>
  <c r="AG93" i="1" s="1"/>
  <c r="AH93" i="1" s="1"/>
  <c r="AF97" i="1"/>
  <c r="AG97" i="1" s="1"/>
  <c r="AH97" i="1" s="1"/>
  <c r="AF101" i="1"/>
  <c r="AG101" i="1" s="1"/>
  <c r="AH101" i="1" s="1"/>
  <c r="AF106" i="1"/>
  <c r="AG106" i="1" s="1"/>
  <c r="AH106" i="1" s="1"/>
  <c r="AF76" i="1"/>
  <c r="AG76" i="1" s="1"/>
  <c r="AH76" i="1" s="1"/>
  <c r="AF8" i="1"/>
  <c r="AG8" i="1" s="1"/>
  <c r="AH8" i="1" s="1"/>
  <c r="AF12" i="1"/>
  <c r="AG12" i="1" s="1"/>
  <c r="AH12" i="1" s="1"/>
  <c r="AF16" i="1"/>
  <c r="AG16" i="1" s="1"/>
  <c r="AH16" i="1" s="1"/>
  <c r="AF25" i="1"/>
  <c r="AG25" i="1" s="1"/>
  <c r="AH25" i="1" s="1"/>
  <c r="AF29" i="1"/>
  <c r="AG29" i="1" s="1"/>
  <c r="AH29" i="1" s="1"/>
  <c r="AF33" i="1"/>
  <c r="AG33" i="1" s="1"/>
  <c r="AH33" i="1" s="1"/>
  <c r="AF37" i="1"/>
  <c r="AG37" i="1" s="1"/>
  <c r="AH37" i="1" s="1"/>
  <c r="AF41" i="1"/>
  <c r="AG41" i="1" s="1"/>
  <c r="AH41" i="1" s="1"/>
  <c r="AF45" i="1"/>
  <c r="AG45" i="1" s="1"/>
  <c r="AH45" i="1" s="1"/>
  <c r="AF48" i="1"/>
  <c r="AG48" i="1" s="1"/>
  <c r="AH48" i="1" s="1"/>
  <c r="AF56" i="1"/>
  <c r="AG56" i="1" s="1"/>
  <c r="AH56" i="1" s="1"/>
  <c r="AF60" i="1"/>
  <c r="AG60" i="1" s="1"/>
  <c r="AH60" i="1" s="1"/>
  <c r="AF64" i="1"/>
  <c r="AG64" i="1" s="1"/>
  <c r="AH64" i="1" s="1"/>
  <c r="AF68" i="1"/>
  <c r="AG68" i="1" s="1"/>
  <c r="AH68" i="1" s="1"/>
  <c r="AF72" i="1"/>
  <c r="AG72" i="1" s="1"/>
  <c r="AH72" i="1" s="1"/>
  <c r="AF83" i="1"/>
  <c r="AG83" i="1" s="1"/>
  <c r="AH83" i="1" s="1"/>
  <c r="AF77" i="1"/>
  <c r="AG77" i="1" s="1"/>
  <c r="AH77" i="1" s="1"/>
  <c r="AF87" i="1"/>
  <c r="AG87" i="1" s="1"/>
  <c r="AH87" i="1" s="1"/>
  <c r="AF94" i="1"/>
  <c r="AG94" i="1" s="1"/>
  <c r="AH94" i="1" s="1"/>
  <c r="AF98" i="1"/>
  <c r="AG98" i="1" s="1"/>
  <c r="AH98" i="1" s="1"/>
  <c r="AF102" i="1"/>
  <c r="AG102" i="1" s="1"/>
  <c r="AH102" i="1" s="1"/>
  <c r="AF103" i="1"/>
  <c r="AG103" i="1" s="1"/>
  <c r="AH103" i="1" s="1"/>
  <c r="AF107" i="1"/>
  <c r="AG107" i="1" s="1"/>
  <c r="AH107" i="1" s="1"/>
  <c r="AF80" i="1"/>
  <c r="AG80" i="1" s="1"/>
  <c r="AH80" i="1" s="1"/>
  <c r="AF9" i="1"/>
  <c r="AG9" i="1" s="1"/>
  <c r="AH9" i="1" s="1"/>
  <c r="AF13" i="1"/>
  <c r="AG13" i="1" s="1"/>
  <c r="AH13" i="1" s="1"/>
  <c r="AF17" i="1"/>
  <c r="AG17" i="1" s="1"/>
  <c r="AH17" i="1" s="1"/>
  <c r="AF26" i="1"/>
  <c r="AG26" i="1" s="1"/>
  <c r="AH26" i="1" s="1"/>
  <c r="AF30" i="1"/>
  <c r="AG30" i="1" s="1"/>
  <c r="AH30" i="1" s="1"/>
  <c r="AF34" i="1"/>
  <c r="AG34" i="1" s="1"/>
  <c r="AH34" i="1" s="1"/>
  <c r="AF38" i="1"/>
  <c r="AG38" i="1" s="1"/>
  <c r="AH38" i="1" s="1"/>
  <c r="AF42" i="1"/>
  <c r="AG42" i="1" s="1"/>
  <c r="AH42" i="1" s="1"/>
  <c r="AF46" i="1"/>
  <c r="AG46" i="1" s="1"/>
  <c r="AH46" i="1" s="1"/>
  <c r="AF51" i="1"/>
  <c r="AG51" i="1" s="1"/>
  <c r="AH51" i="1" s="1"/>
  <c r="AF57" i="1"/>
  <c r="AG57" i="1" s="1"/>
  <c r="AH57" i="1" s="1"/>
  <c r="AF61" i="1"/>
  <c r="AG61" i="1" s="1"/>
  <c r="AH61" i="1" s="1"/>
  <c r="AF65" i="1"/>
  <c r="AG65" i="1" s="1"/>
  <c r="AH65" i="1" s="1"/>
  <c r="AF69" i="1"/>
  <c r="AG69" i="1" s="1"/>
  <c r="AH69" i="1" s="1"/>
  <c r="AF73" i="1"/>
  <c r="AG73" i="1" s="1"/>
  <c r="AH73" i="1" s="1"/>
  <c r="AF74" i="1"/>
  <c r="AG74" i="1" s="1"/>
  <c r="AH74" i="1" s="1"/>
  <c r="AF81" i="1"/>
  <c r="AG81" i="1" s="1"/>
  <c r="AH81" i="1" s="1"/>
  <c r="AF88" i="1"/>
  <c r="AG88" i="1" s="1"/>
  <c r="AH88" i="1" s="1"/>
  <c r="AF91" i="1"/>
  <c r="AG91" i="1" s="1"/>
  <c r="AH91" i="1" s="1"/>
  <c r="AF95" i="1"/>
  <c r="AG95" i="1" s="1"/>
  <c r="AH95" i="1" s="1"/>
  <c r="AF99" i="1"/>
  <c r="AG99" i="1" s="1"/>
  <c r="AH99" i="1" s="1"/>
  <c r="AF104" i="1"/>
  <c r="AG104" i="1" s="1"/>
  <c r="AH104" i="1" s="1"/>
  <c r="AF108" i="1"/>
  <c r="AG108" i="1" s="1"/>
  <c r="AH108" i="1" s="1"/>
  <c r="AF84" i="1"/>
  <c r="AG84" i="1" s="1"/>
  <c r="AH84" i="1" s="1"/>
  <c r="AF14" i="1"/>
  <c r="AG14" i="1" s="1"/>
  <c r="AH14" i="1" s="1"/>
  <c r="AF35" i="1"/>
  <c r="AG35" i="1" s="1"/>
  <c r="AH35" i="1" s="1"/>
  <c r="AF52" i="1"/>
  <c r="AG52" i="1" s="1"/>
  <c r="AH52" i="1" s="1"/>
  <c r="AF70" i="1"/>
  <c r="AG70" i="1" s="1"/>
  <c r="AH70" i="1" s="1"/>
  <c r="AF89" i="1"/>
  <c r="AG89" i="1" s="1"/>
  <c r="AH89" i="1" s="1"/>
  <c r="AF23" i="1"/>
  <c r="AG23" i="1" s="1"/>
  <c r="AH23" i="1" s="1"/>
  <c r="AF39" i="1"/>
  <c r="AG39" i="1" s="1"/>
  <c r="AH39" i="1" s="1"/>
  <c r="AF58" i="1"/>
  <c r="AG58" i="1" s="1"/>
  <c r="AH58" i="1" s="1"/>
  <c r="AF75" i="1"/>
  <c r="AG75" i="1" s="1"/>
  <c r="AH75" i="1" s="1"/>
  <c r="AF92" i="1"/>
  <c r="AG92" i="1" s="1"/>
  <c r="AH92" i="1" s="1"/>
  <c r="AF105" i="1"/>
  <c r="AG105" i="1" s="1"/>
  <c r="AH105" i="1" s="1"/>
  <c r="AF31" i="1"/>
  <c r="AG31" i="1" s="1"/>
  <c r="AH31" i="1" s="1"/>
  <c r="AF66" i="1"/>
  <c r="AG66" i="1" s="1"/>
  <c r="AH66" i="1" s="1"/>
  <c r="AF100" i="1"/>
  <c r="AG100" i="1" s="1"/>
  <c r="AH100" i="1" s="1"/>
  <c r="AF43" i="1"/>
  <c r="AG43" i="1" s="1"/>
  <c r="AH43" i="1" s="1"/>
  <c r="AF78" i="1"/>
  <c r="AG78" i="1" s="1"/>
  <c r="AH78" i="1" s="1"/>
  <c r="AF109" i="1"/>
  <c r="AG109" i="1" s="1"/>
  <c r="AH109" i="1" s="1"/>
  <c r="AF62" i="1"/>
  <c r="AG62" i="1" s="1"/>
  <c r="AH62" i="1" s="1"/>
  <c r="AF10" i="1"/>
  <c r="AG10" i="1" s="1"/>
  <c r="AH10" i="1" s="1"/>
  <c r="AF47" i="1"/>
  <c r="AG47" i="1" s="1"/>
  <c r="AH47" i="1" s="1"/>
  <c r="AF85" i="1"/>
  <c r="AG85" i="1" s="1"/>
  <c r="AH85" i="1" s="1"/>
  <c r="AF27" i="1"/>
  <c r="AG27" i="1" s="1"/>
  <c r="AH27" i="1" s="1"/>
  <c r="AF96" i="1"/>
  <c r="AG96" i="1" s="1"/>
  <c r="AH96" i="1" s="1"/>
  <c r="C437" i="1" l="1"/>
  <c r="C435" i="1"/>
  <c r="C432" i="1"/>
  <c r="C430" i="1"/>
  <c r="C428" i="1"/>
  <c r="C426" i="1"/>
  <c r="C424" i="1"/>
  <c r="C422" i="1"/>
  <c r="C420" i="1"/>
  <c r="C417" i="1"/>
  <c r="C415" i="1"/>
  <c r="C413" i="1"/>
  <c r="C411" i="1"/>
  <c r="C409" i="1"/>
  <c r="C407" i="1"/>
  <c r="C405" i="1"/>
  <c r="C403" i="1"/>
  <c r="C401" i="1"/>
  <c r="C399" i="1"/>
  <c r="B388" i="1"/>
  <c r="C436" i="1"/>
  <c r="C434" i="1"/>
  <c r="C433" i="1"/>
  <c r="C431" i="1"/>
  <c r="C429" i="1"/>
  <c r="C427" i="1"/>
  <c r="C425" i="1"/>
  <c r="C423" i="1"/>
  <c r="C421" i="1"/>
  <c r="C419" i="1"/>
  <c r="C418" i="1"/>
  <c r="C416" i="1"/>
  <c r="C414" i="1"/>
  <c r="C412" i="1"/>
  <c r="C410" i="1"/>
  <c r="C408" i="1"/>
  <c r="C406" i="1"/>
  <c r="C404" i="1"/>
  <c r="C402" i="1"/>
  <c r="C397" i="1"/>
  <c r="C395" i="1"/>
  <c r="C393" i="1"/>
  <c r="C391" i="1"/>
  <c r="C389" i="1"/>
  <c r="C387" i="1"/>
  <c r="C385" i="1"/>
  <c r="C383" i="1"/>
  <c r="C380" i="1"/>
  <c r="C378" i="1"/>
  <c r="C376" i="1"/>
  <c r="C374" i="1"/>
  <c r="C372" i="1"/>
  <c r="C370" i="1"/>
  <c r="C368" i="1"/>
  <c r="C366" i="1"/>
  <c r="C364" i="1"/>
  <c r="C362" i="1"/>
  <c r="C360" i="1"/>
  <c r="C358" i="1"/>
  <c r="C355" i="1"/>
  <c r="C348" i="1"/>
  <c r="C346" i="1"/>
  <c r="C344" i="1"/>
  <c r="C342" i="1"/>
  <c r="C340" i="1"/>
  <c r="C338" i="1"/>
  <c r="C335" i="1"/>
  <c r="C331" i="1"/>
  <c r="C329" i="1"/>
  <c r="C327" i="1"/>
  <c r="C325" i="1"/>
  <c r="C322" i="1"/>
  <c r="C320" i="1"/>
  <c r="C318" i="1"/>
  <c r="C316" i="1"/>
  <c r="C314" i="1"/>
  <c r="C312" i="1"/>
  <c r="C310" i="1"/>
  <c r="C308" i="1"/>
  <c r="C304" i="1"/>
  <c r="C302" i="1"/>
  <c r="C300" i="1"/>
  <c r="C297" i="1"/>
  <c r="C295" i="1"/>
  <c r="C293" i="1"/>
  <c r="C290" i="1"/>
  <c r="C287" i="1"/>
  <c r="C285" i="1"/>
  <c r="C283" i="1"/>
  <c r="C281" i="1"/>
  <c r="C279" i="1"/>
  <c r="C277" i="1"/>
  <c r="C275" i="1"/>
  <c r="C273" i="1"/>
  <c r="C248" i="1"/>
  <c r="C246" i="1"/>
  <c r="C400" i="1"/>
  <c r="C398" i="1"/>
  <c r="C396" i="1"/>
  <c r="C394" i="1"/>
  <c r="C392" i="1"/>
  <c r="C390" i="1"/>
  <c r="C388" i="1"/>
  <c r="C386" i="1"/>
  <c r="C384" i="1"/>
  <c r="C382" i="1"/>
  <c r="C379" i="1"/>
  <c r="C377" i="1"/>
  <c r="C375" i="1"/>
  <c r="C373" i="1"/>
  <c r="C371" i="1"/>
  <c r="C369" i="1"/>
  <c r="C367" i="1"/>
  <c r="C365" i="1"/>
  <c r="C363" i="1"/>
  <c r="C361" i="1"/>
  <c r="C359" i="1"/>
  <c r="C356" i="1"/>
  <c r="C354" i="1"/>
  <c r="C347" i="1"/>
  <c r="C345" i="1"/>
  <c r="C343" i="1"/>
  <c r="C341" i="1"/>
  <c r="C339" i="1"/>
  <c r="C336" i="1"/>
  <c r="C332" i="1"/>
  <c r="C330" i="1"/>
  <c r="C328" i="1"/>
  <c r="C326" i="1"/>
  <c r="C323" i="1"/>
  <c r="C321" i="1"/>
  <c r="C319" i="1"/>
  <c r="C317" i="1"/>
  <c r="C315" i="1"/>
  <c r="C313" i="1"/>
  <c r="C309" i="1"/>
  <c r="C305" i="1"/>
  <c r="C303" i="1"/>
  <c r="C301" i="1"/>
  <c r="C298" i="1"/>
  <c r="C296" i="1"/>
  <c r="C294" i="1"/>
  <c r="C292" i="1"/>
  <c r="C288" i="1"/>
  <c r="C286" i="1"/>
  <c r="C284" i="1"/>
  <c r="C282" i="1"/>
  <c r="C280" i="1"/>
  <c r="C278" i="1"/>
  <c r="C276" i="1"/>
  <c r="C274" i="1"/>
  <c r="C249" i="1"/>
  <c r="C247" i="1"/>
  <c r="C245" i="1"/>
  <c r="C86" i="1"/>
  <c r="C72" i="1"/>
  <c r="C70" i="1"/>
  <c r="C71" i="1"/>
  <c r="A388" i="1" l="1"/>
  <c r="A615" i="1"/>
  <c r="A616" i="1"/>
  <c r="A619" i="1"/>
  <c r="A620" i="1"/>
  <c r="A621" i="1"/>
  <c r="A623" i="1"/>
  <c r="A625" i="1"/>
  <c r="A627" i="1"/>
  <c r="A628" i="1"/>
  <c r="A629" i="1"/>
  <c r="A631" i="1"/>
  <c r="A632" i="1"/>
  <c r="A633" i="1"/>
  <c r="A636" i="1"/>
  <c r="A639" i="1"/>
  <c r="A745" i="1"/>
  <c r="A749" i="1"/>
  <c r="C13" i="1"/>
  <c r="C17" i="1"/>
  <c r="C24" i="1"/>
  <c r="C28" i="1"/>
  <c r="C32" i="1"/>
  <c r="C36" i="1"/>
  <c r="C40" i="1"/>
  <c r="C43" i="1"/>
  <c r="C46" i="1"/>
  <c r="C51" i="1"/>
  <c r="C55" i="1"/>
  <c r="C63" i="1"/>
  <c r="C74" i="1"/>
  <c r="C78" i="1"/>
  <c r="C87" i="1"/>
  <c r="C94" i="1"/>
  <c r="C100" i="1"/>
  <c r="C106" i="1"/>
  <c r="C151" i="1"/>
  <c r="C156" i="1"/>
  <c r="C158" i="1"/>
  <c r="C163" i="1"/>
  <c r="C166" i="1"/>
  <c r="C168" i="1"/>
  <c r="C172" i="1"/>
  <c r="C174" i="1"/>
  <c r="C180" i="1"/>
  <c r="C183" i="1"/>
  <c r="C193" i="1"/>
  <c r="C198" i="1"/>
  <c r="C202" i="1"/>
  <c r="C206" i="1"/>
  <c r="C213" i="1"/>
  <c r="C217" i="1"/>
  <c r="C222" i="1"/>
  <c r="C225" i="1"/>
  <c r="C231" i="1"/>
  <c r="C241" i="1"/>
  <c r="A618" i="1"/>
  <c r="A622" i="1"/>
  <c r="A626" i="1"/>
  <c r="A634" i="1"/>
  <c r="A638" i="1"/>
  <c r="A800" i="1"/>
  <c r="C7" i="1"/>
  <c r="C9" i="1"/>
  <c r="C10" i="1"/>
  <c r="C11" i="1"/>
  <c r="C14" i="1"/>
  <c r="C15" i="1"/>
  <c r="C23" i="1"/>
  <c r="C26" i="1"/>
  <c r="C27" i="1"/>
  <c r="C30" i="1"/>
  <c r="C31" i="1"/>
  <c r="C34" i="1"/>
  <c r="C35" i="1"/>
  <c r="C38" i="1"/>
  <c r="C39" i="1"/>
  <c r="C42" i="1"/>
  <c r="C44" i="1"/>
  <c r="C47" i="1"/>
  <c r="C52" i="1"/>
  <c r="C57" i="1"/>
  <c r="C58" i="1"/>
  <c r="C59" i="1"/>
  <c r="C61" i="1"/>
  <c r="C62" i="1"/>
  <c r="C65" i="1"/>
  <c r="C66" i="1"/>
  <c r="C67" i="1"/>
  <c r="C69" i="1"/>
  <c r="C73" i="1"/>
  <c r="C75" i="1"/>
  <c r="C77" i="1"/>
  <c r="C79" i="1"/>
  <c r="C81" i="1"/>
  <c r="C82" i="1"/>
  <c r="C83" i="1"/>
  <c r="C85" i="1"/>
  <c r="C89" i="1"/>
  <c r="C90" i="1"/>
  <c r="C92" i="1"/>
  <c r="C93" i="1"/>
  <c r="C96" i="1"/>
  <c r="C97" i="1"/>
  <c r="C98" i="1"/>
  <c r="C101" i="1"/>
  <c r="C102" i="1"/>
  <c r="C103" i="1"/>
  <c r="C105" i="1"/>
  <c r="C107" i="1"/>
  <c r="C109" i="1"/>
  <c r="C113" i="1"/>
  <c r="C118" i="1"/>
  <c r="C152" i="1"/>
  <c r="C154" i="1"/>
  <c r="C155" i="1"/>
  <c r="C159" i="1"/>
  <c r="C162" i="1"/>
  <c r="C164" i="1"/>
  <c r="C167" i="1"/>
  <c r="C170" i="1"/>
  <c r="C171" i="1"/>
  <c r="C175" i="1"/>
  <c r="C178" i="1"/>
  <c r="C179" i="1"/>
  <c r="C186" i="1"/>
  <c r="C189" i="1"/>
  <c r="C194" i="1"/>
  <c r="C197" i="1"/>
  <c r="C199" i="1"/>
  <c r="C201" i="1"/>
  <c r="C207" i="1"/>
  <c r="C209" i="1"/>
  <c r="C212" i="1"/>
  <c r="C218" i="1"/>
  <c r="C221" i="1"/>
  <c r="C226" i="1"/>
  <c r="C229" i="1"/>
  <c r="C230" i="1"/>
  <c r="C242" i="1"/>
  <c r="C586" i="1" l="1"/>
  <c r="C576" i="1"/>
  <c r="C561" i="1"/>
  <c r="C559" i="1"/>
  <c r="C553" i="1"/>
  <c r="C597" i="1"/>
  <c r="C585" i="1"/>
  <c r="C581" i="1"/>
  <c r="C575" i="1"/>
  <c r="C560" i="1"/>
  <c r="C554" i="1"/>
  <c r="C238" i="1"/>
  <c r="C185" i="1"/>
  <c r="C181" i="1"/>
  <c r="C153" i="1"/>
  <c r="C88" i="1"/>
  <c r="C84" i="1"/>
  <c r="C56" i="1"/>
  <c r="C48" i="1"/>
  <c r="C16" i="1"/>
  <c r="C12" i="1"/>
  <c r="C243" i="1"/>
  <c r="C239" i="1"/>
  <c r="C211" i="1"/>
  <c r="C182" i="1"/>
  <c r="A637" i="1"/>
  <c r="A617" i="1"/>
  <c r="A648" i="1"/>
  <c r="A640" i="1"/>
  <c r="A624" i="1"/>
  <c r="A635" i="1"/>
  <c r="C240" i="1"/>
  <c r="C550" i="1"/>
  <c r="C594" i="1"/>
  <c r="C590" i="1"/>
  <c r="C578" i="1"/>
  <c r="C557" i="1"/>
  <c r="C549" i="1"/>
  <c r="C589" i="1"/>
  <c r="C552" i="1"/>
  <c r="C548" i="1"/>
  <c r="C599" i="1"/>
  <c r="C595" i="1"/>
  <c r="C591" i="1"/>
  <c r="C587" i="1"/>
  <c r="C583" i="1"/>
  <c r="C579" i="1"/>
  <c r="C558" i="1"/>
  <c r="C227" i="1"/>
  <c r="C223" i="1"/>
  <c r="C219" i="1"/>
  <c r="C203" i="1"/>
  <c r="C195" i="1"/>
  <c r="C184" i="1"/>
  <c r="C176" i="1"/>
  <c r="C160" i="1"/>
  <c r="C598" i="1"/>
  <c r="C582" i="1"/>
  <c r="C593" i="1"/>
  <c r="C577" i="1"/>
  <c r="C556" i="1"/>
  <c r="C588" i="1"/>
  <c r="C592" i="1"/>
  <c r="C600" i="1"/>
  <c r="C596" i="1"/>
  <c r="C584" i="1"/>
  <c r="C580" i="1"/>
  <c r="C555" i="1"/>
  <c r="C551" i="1"/>
  <c r="C232" i="1"/>
  <c r="C228" i="1"/>
  <c r="C224" i="1"/>
  <c r="C220" i="1"/>
  <c r="C216" i="1"/>
  <c r="C210" i="1"/>
  <c r="C208" i="1"/>
  <c r="C204" i="1"/>
  <c r="C200" i="1"/>
  <c r="C196" i="1"/>
  <c r="C192" i="1"/>
  <c r="C177" i="1"/>
  <c r="C173" i="1"/>
  <c r="C169" i="1"/>
  <c r="C165" i="1"/>
  <c r="C161" i="1"/>
  <c r="C157" i="1"/>
  <c r="C108" i="1"/>
  <c r="C104" i="1"/>
  <c r="C99" i="1"/>
  <c r="C95" i="1"/>
  <c r="C91" i="1"/>
  <c r="C80" i="1"/>
  <c r="C76" i="1"/>
  <c r="C68" i="1"/>
  <c r="C64" i="1"/>
  <c r="C60" i="1"/>
  <c r="C45" i="1"/>
  <c r="C41" i="1"/>
  <c r="C37" i="1"/>
  <c r="C33" i="1"/>
  <c r="C29" i="1"/>
  <c r="C25" i="1"/>
  <c r="C8" i="1"/>
  <c r="A647" i="1"/>
  <c r="A649" i="1"/>
  <c r="A650" i="1"/>
  <c r="A645" i="1"/>
  <c r="A643" i="1"/>
  <c r="A642" i="1"/>
  <c r="A646" i="1"/>
  <c r="A601" i="1" l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30" i="1"/>
  <c r="A641" i="1"/>
  <c r="A644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6" i="1"/>
  <c r="A747" i="1"/>
  <c r="A748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B389" i="1" l="1"/>
  <c r="A389" i="1" s="1"/>
  <c r="B227" i="1"/>
  <c r="A227" i="1" s="1"/>
  <c r="B228" i="1"/>
  <c r="A228" i="1" s="1"/>
  <c r="P53" i="1"/>
  <c r="B53" i="1" s="1"/>
  <c r="A53" i="1" s="1"/>
  <c r="B229" i="1"/>
  <c r="A229" i="1" s="1"/>
  <c r="P56" i="1"/>
  <c r="B56" i="1" s="1"/>
  <c r="A56" i="1" s="1"/>
  <c r="P54" i="1"/>
  <c r="B54" i="1" s="1"/>
  <c r="A54" i="1" s="1"/>
  <c r="B230" i="1"/>
  <c r="A230" i="1" s="1"/>
  <c r="P55" i="1"/>
  <c r="B55" i="1" s="1"/>
  <c r="A55" i="1" s="1"/>
  <c r="B223" i="1"/>
  <c r="A223" i="1" s="1"/>
  <c r="B231" i="1"/>
  <c r="A231" i="1" s="1"/>
  <c r="B224" i="1"/>
  <c r="A224" i="1" s="1"/>
  <c r="B225" i="1"/>
  <c r="A225" i="1" s="1"/>
  <c r="B226" i="1"/>
  <c r="A226" i="1" s="1"/>
  <c r="B418" i="1" l="1"/>
  <c r="A418" i="1" s="1"/>
  <c r="B417" i="1"/>
  <c r="A417" i="1" s="1"/>
  <c r="B416" i="1"/>
  <c r="A416" i="1" s="1"/>
  <c r="B409" i="1"/>
  <c r="A409" i="1" s="1"/>
  <c r="B408" i="1"/>
  <c r="A408" i="1" s="1"/>
  <c r="B429" i="1"/>
  <c r="A429" i="1" s="1"/>
  <c r="B421" i="1"/>
  <c r="A421" i="1" s="1"/>
  <c r="B410" i="1"/>
  <c r="A410" i="1" s="1"/>
  <c r="B414" i="1"/>
  <c r="A414" i="1" s="1"/>
  <c r="B420" i="1"/>
  <c r="A420" i="1" s="1"/>
  <c r="B430" i="1"/>
  <c r="A430" i="1" s="1"/>
  <c r="B406" i="1"/>
  <c r="A406" i="1" s="1"/>
  <c r="B413" i="1"/>
  <c r="A413" i="1" s="1"/>
  <c r="B401" i="1"/>
  <c r="A401" i="1" s="1"/>
  <c r="B427" i="1"/>
  <c r="A427" i="1" s="1"/>
  <c r="B403" i="1"/>
  <c r="A403" i="1" s="1"/>
  <c r="B422" i="1"/>
  <c r="A422" i="1" s="1"/>
  <c r="B428" i="1"/>
  <c r="A428" i="1" s="1"/>
  <c r="B426" i="1"/>
  <c r="A426" i="1" s="1"/>
  <c r="B405" i="1"/>
  <c r="A405" i="1" s="1"/>
  <c r="B419" i="1"/>
  <c r="A419" i="1" s="1"/>
  <c r="B431" i="1"/>
  <c r="A431" i="1" s="1"/>
  <c r="B404" i="1"/>
  <c r="A404" i="1" s="1"/>
  <c r="B402" i="1"/>
  <c r="A402" i="1" s="1"/>
  <c r="B411" i="1"/>
  <c r="A411" i="1" s="1"/>
  <c r="B432" i="1"/>
  <c r="A432" i="1" s="1"/>
  <c r="B415" i="1"/>
  <c r="A415" i="1" s="1"/>
  <c r="B412" i="1"/>
  <c r="A412" i="1" s="1"/>
  <c r="B425" i="1"/>
  <c r="A425" i="1" s="1"/>
  <c r="B424" i="1"/>
  <c r="A424" i="1" s="1"/>
  <c r="B423" i="1"/>
  <c r="A423" i="1" s="1"/>
  <c r="B407" i="1"/>
  <c r="A407" i="1" s="1"/>
  <c r="B156" i="1"/>
  <c r="A156" i="1" s="1"/>
  <c r="B153" i="1"/>
  <c r="A153" i="1" s="1"/>
  <c r="P210" i="1"/>
  <c r="B210" i="1" s="1"/>
  <c r="A210" i="1" s="1"/>
  <c r="B206" i="1"/>
  <c r="A206" i="1" s="1"/>
  <c r="B198" i="1"/>
  <c r="A198" i="1" s="1"/>
  <c r="B304" i="1" l="1"/>
  <c r="A304" i="1" s="1"/>
  <c r="B282" i="1"/>
  <c r="A282" i="1" s="1"/>
  <c r="B295" i="1"/>
  <c r="A295" i="1" s="1"/>
  <c r="B279" i="1"/>
  <c r="A279" i="1" s="1"/>
  <c r="B315" i="1"/>
  <c r="A315" i="1" s="1"/>
  <c r="B318" i="1"/>
  <c r="A318" i="1" s="1"/>
  <c r="B292" i="1"/>
  <c r="A292" i="1" s="1"/>
  <c r="B200" i="1" l="1"/>
  <c r="A200" i="1" s="1"/>
  <c r="B158" i="1"/>
  <c r="A158" i="1" s="1"/>
  <c r="B193" i="1"/>
  <c r="A193" i="1" s="1"/>
  <c r="B155" i="1"/>
  <c r="A155" i="1" s="1"/>
  <c r="B309" i="1" l="1"/>
  <c r="A309" i="1" s="1"/>
  <c r="B284" i="1"/>
  <c r="A284" i="1" s="1"/>
  <c r="B273" i="1"/>
  <c r="A273" i="1" s="1"/>
  <c r="B297" i="1"/>
  <c r="A297" i="1" s="1"/>
  <c r="B317" i="1"/>
  <c r="A317" i="1" s="1"/>
  <c r="B320" i="1"/>
  <c r="A320" i="1" s="1"/>
  <c r="B294" i="1"/>
  <c r="A294" i="1" s="1"/>
  <c r="B281" i="1"/>
  <c r="A281" i="1" s="1"/>
  <c r="B199" i="1" l="1"/>
  <c r="A199" i="1" s="1"/>
  <c r="B157" i="1"/>
  <c r="A157" i="1" s="1"/>
  <c r="B192" i="1"/>
  <c r="A192" i="1" s="1"/>
  <c r="B154" i="1"/>
  <c r="A154" i="1" s="1"/>
  <c r="P211" i="1"/>
  <c r="B211" i="1" s="1"/>
  <c r="A211" i="1" s="1"/>
  <c r="B207" i="1"/>
  <c r="A207" i="1" s="1"/>
  <c r="B316" i="1" l="1"/>
  <c r="A316" i="1" s="1"/>
  <c r="B308" i="1"/>
  <c r="A308" i="1" s="1"/>
  <c r="B280" i="1"/>
  <c r="A280" i="1" s="1"/>
  <c r="B319" i="1"/>
  <c r="A319" i="1" s="1"/>
  <c r="B293" i="1"/>
  <c r="A293" i="1" s="1"/>
  <c r="B305" i="1"/>
  <c r="A305" i="1" s="1"/>
  <c r="B283" i="1"/>
  <c r="A283" i="1" s="1"/>
  <c r="B296" i="1"/>
  <c r="A296" i="1" s="1"/>
  <c r="B151" i="1"/>
  <c r="A151" i="1" s="1"/>
  <c r="B152" i="1"/>
  <c r="A152" i="1" s="1"/>
  <c r="B204" i="1"/>
  <c r="A204" i="1" s="1"/>
  <c r="B162" i="1"/>
  <c r="A162" i="1" s="1"/>
  <c r="B197" i="1"/>
  <c r="A197" i="1" s="1"/>
  <c r="B163" i="1"/>
  <c r="A163" i="1" s="1"/>
  <c r="B302" i="1" l="1"/>
  <c r="A302" i="1" s="1"/>
  <c r="B326" i="1"/>
  <c r="A326" i="1" s="1"/>
  <c r="B303" i="1"/>
  <c r="A303" i="1" s="1"/>
  <c r="B325" i="1"/>
  <c r="A325" i="1" s="1"/>
  <c r="B314" i="1"/>
  <c r="A314" i="1" s="1"/>
  <c r="B313" i="1"/>
  <c r="A313" i="1" s="1"/>
  <c r="B290" i="1"/>
  <c r="A290" i="1" s="1"/>
  <c r="B277" i="1"/>
  <c r="A277" i="1" s="1"/>
  <c r="B278" i="1"/>
  <c r="A278" i="1" s="1"/>
  <c r="B385" i="1"/>
  <c r="A385" i="1" s="1"/>
  <c r="B288" i="1"/>
  <c r="A288" i="1" s="1"/>
  <c r="B243" i="1"/>
  <c r="A243" i="1" s="1"/>
  <c r="P106" i="1"/>
  <c r="B106" i="1" s="1"/>
  <c r="A106" i="1" s="1"/>
  <c r="B242" i="1"/>
  <c r="A242" i="1" s="1"/>
  <c r="B246" i="1" l="1"/>
  <c r="A246" i="1" s="1"/>
  <c r="B247" i="1"/>
  <c r="A247" i="1" s="1"/>
  <c r="B245" i="1"/>
  <c r="A245" i="1" s="1"/>
  <c r="B392" i="1" l="1"/>
  <c r="A392" i="1" s="1"/>
  <c r="B391" i="1"/>
  <c r="A391" i="1" s="1"/>
  <c r="B390" i="1"/>
  <c r="A390" i="1" s="1"/>
  <c r="B219" i="1"/>
  <c r="A219" i="1" s="1"/>
  <c r="A546" i="1"/>
  <c r="B575" i="1"/>
  <c r="A575" i="1" s="1"/>
  <c r="B591" i="1"/>
  <c r="A591" i="1" s="1"/>
  <c r="P208" i="1"/>
  <c r="B208" i="1" s="1"/>
  <c r="A208" i="1" s="1"/>
  <c r="B220" i="1"/>
  <c r="A220" i="1" s="1"/>
  <c r="A547" i="1"/>
  <c r="B576" i="1"/>
  <c r="A576" i="1" s="1"/>
  <c r="B592" i="1"/>
  <c r="A592" i="1" s="1"/>
  <c r="B201" i="1"/>
  <c r="A201" i="1" s="1"/>
  <c r="P221" i="1"/>
  <c r="B221" i="1" s="1"/>
  <c r="A221" i="1" s="1"/>
  <c r="B159" i="1"/>
  <c r="A159" i="1" s="1"/>
  <c r="B194" i="1"/>
  <c r="A194" i="1" s="1"/>
  <c r="B222" i="1"/>
  <c r="A222" i="1" s="1"/>
  <c r="P176" i="1"/>
  <c r="B176" i="1" s="1"/>
  <c r="A176" i="1" s="1"/>
  <c r="P177" i="1"/>
  <c r="B177" i="1" s="1"/>
  <c r="A177" i="1" s="1"/>
  <c r="P178" i="1"/>
  <c r="B178" i="1" s="1"/>
  <c r="A178" i="1" s="1"/>
  <c r="A544" i="1"/>
  <c r="B560" i="1"/>
  <c r="A560" i="1" s="1"/>
  <c r="B589" i="1"/>
  <c r="A589" i="1" s="1"/>
  <c r="P179" i="1"/>
  <c r="B179" i="1" s="1"/>
  <c r="A179" i="1" s="1"/>
  <c r="A545" i="1"/>
  <c r="B561" i="1"/>
  <c r="A561" i="1" s="1"/>
  <c r="B590" i="1"/>
  <c r="A590" i="1" s="1"/>
  <c r="B342" i="1" l="1"/>
  <c r="A342" i="1" s="1"/>
  <c r="B298" i="1"/>
  <c r="A298" i="1" s="1"/>
  <c r="B285" i="1"/>
  <c r="A285" i="1" s="1"/>
  <c r="B384" i="1"/>
  <c r="A384" i="1" s="1"/>
  <c r="B367" i="1"/>
  <c r="A367" i="1" s="1"/>
  <c r="B383" i="1"/>
  <c r="A383" i="1" s="1"/>
  <c r="B382" i="1"/>
  <c r="A382" i="1" s="1"/>
  <c r="B380" i="1"/>
  <c r="A380" i="1" s="1"/>
  <c r="B345" i="1"/>
  <c r="A345" i="1" s="1"/>
  <c r="B366" i="1"/>
  <c r="A366" i="1" s="1"/>
  <c r="B365" i="1"/>
  <c r="A365" i="1" s="1"/>
  <c r="B321" i="1"/>
  <c r="A321" i="1" s="1"/>
  <c r="B364" i="1"/>
  <c r="A364" i="1" s="1"/>
  <c r="B310" i="1"/>
  <c r="A310" i="1" s="1"/>
  <c r="B274" i="1"/>
  <c r="A274" i="1" s="1"/>
  <c r="B344" i="1"/>
  <c r="A344" i="1" s="1"/>
  <c r="B343" i="1"/>
  <c r="A343" i="1" s="1"/>
  <c r="B164" i="1"/>
  <c r="A164" i="1" s="1"/>
  <c r="P172" i="1"/>
  <c r="B172" i="1" s="1"/>
  <c r="A172" i="1" s="1"/>
  <c r="B554" i="1"/>
  <c r="A554" i="1" s="1"/>
  <c r="B583" i="1"/>
  <c r="A583" i="1" s="1"/>
  <c r="B599" i="1"/>
  <c r="A599" i="1" s="1"/>
  <c r="B165" i="1"/>
  <c r="A165" i="1" s="1"/>
  <c r="P173" i="1"/>
  <c r="B173" i="1" s="1"/>
  <c r="A173" i="1" s="1"/>
  <c r="B555" i="1"/>
  <c r="A555" i="1" s="1"/>
  <c r="B584" i="1"/>
  <c r="A584" i="1" s="1"/>
  <c r="B600" i="1"/>
  <c r="A600" i="1" s="1"/>
  <c r="P85" i="1"/>
  <c r="B85" i="1" s="1"/>
  <c r="A85" i="1" s="1"/>
  <c r="B166" i="1"/>
  <c r="A166" i="1" s="1"/>
  <c r="P174" i="1"/>
  <c r="B174" i="1" s="1"/>
  <c r="A174" i="1" s="1"/>
  <c r="P212" i="1"/>
  <c r="B212" i="1" s="1"/>
  <c r="A212" i="1" s="1"/>
  <c r="B548" i="1"/>
  <c r="A548" i="1" s="1"/>
  <c r="B556" i="1"/>
  <c r="A556" i="1" s="1"/>
  <c r="B577" i="1"/>
  <c r="A577" i="1" s="1"/>
  <c r="B585" i="1"/>
  <c r="A585" i="1" s="1"/>
  <c r="B593" i="1"/>
  <c r="A593" i="1" s="1"/>
  <c r="P88" i="1"/>
  <c r="P86" i="1"/>
  <c r="B167" i="1"/>
  <c r="A167" i="1" s="1"/>
  <c r="P175" i="1"/>
  <c r="B175" i="1" s="1"/>
  <c r="A175" i="1" s="1"/>
  <c r="P213" i="1"/>
  <c r="B213" i="1" s="1"/>
  <c r="A213" i="1" s="1"/>
  <c r="A541" i="1"/>
  <c r="B549" i="1"/>
  <c r="A549" i="1" s="1"/>
  <c r="B557" i="1"/>
  <c r="A557" i="1" s="1"/>
  <c r="B578" i="1"/>
  <c r="A578" i="1" s="1"/>
  <c r="B586" i="1"/>
  <c r="A586" i="1" s="1"/>
  <c r="B594" i="1"/>
  <c r="A594" i="1" s="1"/>
  <c r="P87" i="1"/>
  <c r="B168" i="1"/>
  <c r="A168" i="1" s="1"/>
  <c r="A542" i="1"/>
  <c r="B550" i="1"/>
  <c r="A550" i="1" s="1"/>
  <c r="B558" i="1"/>
  <c r="A558" i="1" s="1"/>
  <c r="B579" i="1"/>
  <c r="A579" i="1" s="1"/>
  <c r="B587" i="1"/>
  <c r="A587" i="1" s="1"/>
  <c r="B595" i="1"/>
  <c r="A595" i="1" s="1"/>
  <c r="B169" i="1"/>
  <c r="A169" i="1" s="1"/>
  <c r="B216" i="1"/>
  <c r="A216" i="1" s="1"/>
  <c r="A543" i="1"/>
  <c r="B551" i="1"/>
  <c r="A551" i="1" s="1"/>
  <c r="B559" i="1"/>
  <c r="A559" i="1" s="1"/>
  <c r="B580" i="1"/>
  <c r="A580" i="1" s="1"/>
  <c r="B588" i="1"/>
  <c r="A588" i="1" s="1"/>
  <c r="B596" i="1"/>
  <c r="A596" i="1" s="1"/>
  <c r="P89" i="1"/>
  <c r="B170" i="1"/>
  <c r="A170" i="1" s="1"/>
  <c r="B217" i="1"/>
  <c r="A217" i="1" s="1"/>
  <c r="B552" i="1"/>
  <c r="A552" i="1" s="1"/>
  <c r="B581" i="1"/>
  <c r="A581" i="1" s="1"/>
  <c r="B597" i="1"/>
  <c r="A597" i="1" s="1"/>
  <c r="P90" i="1"/>
  <c r="P171" i="1"/>
  <c r="B171" i="1" s="1"/>
  <c r="A171" i="1" s="1"/>
  <c r="B218" i="1"/>
  <c r="A218" i="1" s="1"/>
  <c r="B553" i="1"/>
  <c r="A553" i="1" s="1"/>
  <c r="B582" i="1"/>
  <c r="A582" i="1" s="1"/>
  <c r="B598" i="1"/>
  <c r="A598" i="1" s="1"/>
  <c r="B371" i="1" l="1"/>
  <c r="A371" i="1" s="1"/>
  <c r="B370" i="1"/>
  <c r="A370" i="1" s="1"/>
  <c r="B347" i="1"/>
  <c r="A347" i="1" s="1"/>
  <c r="B338" i="1"/>
  <c r="A338" i="1" s="1"/>
  <c r="B336" i="1"/>
  <c r="A336" i="1" s="1"/>
  <c r="B332" i="1"/>
  <c r="A332" i="1" s="1"/>
  <c r="B363" i="1"/>
  <c r="A363" i="1" s="1"/>
  <c r="B362" i="1"/>
  <c r="A362" i="1" s="1"/>
  <c r="B339" i="1"/>
  <c r="A339" i="1" s="1"/>
  <c r="B327" i="1"/>
  <c r="A327" i="1" s="1"/>
  <c r="B348" i="1"/>
  <c r="A348" i="1" s="1"/>
  <c r="B328" i="1"/>
  <c r="A328" i="1" s="1"/>
  <c r="B341" i="1"/>
  <c r="A341" i="1" s="1"/>
  <c r="B329" i="1"/>
  <c r="A329" i="1" s="1"/>
  <c r="B374" i="1"/>
  <c r="A374" i="1" s="1"/>
  <c r="B340" i="1"/>
  <c r="A340" i="1" s="1"/>
  <c r="B330" i="1"/>
  <c r="A330" i="1" s="1"/>
  <c r="B376" i="1"/>
  <c r="A376" i="1" s="1"/>
  <c r="B358" i="1"/>
  <c r="A358" i="1" s="1"/>
  <c r="B372" i="1"/>
  <c r="A372" i="1" s="1"/>
  <c r="B377" i="1"/>
  <c r="A377" i="1" s="1"/>
  <c r="B368" i="1"/>
  <c r="A368" i="1" s="1"/>
  <c r="B335" i="1"/>
  <c r="A335" i="1" s="1"/>
  <c r="B355" i="1"/>
  <c r="A355" i="1" s="1"/>
  <c r="B331" i="1"/>
  <c r="A331" i="1" s="1"/>
  <c r="B369" i="1"/>
  <c r="A369" i="1" s="1"/>
  <c r="B360" i="1"/>
  <c r="A360" i="1" s="1"/>
  <c r="B375" i="1"/>
  <c r="A375" i="1" s="1"/>
  <c r="B373" i="1"/>
  <c r="A373" i="1" s="1"/>
  <c r="B354" i="1"/>
  <c r="A354" i="1" s="1"/>
  <c r="B379" i="1"/>
  <c r="A379" i="1" s="1"/>
  <c r="B378" i="1"/>
  <c r="A378" i="1" s="1"/>
  <c r="B361" i="1"/>
  <c r="A361" i="1" s="1"/>
  <c r="B346" i="1"/>
  <c r="A346" i="1" s="1"/>
  <c r="B359" i="1"/>
  <c r="A359" i="1" s="1"/>
  <c r="B356" i="1"/>
  <c r="A356" i="1" s="1"/>
  <c r="B86" i="1"/>
  <c r="A86" i="1" s="1"/>
  <c r="B88" i="1"/>
  <c r="A88" i="1" s="1"/>
  <c r="B89" i="1"/>
  <c r="A89" i="1" s="1"/>
  <c r="B87" i="1"/>
  <c r="A87" i="1" s="1"/>
  <c r="B90" i="1"/>
  <c r="A90" i="1" s="1"/>
  <c r="P44" i="1"/>
  <c r="B44" i="1" s="1"/>
  <c r="A44" i="1" s="1"/>
  <c r="P98" i="1"/>
  <c r="B98" i="1" s="1"/>
  <c r="A98" i="1" s="1"/>
  <c r="P103" i="1"/>
  <c r="B103" i="1" s="1"/>
  <c r="A103" i="1" s="1"/>
  <c r="P45" i="1"/>
  <c r="B45" i="1" s="1"/>
  <c r="A45" i="1" s="1"/>
  <c r="P91" i="1"/>
  <c r="B91" i="1" s="1"/>
  <c r="A91" i="1" s="1"/>
  <c r="P99" i="1"/>
  <c r="B99" i="1" s="1"/>
  <c r="A99" i="1" s="1"/>
  <c r="P104" i="1"/>
  <c r="B104" i="1" s="1"/>
  <c r="A104" i="1" s="1"/>
  <c r="P46" i="1"/>
  <c r="B46" i="1" s="1"/>
  <c r="A46" i="1" s="1"/>
  <c r="P92" i="1"/>
  <c r="B92" i="1" s="1"/>
  <c r="A92" i="1" s="1"/>
  <c r="P100" i="1"/>
  <c r="B100" i="1" s="1"/>
  <c r="A100" i="1" s="1"/>
  <c r="P105" i="1"/>
  <c r="B105" i="1" s="1"/>
  <c r="A105" i="1" s="1"/>
  <c r="P47" i="1"/>
  <c r="B47" i="1" s="1"/>
  <c r="A47" i="1" s="1"/>
  <c r="P93" i="1"/>
  <c r="B93" i="1" s="1"/>
  <c r="A93" i="1" s="1"/>
  <c r="P101" i="1"/>
  <c r="B101" i="1" s="1"/>
  <c r="A101" i="1" s="1"/>
  <c r="P238" i="1"/>
  <c r="B238" i="1" s="1"/>
  <c r="A238" i="1" s="1"/>
  <c r="P40" i="1"/>
  <c r="B40" i="1" s="1"/>
  <c r="A40" i="1" s="1"/>
  <c r="P94" i="1"/>
  <c r="B94" i="1" s="1"/>
  <c r="A94" i="1" s="1"/>
  <c r="P102" i="1"/>
  <c r="B102" i="1" s="1"/>
  <c r="A102" i="1" s="1"/>
  <c r="B239" i="1"/>
  <c r="A239" i="1" s="1"/>
  <c r="P95" i="1"/>
  <c r="B95" i="1" s="1"/>
  <c r="A95" i="1" s="1"/>
  <c r="P41" i="1"/>
  <c r="B41" i="1" s="1"/>
  <c r="A41" i="1" s="1"/>
  <c r="B232" i="1"/>
  <c r="A232" i="1" s="1"/>
  <c r="B240" i="1"/>
  <c r="A240" i="1" s="1"/>
  <c r="P42" i="1"/>
  <c r="B42" i="1" s="1"/>
  <c r="A42" i="1" s="1"/>
  <c r="P96" i="1"/>
  <c r="B96" i="1" s="1"/>
  <c r="A96" i="1" s="1"/>
  <c r="B241" i="1"/>
  <c r="A241" i="1" s="1"/>
  <c r="P43" i="1"/>
  <c r="B43" i="1" s="1"/>
  <c r="A43" i="1" s="1"/>
  <c r="P97" i="1"/>
  <c r="B97" i="1" s="1"/>
  <c r="A97" i="1" s="1"/>
  <c r="P8" i="1"/>
  <c r="B8" i="1" s="1"/>
  <c r="A8" i="1" s="1"/>
  <c r="P12" i="1"/>
  <c r="B12" i="1" s="1"/>
  <c r="A12" i="1" s="1"/>
  <c r="P9" i="1"/>
  <c r="B9" i="1" s="1"/>
  <c r="A9" i="1" s="1"/>
  <c r="P13" i="1"/>
  <c r="B13" i="1" s="1"/>
  <c r="A13" i="1" s="1"/>
  <c r="P14" i="1"/>
  <c r="B14" i="1" s="1"/>
  <c r="A14" i="1" s="1"/>
  <c r="P15" i="1"/>
  <c r="B15" i="1" s="1"/>
  <c r="A15" i="1" s="1"/>
  <c r="P16" i="1"/>
  <c r="B16" i="1" s="1"/>
  <c r="A16" i="1" s="1"/>
  <c r="P17" i="1"/>
  <c r="B17" i="1" s="1"/>
  <c r="A17" i="1" s="1"/>
  <c r="P23" i="1"/>
  <c r="B23" i="1" s="1"/>
  <c r="A23" i="1" s="1"/>
  <c r="P24" i="1"/>
  <c r="B24" i="1" s="1"/>
  <c r="A24" i="1" s="1"/>
  <c r="P25" i="1"/>
  <c r="B25" i="1" s="1"/>
  <c r="A25" i="1" s="1"/>
  <c r="P26" i="1"/>
  <c r="B26" i="1" s="1"/>
  <c r="A26" i="1" s="1"/>
  <c r="P27" i="1"/>
  <c r="B27" i="1" s="1"/>
  <c r="A27" i="1" s="1"/>
  <c r="P28" i="1"/>
  <c r="B28" i="1" s="1"/>
  <c r="A28" i="1" s="1"/>
  <c r="P29" i="1"/>
  <c r="B29" i="1" s="1"/>
  <c r="A29" i="1" s="1"/>
  <c r="P30" i="1"/>
  <c r="B30" i="1" s="1"/>
  <c r="A30" i="1" s="1"/>
  <c r="P31" i="1"/>
  <c r="B31" i="1" s="1"/>
  <c r="A31" i="1" s="1"/>
  <c r="P32" i="1"/>
  <c r="B32" i="1" s="1"/>
  <c r="A32" i="1" s="1"/>
  <c r="P33" i="1"/>
  <c r="B33" i="1" s="1"/>
  <c r="A33" i="1" s="1"/>
  <c r="P34" i="1"/>
  <c r="B34" i="1" s="1"/>
  <c r="A34" i="1" s="1"/>
  <c r="P35" i="1"/>
  <c r="B35" i="1" s="1"/>
  <c r="A35" i="1" s="1"/>
  <c r="P36" i="1"/>
  <c r="B36" i="1" s="1"/>
  <c r="A36" i="1" s="1"/>
  <c r="P37" i="1"/>
  <c r="B37" i="1" s="1"/>
  <c r="A37" i="1" s="1"/>
  <c r="P38" i="1"/>
  <c r="B38" i="1" s="1"/>
  <c r="A38" i="1" s="1"/>
  <c r="P39" i="1"/>
  <c r="B39" i="1" s="1"/>
  <c r="A39" i="1" s="1"/>
  <c r="P10" i="1"/>
  <c r="B10" i="1" s="1"/>
  <c r="A10" i="1" s="1"/>
  <c r="P7" i="1"/>
  <c r="B7" i="1" s="1"/>
  <c r="A7" i="1" s="1"/>
  <c r="P11" i="1"/>
  <c r="B11" i="1" s="1"/>
  <c r="A11" i="1" s="1"/>
  <c r="B434" i="1" l="1"/>
  <c r="A434" i="1" s="1"/>
  <c r="B437" i="1"/>
  <c r="A437" i="1" s="1"/>
  <c r="B436" i="1"/>
  <c r="A436" i="1" s="1"/>
  <c r="B433" i="1"/>
  <c r="A433" i="1" s="1"/>
  <c r="B435" i="1"/>
  <c r="A435" i="1" s="1"/>
  <c r="P70" i="1" l="1"/>
  <c r="B70" i="1" s="1"/>
  <c r="A70" i="1" s="1"/>
  <c r="P71" i="1"/>
  <c r="B71" i="1" s="1"/>
  <c r="A71" i="1" s="1"/>
  <c r="P51" i="1" l="1"/>
  <c r="B51" i="1" s="1"/>
  <c r="A51" i="1" s="1"/>
  <c r="P52" i="1"/>
  <c r="B52" i="1" s="1"/>
  <c r="A52" i="1" s="1"/>
  <c r="P49" i="1"/>
  <c r="B49" i="1" s="1"/>
  <c r="A49" i="1" s="1"/>
  <c r="P50" i="1"/>
  <c r="B50" i="1" s="1"/>
  <c r="A50" i="1" s="1"/>
  <c r="B267" i="1" l="1"/>
  <c r="A267" i="1" s="1"/>
  <c r="B265" i="1"/>
  <c r="A265" i="1" s="1"/>
  <c r="B260" i="1"/>
  <c r="A260" i="1" s="1"/>
  <c r="B258" i="1"/>
  <c r="A258" i="1" s="1"/>
  <c r="B256" i="1"/>
  <c r="A256" i="1" s="1"/>
  <c r="B269" i="1"/>
  <c r="A269" i="1" s="1"/>
  <c r="B263" i="1"/>
  <c r="A263" i="1" s="1"/>
  <c r="B272" i="1"/>
  <c r="A272" i="1" s="1"/>
  <c r="B266" i="1"/>
  <c r="A266" i="1" s="1"/>
  <c r="B257" i="1"/>
  <c r="A257" i="1" s="1"/>
  <c r="B262" i="1"/>
  <c r="A262" i="1" s="1"/>
  <c r="B268" i="1"/>
  <c r="A268" i="1" s="1"/>
  <c r="B271" i="1"/>
  <c r="A271" i="1" s="1"/>
  <c r="B259" i="1"/>
  <c r="A259" i="1" s="1"/>
  <c r="B261" i="1"/>
  <c r="A261" i="1" s="1"/>
  <c r="P209" i="1"/>
  <c r="B209" i="1" s="1"/>
  <c r="A209" i="1" s="1"/>
  <c r="B202" i="1"/>
  <c r="A202" i="1" s="1"/>
  <c r="B160" i="1"/>
  <c r="A160" i="1" s="1"/>
  <c r="B195" i="1"/>
  <c r="A195" i="1" s="1"/>
  <c r="B275" i="1" l="1"/>
  <c r="A275" i="1" s="1"/>
  <c r="B300" i="1"/>
  <c r="A300" i="1" s="1"/>
  <c r="B286" i="1"/>
  <c r="A286" i="1" s="1"/>
  <c r="B311" i="1"/>
  <c r="A311" i="1" s="1"/>
  <c r="B322" i="1"/>
  <c r="A322" i="1" s="1"/>
  <c r="P48" i="1" l="1"/>
  <c r="B48" i="1" s="1"/>
  <c r="A48" i="1" s="1"/>
  <c r="P67" i="1" l="1"/>
  <c r="B67" i="1" s="1"/>
  <c r="A67" i="1" s="1"/>
  <c r="P68" i="1"/>
  <c r="B68" i="1" s="1"/>
  <c r="A68" i="1" s="1"/>
  <c r="P69" i="1"/>
  <c r="B69" i="1" s="1"/>
  <c r="A69" i="1" s="1"/>
  <c r="P81" i="1"/>
  <c r="B81" i="1" s="1"/>
  <c r="A81" i="1" s="1"/>
  <c r="P66" i="1"/>
  <c r="B66" i="1" s="1"/>
  <c r="A66" i="1" s="1"/>
  <c r="B386" i="1" l="1"/>
  <c r="A386" i="1" s="1"/>
  <c r="B387" i="1"/>
  <c r="A387" i="1" s="1"/>
  <c r="P83" i="1"/>
  <c r="B83" i="1" s="1"/>
  <c r="A83" i="1" s="1"/>
  <c r="P84" i="1"/>
  <c r="B84" i="1" s="1"/>
  <c r="A84" i="1" s="1"/>
  <c r="P78" i="1"/>
  <c r="B78" i="1" s="1"/>
  <c r="A78" i="1" s="1"/>
  <c r="P79" i="1"/>
  <c r="B79" i="1" s="1"/>
  <c r="A79" i="1" s="1"/>
  <c r="P80" i="1"/>
  <c r="B80" i="1" s="1"/>
  <c r="A80" i="1" s="1"/>
  <c r="P57" i="1"/>
  <c r="B57" i="1" s="1"/>
  <c r="A57" i="1" s="1"/>
  <c r="P65" i="1"/>
  <c r="B65" i="1" s="1"/>
  <c r="A65" i="1" s="1"/>
  <c r="P82" i="1"/>
  <c r="B82" i="1" s="1"/>
  <c r="A82" i="1" s="1"/>
  <c r="B399" i="1" l="1"/>
  <c r="A399" i="1" s="1"/>
  <c r="B397" i="1"/>
  <c r="A397" i="1" s="1"/>
  <c r="B398" i="1"/>
  <c r="A398" i="1" s="1"/>
  <c r="B400" i="1"/>
  <c r="A400" i="1" s="1"/>
  <c r="B203" i="1"/>
  <c r="A203" i="1" s="1"/>
  <c r="B161" i="1"/>
  <c r="A161" i="1" s="1"/>
  <c r="B196" i="1"/>
  <c r="A196" i="1" s="1"/>
  <c r="B312" i="1" l="1"/>
  <c r="A312" i="1" s="1"/>
  <c r="B276" i="1"/>
  <c r="A276" i="1" s="1"/>
  <c r="B301" i="1"/>
  <c r="A301" i="1" s="1"/>
  <c r="B287" i="1"/>
  <c r="A287" i="1" s="1"/>
  <c r="B323" i="1"/>
  <c r="A323" i="1" s="1"/>
  <c r="P59" i="1"/>
  <c r="P60" i="1"/>
  <c r="B60" i="1" s="1"/>
  <c r="A60" i="1" s="1"/>
  <c r="P61" i="1"/>
  <c r="B61" i="1" s="1"/>
  <c r="A61" i="1" s="1"/>
  <c r="P62" i="1"/>
  <c r="B62" i="1" s="1"/>
  <c r="A62" i="1" s="1"/>
  <c r="P63" i="1"/>
  <c r="B63" i="1" s="1"/>
  <c r="A63" i="1" s="1"/>
  <c r="P64" i="1"/>
  <c r="B64" i="1" s="1"/>
  <c r="A64" i="1" s="1"/>
  <c r="P58" i="1"/>
  <c r="B59" i="1" l="1"/>
  <c r="A59" i="1" s="1"/>
  <c r="B58" i="1"/>
  <c r="A58" i="1" s="1"/>
  <c r="B395" i="1" l="1"/>
  <c r="A395" i="1" s="1"/>
  <c r="B393" i="1"/>
  <c r="A393" i="1" s="1"/>
  <c r="B396" i="1" l="1"/>
  <c r="A396" i="1" s="1"/>
  <c r="B394" i="1"/>
  <c r="A394" i="1" s="1"/>
  <c r="P75" i="1"/>
  <c r="B75" i="1" s="1"/>
  <c r="A75" i="1" s="1"/>
  <c r="P76" i="1"/>
  <c r="B76" i="1" s="1"/>
  <c r="A76" i="1" s="1"/>
  <c r="P77" i="1"/>
  <c r="B77" i="1" s="1"/>
  <c r="A77" i="1" s="1"/>
  <c r="P72" i="1"/>
  <c r="B72" i="1" s="1"/>
  <c r="A72" i="1" s="1"/>
  <c r="P73" i="1"/>
  <c r="B73" i="1" s="1"/>
  <c r="A73" i="1" s="1"/>
  <c r="P74" i="1"/>
  <c r="B74" i="1" s="1"/>
  <c r="A74" i="1" s="1"/>
  <c r="P118" i="1" l="1"/>
  <c r="B118" i="1" s="1"/>
  <c r="A118" i="1" s="1"/>
  <c r="P180" i="1"/>
  <c r="B180" i="1" s="1"/>
  <c r="A180" i="1" s="1"/>
  <c r="P181" i="1"/>
  <c r="B181" i="1" s="1"/>
  <c r="A181" i="1" s="1"/>
  <c r="P182" i="1"/>
  <c r="B182" i="1" s="1"/>
  <c r="A182" i="1" s="1"/>
  <c r="P183" i="1"/>
  <c r="B183" i="1" s="1"/>
  <c r="A183" i="1" s="1"/>
  <c r="P107" i="1"/>
  <c r="B107" i="1" s="1"/>
  <c r="A107" i="1" s="1"/>
  <c r="P184" i="1"/>
  <c r="B184" i="1" s="1"/>
  <c r="A184" i="1" s="1"/>
  <c r="P185" i="1"/>
  <c r="B185" i="1" s="1"/>
  <c r="A185" i="1" s="1"/>
  <c r="P109" i="1"/>
  <c r="B109" i="1" s="1"/>
  <c r="A109" i="1" s="1"/>
  <c r="P186" i="1"/>
  <c r="B186" i="1" s="1"/>
  <c r="A186" i="1" s="1"/>
  <c r="P113" i="1"/>
  <c r="B113" i="1" s="1"/>
  <c r="A113" i="1" s="1"/>
  <c r="P189" i="1"/>
  <c r="B189" i="1" s="1"/>
  <c r="A189" i="1" s="1"/>
  <c r="P108" i="1"/>
  <c r="B108" i="1" s="1"/>
  <c r="A108" i="1" s="1"/>
  <c r="B253" i="1" l="1"/>
  <c r="A253" i="1" s="1"/>
  <c r="B248" i="1"/>
  <c r="A248" i="1" s="1"/>
  <c r="B252" i="1"/>
  <c r="A252" i="1" s="1"/>
  <c r="B250" i="1"/>
  <c r="A250" i="1" s="1"/>
  <c r="B251" i="1"/>
  <c r="A251" i="1" s="1"/>
  <c r="B255" i="1"/>
  <c r="A255" i="1" s="1"/>
  <c r="B249" i="1"/>
  <c r="A249" i="1" s="1"/>
  <c r="B254" i="1"/>
  <c r="A254" i="1" s="1"/>
</calcChain>
</file>

<file path=xl/sharedStrings.xml><?xml version="1.0" encoding="utf-8"?>
<sst xmlns="http://schemas.openxmlformats.org/spreadsheetml/2006/main" count="9352" uniqueCount="1124">
  <si>
    <t>Grupo</t>
  </si>
  <si>
    <t>Equipamento</t>
  </si>
  <si>
    <t>Criticidade</t>
  </si>
  <si>
    <t>Periodicidade</t>
  </si>
  <si>
    <t>Path_Imagen</t>
  </si>
  <si>
    <t>Data_Inicio_Manutencao</t>
  </si>
  <si>
    <t>Critico</t>
  </si>
  <si>
    <t>Mensal</t>
  </si>
  <si>
    <t xml:space="preserve"> Local</t>
  </si>
  <si>
    <t>Zona</t>
  </si>
  <si>
    <t>Cod</t>
  </si>
  <si>
    <t>Sistema</t>
  </si>
  <si>
    <t>AGI</t>
  </si>
  <si>
    <t>Contadores</t>
  </si>
  <si>
    <t>CON</t>
  </si>
  <si>
    <t>Gerador</t>
  </si>
  <si>
    <t>GER</t>
  </si>
  <si>
    <t xml:space="preserve">Medidor de Nível </t>
  </si>
  <si>
    <t>MNI</t>
  </si>
  <si>
    <t>Medidor de pH</t>
  </si>
  <si>
    <t>MPR</t>
  </si>
  <si>
    <t>Motor</t>
  </si>
  <si>
    <t>MOT</t>
  </si>
  <si>
    <t>Ponte Raspadora Decantador</t>
  </si>
  <si>
    <t>PRD</t>
  </si>
  <si>
    <t>Válvula</t>
  </si>
  <si>
    <t>Ventilador</t>
  </si>
  <si>
    <t>Ventosa</t>
  </si>
  <si>
    <t>VET</t>
  </si>
  <si>
    <t>Matola</t>
  </si>
  <si>
    <t>Machava</t>
  </si>
  <si>
    <t>Chamanculo</t>
  </si>
  <si>
    <t>Maxaquene</t>
  </si>
  <si>
    <t>Laulane</t>
  </si>
  <si>
    <t>Radio Marconi</t>
  </si>
  <si>
    <t>Tratamento 2</t>
  </si>
  <si>
    <t>Tratamento 3</t>
  </si>
  <si>
    <t>Centro distribuidor</t>
  </si>
  <si>
    <t>Pequeno sistema</t>
  </si>
  <si>
    <t>Sede</t>
  </si>
  <si>
    <t>Posto de cobrança</t>
  </si>
  <si>
    <t>Loja de Atendimento</t>
  </si>
  <si>
    <t>Complexo oficinal</t>
  </si>
  <si>
    <t>ETA Umbeluzi</t>
  </si>
  <si>
    <t>ETAU</t>
  </si>
  <si>
    <t>ETAS</t>
  </si>
  <si>
    <t>CD</t>
  </si>
  <si>
    <t>ADU</t>
  </si>
  <si>
    <t>Belo-Horizonte</t>
  </si>
  <si>
    <t>Boane</t>
  </si>
  <si>
    <t>Guava</t>
  </si>
  <si>
    <t>Intaka</t>
  </si>
  <si>
    <t>Katembe</t>
  </si>
  <si>
    <t>Mathlemele</t>
  </si>
  <si>
    <t>Matola Rio</t>
  </si>
  <si>
    <t>Tsalala</t>
  </si>
  <si>
    <t>Hulene</t>
  </si>
  <si>
    <t>Jonasse</t>
  </si>
  <si>
    <t>Mussumbuluku</t>
  </si>
  <si>
    <t>PSAA</t>
  </si>
  <si>
    <t>FU</t>
  </si>
  <si>
    <t>Tratamento 1 Degremount 1</t>
  </si>
  <si>
    <t>Tratamento 1 Degremount 2</t>
  </si>
  <si>
    <t>Tratamento 1 Candy</t>
  </si>
  <si>
    <t>CPT1</t>
  </si>
  <si>
    <t>CPT2</t>
  </si>
  <si>
    <t>CPT3</t>
  </si>
  <si>
    <t>COF</t>
  </si>
  <si>
    <t>EEL1</t>
  </si>
  <si>
    <t>EEL2</t>
  </si>
  <si>
    <t>EEL3</t>
  </si>
  <si>
    <t>LDA</t>
  </si>
  <si>
    <t>PDC</t>
  </si>
  <si>
    <t>RES</t>
  </si>
  <si>
    <t>SED</t>
  </si>
  <si>
    <t>BOA</t>
  </si>
  <si>
    <t>CHA</t>
  </si>
  <si>
    <t>GUA</t>
  </si>
  <si>
    <t>T1D1</t>
  </si>
  <si>
    <t>T1D2</t>
  </si>
  <si>
    <t>T1C</t>
  </si>
  <si>
    <t>T2</t>
  </si>
  <si>
    <t>T3</t>
  </si>
  <si>
    <t>BH</t>
  </si>
  <si>
    <t>INT</t>
  </si>
  <si>
    <t>KAT</t>
  </si>
  <si>
    <t>LAU</t>
  </si>
  <si>
    <t>MAC</t>
  </si>
  <si>
    <t>MACT</t>
  </si>
  <si>
    <t>MATH</t>
  </si>
  <si>
    <t>MAT</t>
  </si>
  <si>
    <t>MATR</t>
  </si>
  <si>
    <t>MAX</t>
  </si>
  <si>
    <t>TSA</t>
  </si>
  <si>
    <t>TSAT</t>
  </si>
  <si>
    <t>HUL</t>
  </si>
  <si>
    <t>JON</t>
  </si>
  <si>
    <t>MUS</t>
  </si>
  <si>
    <t>RM</t>
  </si>
  <si>
    <t>Amortecedor de choque hidráulico</t>
  </si>
  <si>
    <t>Banco de Capacitores</t>
  </si>
  <si>
    <t>Canalização Eléctrica</t>
  </si>
  <si>
    <t xml:space="preserve">Compressor </t>
  </si>
  <si>
    <t>Electrobombas de esgoto</t>
  </si>
  <si>
    <t>Grua</t>
  </si>
  <si>
    <t>UPS</t>
  </si>
  <si>
    <t>Vibrador de Cal</t>
  </si>
  <si>
    <t>Ordem do equipamento</t>
  </si>
  <si>
    <t>Bloco Administrativo</t>
  </si>
  <si>
    <t>BA</t>
  </si>
  <si>
    <t>EQ</t>
  </si>
  <si>
    <t>PT</t>
  </si>
  <si>
    <t>Subestação</t>
  </si>
  <si>
    <t>SPQ</t>
  </si>
  <si>
    <t xml:space="preserve">Sala de Clorinadores </t>
  </si>
  <si>
    <t>Clarificador de Agua de Lavagem</t>
  </si>
  <si>
    <t>Sala de Ozono</t>
  </si>
  <si>
    <t>SOZ</t>
  </si>
  <si>
    <t>Tanque de Contacto de Ozono</t>
  </si>
  <si>
    <t>Espessante de Gravidade</t>
  </si>
  <si>
    <t>Saturador de Cal</t>
  </si>
  <si>
    <t>Sistema da Ara Sul</t>
  </si>
  <si>
    <t>sala de cilindros de cloro</t>
  </si>
  <si>
    <t>Dosagem de PAC</t>
  </si>
  <si>
    <t>Dosagem Cal</t>
  </si>
  <si>
    <t>SBS1</t>
  </si>
  <si>
    <t>SBS2</t>
  </si>
  <si>
    <t>Subestação 1</t>
  </si>
  <si>
    <t>Subestação 2</t>
  </si>
  <si>
    <t>Secagem de Lama A</t>
  </si>
  <si>
    <t>Secagem de Lama B</t>
  </si>
  <si>
    <t xml:space="preserve">Agitador  </t>
  </si>
  <si>
    <t xml:space="preserve">Electrobombas de agua motriz </t>
  </si>
  <si>
    <t xml:space="preserve">Electrobombas Doseadoras </t>
  </si>
  <si>
    <t>Electrobombas  de Transferência</t>
  </si>
  <si>
    <t>Caixas de Parcialização</t>
  </si>
  <si>
    <t>Comporta</t>
  </si>
  <si>
    <t>GRU</t>
  </si>
  <si>
    <t>Dosagem de Cloro Granular</t>
  </si>
  <si>
    <t>Ozono</t>
  </si>
  <si>
    <t>Cloragem</t>
  </si>
  <si>
    <t>Iluminação</t>
  </si>
  <si>
    <t>CAN</t>
  </si>
  <si>
    <t>Electrobomba centrífuga horizontal</t>
  </si>
  <si>
    <t xml:space="preserve">Electrobomba centrífuga Vertical </t>
  </si>
  <si>
    <t>Ar de lavagem</t>
  </si>
  <si>
    <t>Agua de lavagem</t>
  </si>
  <si>
    <t>Agua filtrada</t>
  </si>
  <si>
    <t>Descarga de fundo</t>
  </si>
  <si>
    <t>Actuador Eléctrico</t>
  </si>
  <si>
    <t>Bomba</t>
  </si>
  <si>
    <t>Compressor</t>
  </si>
  <si>
    <t>Descarga de lamas</t>
  </si>
  <si>
    <t>Ponte Rolante</t>
  </si>
  <si>
    <t>Quadros Eléctricos de Arranque</t>
  </si>
  <si>
    <t>Reservatório</t>
  </si>
  <si>
    <t>Supressor</t>
  </si>
  <si>
    <t>Esgoto</t>
  </si>
  <si>
    <t>ESG</t>
  </si>
  <si>
    <t>EXT</t>
  </si>
  <si>
    <t>SCAL</t>
  </si>
  <si>
    <t>GOX</t>
  </si>
  <si>
    <t>GOZ</t>
  </si>
  <si>
    <t>ACL</t>
  </si>
  <si>
    <t>SUP</t>
  </si>
  <si>
    <t>SUB</t>
  </si>
  <si>
    <t>TCOZ</t>
  </si>
  <si>
    <t>TEL</t>
  </si>
  <si>
    <t>SCLO</t>
  </si>
  <si>
    <t>CM1</t>
  </si>
  <si>
    <t>CM2</t>
  </si>
  <si>
    <t>AGS</t>
  </si>
  <si>
    <t>AGR</t>
  </si>
  <si>
    <t>AGL</t>
  </si>
  <si>
    <t>AGF</t>
  </si>
  <si>
    <t>ARL</t>
  </si>
  <si>
    <t>Transformador</t>
  </si>
  <si>
    <t>COM</t>
  </si>
  <si>
    <t>Tanque de Envio</t>
  </si>
  <si>
    <t>BOM</t>
  </si>
  <si>
    <t>QEA</t>
  </si>
  <si>
    <t>VLV</t>
  </si>
  <si>
    <t>01</t>
  </si>
  <si>
    <t>07</t>
  </si>
  <si>
    <t>08</t>
  </si>
  <si>
    <t>09</t>
  </si>
  <si>
    <t>02</t>
  </si>
  <si>
    <t>03</t>
  </si>
  <si>
    <t>04</t>
  </si>
  <si>
    <t>05</t>
  </si>
  <si>
    <t>06</t>
  </si>
  <si>
    <t>Nº de Ordem</t>
  </si>
  <si>
    <t>10</t>
  </si>
  <si>
    <t>11</t>
  </si>
  <si>
    <t>PS</t>
  </si>
  <si>
    <t>ID</t>
  </si>
  <si>
    <t>ES</t>
  </si>
  <si>
    <t>EU</t>
  </si>
  <si>
    <t>AEP</t>
  </si>
  <si>
    <t>CPS</t>
  </si>
  <si>
    <t>Diferencial</t>
  </si>
  <si>
    <t>DFC</t>
  </si>
  <si>
    <t>CEN</t>
  </si>
  <si>
    <t>PRO</t>
  </si>
  <si>
    <t>VEN</t>
  </si>
  <si>
    <t>VCA</t>
  </si>
  <si>
    <t>MUR</t>
  </si>
  <si>
    <t>ULT</t>
  </si>
  <si>
    <t>TRA</t>
  </si>
  <si>
    <t>AEL</t>
  </si>
  <si>
    <t>CPA</t>
  </si>
  <si>
    <t>QEL</t>
  </si>
  <si>
    <t>Tratamento 1</t>
  </si>
  <si>
    <t>Posto de Transformação</t>
  </si>
  <si>
    <t>Pneumático</t>
  </si>
  <si>
    <t>Preparação de Cal</t>
  </si>
  <si>
    <t>Preparação de POT</t>
  </si>
  <si>
    <t>Geração de Oxigénio</t>
  </si>
  <si>
    <t>Residência</t>
  </si>
  <si>
    <t>Geração de Ozono</t>
  </si>
  <si>
    <t>Neutralização de cloro</t>
  </si>
  <si>
    <t>Sala de preparação de Químicos</t>
  </si>
  <si>
    <t>Sedimentação</t>
  </si>
  <si>
    <t>Tanque de Compensação</t>
  </si>
  <si>
    <t>Tanque de Equalização de Lamas</t>
  </si>
  <si>
    <t>Tanque de Preparação</t>
  </si>
  <si>
    <t>Tsalala Transferência Coca-Cola</t>
  </si>
  <si>
    <t>Instalação</t>
  </si>
  <si>
    <t>Adução</t>
  </si>
  <si>
    <t>Alto Maé</t>
  </si>
  <si>
    <t>Agua de refrigeração</t>
  </si>
  <si>
    <t>ETA Sabié</t>
  </si>
  <si>
    <t>Agua de serviço</t>
  </si>
  <si>
    <t>Caixas de Inspecção</t>
  </si>
  <si>
    <t>Captação 1</t>
  </si>
  <si>
    <t>Captação 2</t>
  </si>
  <si>
    <t xml:space="preserve">Electrobomba Submersível </t>
  </si>
  <si>
    <t>Captação 3</t>
  </si>
  <si>
    <t>Diluição da Cal</t>
  </si>
  <si>
    <t>Edifício Químico</t>
  </si>
  <si>
    <t>Caixa de Saída</t>
  </si>
  <si>
    <t>Elevação 1</t>
  </si>
  <si>
    <t>Elevação 2</t>
  </si>
  <si>
    <t>Elevação 3</t>
  </si>
  <si>
    <t>Dosagem de Permanganato de Potássio</t>
  </si>
  <si>
    <t>Dosagem de Polímero Tanque 1</t>
  </si>
  <si>
    <t>Dosagem de Polímero Tanque 2</t>
  </si>
  <si>
    <t>Dosagem de Sulfato de Alumínio</t>
  </si>
  <si>
    <t>Equalização de Lamas</t>
  </si>
  <si>
    <t>Furos</t>
  </si>
  <si>
    <t>Machava Transferência Tsalala</t>
  </si>
  <si>
    <t>Pré-Cloração</t>
  </si>
  <si>
    <t>Pós-Cloração</t>
  </si>
  <si>
    <t>Marca / Fabricante</t>
  </si>
  <si>
    <t>Modelo / Características</t>
  </si>
  <si>
    <t>Tempo nominal de vida útil
(*)</t>
  </si>
  <si>
    <t>Esperança de vida útil
(anos (*)</t>
  </si>
  <si>
    <t>TAG</t>
  </si>
  <si>
    <t>T1</t>
  </si>
  <si>
    <t>Sector</t>
  </si>
  <si>
    <t>Localização</t>
  </si>
  <si>
    <t>instalação</t>
  </si>
  <si>
    <t>Data Instalação</t>
  </si>
  <si>
    <t xml:space="preserve"> Especificação</t>
  </si>
  <si>
    <t>Mecânica</t>
  </si>
  <si>
    <t>Eléctrica</t>
  </si>
  <si>
    <t>Semestral</t>
  </si>
  <si>
    <t>Trimestral</t>
  </si>
  <si>
    <r>
      <rPr>
        <sz val="9"/>
        <color rgb="FF000000"/>
        <rFont val="Comic Sans MS"/>
        <family val="4"/>
      </rPr>
      <t>T</t>
    </r>
    <r>
      <rPr>
        <sz val="9"/>
        <color rgb="FFFF0000"/>
        <rFont val="Comic Sans MS"/>
        <family val="4"/>
      </rPr>
      <t>rimestral</t>
    </r>
  </si>
  <si>
    <t>Estado</t>
  </si>
  <si>
    <t>Operacional</t>
  </si>
  <si>
    <t>Avariado</t>
  </si>
  <si>
    <t xml:space="preserve">Redundância </t>
  </si>
  <si>
    <t>Redundância</t>
  </si>
  <si>
    <t>Bombagem</t>
  </si>
  <si>
    <t>BBG</t>
  </si>
  <si>
    <t>Válvula Sucção</t>
  </si>
  <si>
    <t>Válvula Seccionamento</t>
  </si>
  <si>
    <t>Válvula Retenção</t>
  </si>
  <si>
    <t>Válvula Descarga</t>
  </si>
  <si>
    <t>Válvula Mural</t>
  </si>
  <si>
    <t>VSU</t>
  </si>
  <si>
    <t>VSE</t>
  </si>
  <si>
    <t>VDE</t>
  </si>
  <si>
    <t>VRE</t>
  </si>
  <si>
    <t>Elevação de cargas</t>
  </si>
  <si>
    <t>Quadro Eléctrico</t>
  </si>
  <si>
    <t xml:space="preserve">Rectificadores de tensão </t>
  </si>
  <si>
    <t>Carregador de baterias</t>
  </si>
  <si>
    <t>CBA</t>
  </si>
  <si>
    <t>RTE</t>
  </si>
  <si>
    <t>ECA</t>
  </si>
  <si>
    <t>DPP</t>
  </si>
  <si>
    <t>CAL</t>
  </si>
  <si>
    <t>ELA</t>
  </si>
  <si>
    <t>EGR</t>
  </si>
  <si>
    <t>ILU</t>
  </si>
  <si>
    <t>SLAA</t>
  </si>
  <si>
    <t>SLAB</t>
  </si>
  <si>
    <t>OZO</t>
  </si>
  <si>
    <t>ID_local</t>
  </si>
  <si>
    <t>COD_local</t>
  </si>
  <si>
    <t>COD_instalacao</t>
  </si>
  <si>
    <t>ID_instalacao</t>
  </si>
  <si>
    <t>COD_sistema</t>
  </si>
  <si>
    <t>ID_sistema</t>
  </si>
  <si>
    <t>ID_grupo</t>
  </si>
  <si>
    <t>COD_equipamento</t>
  </si>
  <si>
    <t>ID_equipamento</t>
  </si>
  <si>
    <t>AD</t>
  </si>
  <si>
    <t>ACH</t>
  </si>
  <si>
    <t>CLO</t>
  </si>
  <si>
    <t>PNE</t>
  </si>
  <si>
    <t>SCA</t>
  </si>
  <si>
    <t>BBA</t>
  </si>
  <si>
    <t>PSA</t>
  </si>
  <si>
    <t>CML</t>
  </si>
  <si>
    <t>CMR</t>
  </si>
  <si>
    <t>ESA</t>
  </si>
  <si>
    <t>Dosagem de Ultrafloc</t>
  </si>
  <si>
    <t>HTH</t>
  </si>
  <si>
    <t>Ventiladores</t>
  </si>
  <si>
    <t>Extractores</t>
  </si>
  <si>
    <t>Caixa de Entrada</t>
  </si>
  <si>
    <t>Agua Bruta</t>
  </si>
  <si>
    <t>AGB</t>
  </si>
  <si>
    <t>Agua Tratada</t>
  </si>
  <si>
    <t>AGT</t>
  </si>
  <si>
    <t>Sensor</t>
  </si>
  <si>
    <t>SEN</t>
  </si>
  <si>
    <t>TER</t>
  </si>
  <si>
    <t>TUR</t>
  </si>
  <si>
    <t>Medidor de Caudal</t>
  </si>
  <si>
    <t>Caixa de Engrenagem</t>
  </si>
  <si>
    <t>CHI</t>
  </si>
  <si>
    <t>Decantador</t>
  </si>
  <si>
    <t>Imagem</t>
  </si>
  <si>
    <t>assets/imagens/products/</t>
  </si>
  <si>
    <t>Pasta</t>
  </si>
  <si>
    <t>MTP</t>
  </si>
  <si>
    <t>Medidor de Temperatura</t>
  </si>
  <si>
    <t>Medidor de Pressão</t>
  </si>
  <si>
    <t>Filtro</t>
  </si>
  <si>
    <t>FIL</t>
  </si>
  <si>
    <t>Regulador</t>
  </si>
  <si>
    <t>VDF</t>
  </si>
  <si>
    <t>Válvula de Descarga de Fundo</t>
  </si>
  <si>
    <t>VDL</t>
  </si>
  <si>
    <t>Válvula de Descarga de Lama</t>
  </si>
  <si>
    <t>DEC</t>
  </si>
  <si>
    <t>Descarga de Fundo</t>
  </si>
  <si>
    <t>Descarga de Lama</t>
  </si>
  <si>
    <t>Agua motriz</t>
  </si>
  <si>
    <t>BCA</t>
  </si>
  <si>
    <t>Agua Filtrada</t>
  </si>
  <si>
    <t xml:space="preserve"> GRUNDFOS</t>
  </si>
  <si>
    <t>Redundancia</t>
  </si>
  <si>
    <t>ABB</t>
  </si>
  <si>
    <t>ABB*Close F* Nmax2600r/min*400V*65IP*Rolamentos6316/C3*50Hz*159A*665Kg*90Kw*0.86Cosϕ*N°3gc1350069119003006*Ano:2013</t>
  </si>
  <si>
    <t>ABB*Close F* Nmax2600r/min*400V*65IP*Rolamentos6316/C3*50Hz*159A*665Kg*90Kw*0.86Cosϕ*N°3gc1350069119003006*Ano:2014</t>
  </si>
  <si>
    <t>ABB*Close F* Nmax2600r/min*400V*65IP*Rolamentos6316/C3*50Hz*159A*665Kg*90Kw*0.86Cosϕ*N°3gc1350069119003006*Ano:2015</t>
  </si>
  <si>
    <t>BTV</t>
  </si>
  <si>
    <t>Model:CV-R101*Year:2014*Sise:DN500*Batch;SJ14164*Serial:SJ14164-CVR1015001638-398*Design:BS5155/EN593*Flange:BSEN1563EN-GJS-500-7*Disc:EN-GJS-500-7*Seal:EPDM.</t>
  </si>
  <si>
    <t>CV-R101</t>
  </si>
  <si>
    <t>DF*Year:2014*Batch:SJ14164*Sise:DN400*Serial:SJ14164BTV-DF4001621-24*Design:BS5155/EN593*Flange:BS4504PN16*Body:BSEN1563EN-GJS-500-7*Disc:EN-GJS-500-7*Seal:EPDM</t>
  </si>
  <si>
    <t>DF*Year:2014*Batch:SJ14164*Sise:DN200*Serie:SJ14164BTV-DF200102629*Design:BS5155/EN593*Flange:BS4504PN10*Body:BSEN1563EN-GJS-500-7*Disc:en-gjs-500-7*Seal:EPDM*SHANGHAI JOHNSON…SHANGHAI,prc</t>
  </si>
  <si>
    <t>QUZ73X-1</t>
  </si>
  <si>
    <t>Year:2014*Batch no:SJ14164*Sise:DN250*Serie:SJ14164QUZ73X-102501004-06*DESIGN:JB/T8691-1998*Flange/BS4504PN10*Body:BSEN-GJS-500-7*Disc:SS304*Seal:EPDM</t>
  </si>
  <si>
    <t>380V*Number of Product:140 188*400A*Ano:2014.8</t>
  </si>
  <si>
    <t>SD GCS</t>
  </si>
  <si>
    <t>Macromedidor</t>
  </si>
  <si>
    <t>NK150-400/394Y1FAE-SBQQE*Model-B99125852P116260002*Q-550m³/h*H-45m*n-1483min*P/t:10-120Bar/°c*MEI≥0,70*np=82,5%</t>
  </si>
  <si>
    <t>Fora de servico</t>
  </si>
  <si>
    <t xml:space="preserve"> S/N: 220138707* Type:10/12ML LONO* 1000m³/h* 1465RPM* Altura manometrica(H): 37m* 700Kg.</t>
  </si>
  <si>
    <t>* Mather &amp; Platt*</t>
  </si>
  <si>
    <t xml:space="preserve"> 1180kg;Type NFV355M;Aquecedor 220V* 3000V* 50Hz* 160kw* 39.5A* Rotor Cage* Y* Nr. rolamentos: 22222* Qualidade de graise: ALVANIA EP2* Quantidade de graise: 53cm*  Insul. Cl: B* Cosθ: 0,875* 1970. *Rolamento NU 222 ou 6222</t>
  </si>
  <si>
    <t>*UNELEC*</t>
  </si>
  <si>
    <t>Quinzenal</t>
  </si>
  <si>
    <t>DN350* PN25</t>
  </si>
  <si>
    <t>DN350* PN26</t>
  </si>
  <si>
    <t>PJ YELLAND ε CO PTY Lda.</t>
  </si>
  <si>
    <t>Grundfos</t>
  </si>
  <si>
    <t>HS350-250-498/422 5/3-FA-BBVP 2*Model: 98607941P114130001* 1750 m³/h* 40 m* 1480 rpm* 78,8%*16/100 bar/°Cmax*</t>
  </si>
  <si>
    <t>400v; 50 Hz; 551 A; Kw 315; cosΦ:0.86. 1488 rpm. 3̃ ˜Mot. 1LA4.312- 4AN34-Z; rotor: SQUCQGE; THCI/6. IP55. N⁰: U1188395010006/2006N/N1* Rolamento 6322/C3 &amp; 6316/C3</t>
  </si>
  <si>
    <t>Mather &amp; Platt</t>
  </si>
  <si>
    <t>type: 10J2MLMED.3670-GPM*  h37m* 1000m3/h. Rolamento 6314</t>
  </si>
  <si>
    <t>846089/1; size: DA365LA; R/M: 1475; AMPS: 5555; H250; Kw: 225; PT-85; Temp: 80⁰C; year: 1984; 1219 KG; brig. NE: REPN320N/C3; Brig NDE: RHPOR SKF 6310 C3K≠N320CS; 3000V. Rolamento 6320 ou N 320</t>
  </si>
  <si>
    <t>INKOA</t>
  </si>
  <si>
    <t>INGERSOLL DRESSER Pumps* 72230 ARDGE- France* Ano Fabrico: 2000. Type: 400LNN725* Peso: 2500 Kg* S/N: Sp17200260-02* 980 RPM* 3400m3/h* H: 65 m* P/0MA* A48CL40* L06790*  Rolamentos DE e NDE: 6221 C3* Tamp: 02102-937.R1*  Base: 02101-937.R1*</t>
  </si>
  <si>
    <t>ALSTOM</t>
  </si>
  <si>
    <t>ALSTOM; type: F3PXA450L/6; N⁰: 004357001; 2000 RPM; 770 KW;CosΦ: 0.85; IEC; stat: 3000V; 1808 A; ∆T80K; 3˜YCIF; IN01; M1001I. IP23; Temp: 40⁰C; F50HZ; 4300 KG. *Rolamento ZE N320MC3</t>
  </si>
  <si>
    <t>Type: AD0063-2/80* Art: 2011/892*  N⁰: 3700MM36216* 50 Hz* cosΦ: 0.80* IP67* 2800M* IEC85* INSUL. CL. F 3˜400V. 1.5 Km*</t>
  </si>
  <si>
    <t>GRUNDFOS</t>
  </si>
  <si>
    <t>TP 300-670/4 A-F-B-DBUE* Model: A96639190  P2064900163* Q:1300m³/h* H:50 m* F:1488 RPM* P/T: 25/40 Bar/⁰Cmax* CE96145329* 96106185* S400-18* VDP P156 30*  ; 50.9m*</t>
  </si>
  <si>
    <t xml:space="preserve">SIEMENS </t>
  </si>
  <si>
    <t xml:space="preserve"> 220v-240v; 60 hz;3000Υ; D-90441; 60 A; Kw 250; cosΦ:0.84. 1480 rpm. 3̃ ˜Mot. 1LA4.312- 4AN34-Z; rotor: SQUCQGE; THCI/6. IP55. N⁰: N-UN1188395010003 12006IMV1.* Rolamento 6218 &amp; 6220</t>
  </si>
  <si>
    <t>Type: SZ45T-16* ZAY882* T1ANSNGGV. DN 450* PN16/855150*</t>
  </si>
  <si>
    <t xml:space="preserve">Type: 1024VB* Number Product: 2006/09* GEAR Rabie: 812. Max. Toque: 2500-4100N/m. </t>
  </si>
  <si>
    <t>Type: 4024VB* Number Product: 19300* VQ5A*</t>
  </si>
  <si>
    <t>Modelo: 034A3-160* Temperatur: -10+80⁰C* 2500-4100 mm* DAC60 AZ*</t>
  </si>
  <si>
    <t xml:space="preserve">Type: BSZ45T-1* N⁰: ZAY879* Temp. 1 a 11* 50⁰C* </t>
  </si>
  <si>
    <t>KEMIX</t>
  </si>
  <si>
    <t>N°:L41440; MIXER SYSTENS ROTATION; Modelo: AELM 37-4.</t>
  </si>
  <si>
    <t>CHARLATT FAYAT GROUP</t>
  </si>
  <si>
    <t xml:space="preserve"> Serie:15000SV23* 0 a 40°C* PS 24* PT 24* Type:CHA* Q:15000 l* categoria: IV* </t>
  </si>
  <si>
    <t xml:space="preserve"> 0 a 40⁰C* 15000 L* serie:150005V17* 16A* categoria: IV* TYPE:CH* 24 BAR*</t>
  </si>
  <si>
    <t xml:space="preserve"> 1 a 40⁰C* 15000 L* serie:150005V17* 16A* categoria: IV* TYPE:CH* 24 BAR*</t>
  </si>
  <si>
    <t xml:space="preserve"> 2 a 40⁰C* 15000 L* serie:150005V17* 16A* categoria: IV* TYPE:CH* 24 BAR*</t>
  </si>
  <si>
    <t xml:space="preserve"> 3 a 40⁰C* 15000 L* serie:150005V17* 16A* categoria: IV* TYPE:CH* 24 BAR*</t>
  </si>
  <si>
    <t xml:space="preserve"> 4 a 40⁰C* 15000 L* serie:150005V17* 16A* categoria: IV* TYPE:CH* 24 BAR*</t>
  </si>
  <si>
    <t>1983* Pressao de Servico 10kgs/cm²*  Pressao de Calculo* 11kg/cm²*  Pressao de Ensaio:15,50 kg/cm²* Q. 12,6 m³* Peso Vasio: 3700 Kg*</t>
  </si>
  <si>
    <t>SIEMENS</t>
  </si>
  <si>
    <t>MAG 600; Code: 7ME6920CA10-1AAO.</t>
  </si>
  <si>
    <t xml:space="preserve">TP 300-670/4 A-F-B-DBUE* Model: A* Pn 96639190  FP2064900033* Q:1300m³/h* H:50 m* F:1488 RPM* P/T: 25/40 Bar/⁰Cmax* CE96145329* 96106185* S400-18* VDP P156 30*  GRUNDFOS* 50.9m.
</t>
  </si>
  <si>
    <t>TP 300</t>
  </si>
  <si>
    <t xml:space="preserve"> 50 Hz* 3000 YA* cosΦ:0.8*; 1480 rpm*  Nr: N-UN188395010004* 12000M/1. made in Germany* D-90447* EN/1EC60034-1* 1.7 E. * Rolamento 6218 &amp; 6220</t>
  </si>
  <si>
    <t>AM</t>
  </si>
  <si>
    <t>Bacia de Equalização de Lamas</t>
  </si>
  <si>
    <t>BEL</t>
  </si>
  <si>
    <t>Bacia de sedimentação</t>
  </si>
  <si>
    <t>BSD</t>
  </si>
  <si>
    <t>Alimentador</t>
  </si>
  <si>
    <t>ALM</t>
  </si>
  <si>
    <t>AOX</t>
  </si>
  <si>
    <t>AOZ</t>
  </si>
  <si>
    <t>APH</t>
  </si>
  <si>
    <t>Balança</t>
  </si>
  <si>
    <t>BAL</t>
  </si>
  <si>
    <t>Captação</t>
  </si>
  <si>
    <t>CPT</t>
  </si>
  <si>
    <t>Cisterna</t>
  </si>
  <si>
    <t>CTN</t>
  </si>
  <si>
    <t>Choque Hidráulico</t>
  </si>
  <si>
    <t>CHO</t>
  </si>
  <si>
    <t>Circuito Hidráulico</t>
  </si>
  <si>
    <t>Elevação</t>
  </si>
  <si>
    <t>EEL</t>
  </si>
  <si>
    <t>Carteira de lavagem de filtros</t>
  </si>
  <si>
    <t>Filtros</t>
  </si>
  <si>
    <t>FTS</t>
  </si>
  <si>
    <t>Extrator</t>
  </si>
  <si>
    <t>ILL</t>
  </si>
  <si>
    <t>MCD</t>
  </si>
  <si>
    <t>Quadro de Baixa Tensão</t>
  </si>
  <si>
    <t>Envio de Sulfato de Alumínio</t>
  </si>
  <si>
    <t>Quadro de Media Tensão</t>
  </si>
  <si>
    <t>Quadro Eléctrico de Instrumentação</t>
  </si>
  <si>
    <t>QEI</t>
  </si>
  <si>
    <t>Linha 1</t>
  </si>
  <si>
    <t>Raspador</t>
  </si>
  <si>
    <t>RSP</t>
  </si>
  <si>
    <t>Linha 2</t>
  </si>
  <si>
    <t>Secador de Ar</t>
  </si>
  <si>
    <t>Medidor de Condutividade</t>
  </si>
  <si>
    <t>Sensor de Cloro</t>
  </si>
  <si>
    <t>SCL</t>
  </si>
  <si>
    <t>Sensor de Condutividade</t>
  </si>
  <si>
    <t>SCD</t>
  </si>
  <si>
    <t>Sensor de Oxigénio</t>
  </si>
  <si>
    <t>SOX</t>
  </si>
  <si>
    <t>Sensor de Ozono</t>
  </si>
  <si>
    <t>Sala de Bombas</t>
  </si>
  <si>
    <t>SBB</t>
  </si>
  <si>
    <t>Sensor de pH</t>
  </si>
  <si>
    <t>SPH</t>
  </si>
  <si>
    <t>SCC</t>
  </si>
  <si>
    <t>Preparação de PAC</t>
  </si>
  <si>
    <t>Sensor de Pressão</t>
  </si>
  <si>
    <t>SPR</t>
  </si>
  <si>
    <t>Preparação de Polímero 1</t>
  </si>
  <si>
    <t>Sensor Ultrassónico</t>
  </si>
  <si>
    <t>SUL</t>
  </si>
  <si>
    <t>Sala de Compressores e Supressores</t>
  </si>
  <si>
    <t>SCS</t>
  </si>
  <si>
    <t>Preparação de Polímero 2</t>
  </si>
  <si>
    <t>Raspador de Lamas 1</t>
  </si>
  <si>
    <t>Sistema de Cloro</t>
  </si>
  <si>
    <t>SCR</t>
  </si>
  <si>
    <t>Sala de neutralização de cloro</t>
  </si>
  <si>
    <t>SNC</t>
  </si>
  <si>
    <t>Raspador de Lamas 2</t>
  </si>
  <si>
    <t>Sistema pneumático</t>
  </si>
  <si>
    <t>SPN</t>
  </si>
  <si>
    <t>Preparação de Sulfato de Alumínio</t>
  </si>
  <si>
    <t>Refrigeração de ar</t>
  </si>
  <si>
    <t>Sistema Refrigeração de ar</t>
  </si>
  <si>
    <t>SRA</t>
  </si>
  <si>
    <t>Sala de Quadros - Bloco de Cloração</t>
  </si>
  <si>
    <t>SQBC</t>
  </si>
  <si>
    <t>Termómetro</t>
  </si>
  <si>
    <t>Sala de Válvulas</t>
  </si>
  <si>
    <t>SVA</t>
  </si>
  <si>
    <t>Triturador</t>
  </si>
  <si>
    <t>TTD</t>
  </si>
  <si>
    <t>Sala de Quadros Eléctricos</t>
  </si>
  <si>
    <t>SQE</t>
  </si>
  <si>
    <t>ARS</t>
  </si>
  <si>
    <t>Tratamento</t>
  </si>
  <si>
    <t>TTT</t>
  </si>
  <si>
    <t>Ventilação</t>
  </si>
  <si>
    <t>Nome</t>
  </si>
  <si>
    <t>ATU</t>
  </si>
  <si>
    <t>QBT</t>
  </si>
  <si>
    <t>QMT</t>
  </si>
  <si>
    <t>DN350* PN24</t>
  </si>
  <si>
    <t>P/N:99880138* SER#:10000003* Type: LS 300-250-381B/372.8 1-F2DB-BAQE.2 160/4* Q:1100.0m³/h H57.6m* n:1488r/min* IMP DIA: 372.8mm* p/T:16/100bar/°CMAX*P:160KW</t>
  </si>
  <si>
    <t>Normal</t>
  </si>
  <si>
    <t xml:space="preserve"> OCV3315B* 1LE0003-3AB53-3AB4-Z* LMH-2005 /800022046928/001*315L IM B3 IP 55 1065 Kg Th.CI.155(F)* Q/321081 KJA008-2020*BRG DE 6319 C3 BRG NDE 6319C3*IEC 60034-30*GREASE: Unirex N3*GB18613-2012 Eff.-Grade2*Re-Grease interval:5000h* Quantity:40g*V 380V∆/660VY440V∆*Hz 50 60*kW 160 180*A 290/168 285*EFF.(%) 95.8 95.9*COSϕ 0.87 0.87*r/min1488 1786*EFF.CI.IE3</t>
  </si>
  <si>
    <t>Worm Gearbox</t>
  </si>
  <si>
    <t>DN500*type:XW6-R4M*Serial No.:X818008D304*Max shaft dia:65mm*Max output torque: 7000N.m*Ratio:216:1</t>
  </si>
  <si>
    <t>auma</t>
  </si>
  <si>
    <t>AD00071-4-0.40*Art Nr:Z047.305*Nr:3118NM59863*3-400V 500Hz*Pn:0.40kW COSϕ:0.42*In:2.5A*S2-15min*IP68 1400 1/min*Temp.Schutz:Th*IsoI.KI:F</t>
  </si>
  <si>
    <t>DMX132-10 B-PVC/V/C-X-E1U3U3XEMAG*PN99206011 SN:10000067*132,001hₐ 10bar, 50Hz*158,001/hₐ10bar, 60Hz*-1hₐ-bar, 100Hz</t>
  </si>
  <si>
    <t>Model:SD-ZG*AC 400 V*400A*Nr:200207*data:2020.08</t>
  </si>
  <si>
    <t>É caracterizado por: 3 contactores, 1  temporizador, 1 reletermistor, 1 reletermico, 1 disjuntor, 1 portafusivel, 2 botoes de pressao, 1 bloco de contacto, 1 amperimetro digital.</t>
  </si>
  <si>
    <t>ASTOR</t>
  </si>
  <si>
    <t xml:space="preserve">800KVA* type: TDT 800/33* Impedancia: 5.74* 400/231A* Serie:19-390* Fr:50Hz*Massa total:1960*Volume de oleo: 537L* 33000-400V </t>
  </si>
  <si>
    <t>SIEMENS 3-Mot</t>
  </si>
  <si>
    <t>OCV3315B* 1LE0003-3AB53-3AB4-Z* LMH-2005 /800022046928/001*315L IM B3 IP 55 1065 Kg Th.CI.155(F)* Q/321081 KJA008-2020*BRG DE 6319 C3 BRG NDE 6319C3*IEC 60034-30*GREASE: Unirex N3*GB18613-2012 Eff.-Grade2*Re-Grease interval:5000h* Quantity:40g*V 380V∆/660VY440V∆*Hz 50 60*kW 160 180*A 290/168 285*EFF.(%) 95.8 95.9*COSϕ 0.87 0.87*r/min1488 1786*EFF.CI.IE3</t>
  </si>
  <si>
    <t xml:space="preserve">BUCHHOLZ RELAY* 1000KVA* type: TDT 800/33* Impedancia: 5.53%* 415/231A* Serie:TB1906109* Fr:50Hz*Massa total:1960*Volume de oleo: 537L* 33000-400V </t>
  </si>
  <si>
    <t xml:space="preserve"> A* Pn 97738410 FP110370002* 16bar, 120°C* 1485RPM* 65m³/h* alt. manometrica (H): 40m.</t>
  </si>
  <si>
    <t>PPA180M48-4* 33,8/19,5A* 1465RPM* Temp. amb: 40°C* S/N: 7CWCO425; Cat. N°. M34018503PPA/405* IP66* Spec: IEC60034/AS1359* Eff: 92,2%* Cosθ: 0,86* 50Hz* Insol.Cl: H* Y/Δ* BRG.DE:6310/C3* BRG.NDE: 6310/C3* 199Kg.</t>
  </si>
  <si>
    <t>GEWISS</t>
  </si>
  <si>
    <t>IP56* 6W44218</t>
  </si>
  <si>
    <t>ERV</t>
  </si>
  <si>
    <t>DN300* OLO520</t>
  </si>
  <si>
    <t>BLD-40B</t>
  </si>
  <si>
    <t>AC220V* 50/60Hz* 0,54A* -30°C a 60°C* 400Nm* 30/25sec* PN16* DN200* Tipo: D7A1XK-16* Nr: 110118004</t>
  </si>
  <si>
    <t xml:space="preserve"> A* Pn 97738410 FP110370001* 16bar* 120°C; 1485RPM* 65m³/h* alt. manometrica (H): 40m</t>
  </si>
  <si>
    <t>PPA180M48-4* 33,8/19,5A* 1465RPM* Temp. amb: 40°C* S/N: 7CWCO425* Cat. N°. M34018503PPA/405* IP66* Spec: IEC60034/AS1359* Eff: 92,2%* Cosθ: 0,86* 50Hz* Insol.Cl: H* Y/Δ* BRG.DE:6310/C3* BRG.NDE: 6310/C3* 199Kg</t>
  </si>
  <si>
    <t>DN300* GGG50</t>
  </si>
  <si>
    <t>AC220V* 50/60Hz* 0,54A* -30°C a 60°C* 400Nm* 30/25sec* PN16* DN200* Tipo: D7A1XK-16* Nr:110118005</t>
  </si>
  <si>
    <t>ALLDOS</t>
  </si>
  <si>
    <t xml:space="preserve"> DMX50-10B-PVC/V/G-X-G1B1B1F* IP65* S/N: 07/61835* 50l/h* 10bar* 0,09Kw* 50/60Hz.</t>
  </si>
  <si>
    <t>HANTON MIXER</t>
  </si>
  <si>
    <t xml:space="preserve"> TH-415-J* 3Kw* Impeller speed: 88RPM* Impeller diameter: 700mm* Axial length: 2200mm* Nr: 20110125</t>
  </si>
  <si>
    <t>KROHNE</t>
  </si>
  <si>
    <t>4W* 12-24V DC* Tipo: 6P* IFC100* S/N: A1094406.</t>
  </si>
  <si>
    <t>4W* 12-24V DC* Tipo: 6P* IFC100* S/N: A11P10263* DN400mm* NL-3313LC</t>
  </si>
  <si>
    <t>Telemecanique</t>
  </si>
  <si>
    <t>380/500V,F 50 Hz, I 3,6 A Entrada; 380/500, 0,5/500, 2,3 Saida; CCIJ6A MAX, 0,75kW; Modelo ATV3131HO75V4A</t>
  </si>
  <si>
    <t>CEL</t>
  </si>
  <si>
    <t>Tipo: HS150-125-381/346.35/2-FA-BBVP145.0/4* Modelo: A* Pn 977381 FP1100360002* 16bar* 100°C* 1485min¯¹* 270m³/h* 40m de altura.</t>
  </si>
  <si>
    <t>CMG</t>
  </si>
  <si>
    <t xml:space="preserve">Type:PPA225M60-4; 45Kw; S1;400-690 V; 79,5/45.9A; 1480 rpm; ambiet. Temp: 40° C; s/n: 0G0C0702; cat: nr. M34045003PPA/405; Spec: SANS: 1804:1&amp;2; Eff: 93,9%; IP66; 50HZ; Cosθ: 0,87; BRG.DE: 6313/C3; BRG.NDE:6313/C3; Insul.CL:H; Y/Δ; 389Kg. </t>
  </si>
  <si>
    <t>STAR</t>
  </si>
  <si>
    <t>Model:3D-0CS* 07/2010* Product:201/0283* 380 V.</t>
  </si>
  <si>
    <t>1.6 Ton*YB-160M/K.</t>
  </si>
  <si>
    <t>IFC-100* SN:A1094402. GKL:63503* 4W* IP68* 316T*DN400mm/16mm* CG100C1100* 12-24UDC.</t>
  </si>
  <si>
    <t>HS250-200-381/353 95/2FABBVP190.0/4* Modelo:A Pn 97738418 FP11041005* 16bar* 40m(H)* 585m³/h* 1485rpm.</t>
  </si>
  <si>
    <t>3PH* Tipo:PPA280S80-4* 90Kw* S1* 400/690V* 1485Rpm* 153.6/88.7A* Amb.temp.40⁰C* S/N:OFOC2002* Cat.No.M349003PPA/405* BRG.DE:6317/C3* 672Kg* y/Δ.*Rolamento 6314 ou 6315</t>
  </si>
  <si>
    <t>380V* 800A* Modelo: SC-GCS* Ano de fab.2010.07* STAR*</t>
  </si>
  <si>
    <t>HS250-200-381/353-95/2FABBVP190.0/4* Modelo: A* Pn 97738418 FP110410003* 120°C* 40m(H)* 585m³/h* 1485rpm.*Rolamento 6315</t>
  </si>
  <si>
    <t>3PH* Tipo:PPA280S80-4* 90Kw* S1* 400/690V* 1485 RPM* 153.6/88.7A* 6314/C3* Amb.temp.40⁰ C* y/Δ S/N:OFOC5202* Cat.No.M349003PPA/405* BRG.DE:6317/C3* 672Kg* y/Δ.*Rolamento 6314</t>
  </si>
  <si>
    <t>Tipo:Y2100L2-4* S/N:10415* 3KW* Y380* 6.8A* 3PH* Cosɵ0.81* S1* 50HZ* 1420Rpm* 35kg* Insul.Cl.F* 2011/1* IP54.</t>
  </si>
  <si>
    <t>3kw* 3PH* Y* 6.8A* 380V* Tipo:Y2100L2-4* Cosθ0.81* 50HZ* 14420Rpm* Insul.Cl:F* 35KG* IP54* S1* 2011/1.</t>
  </si>
  <si>
    <t>Schneider Electric</t>
  </si>
  <si>
    <t>Vila-Olimpica</t>
  </si>
  <si>
    <t>VOL</t>
  </si>
  <si>
    <t>CALPEDA</t>
  </si>
  <si>
    <t>Modelo: MXV 80-4803 A* Qmin/max: 21/60 m³/h* H max/min:54/24.5m m* 7.5 Kw (10Hp)* 54.8 Kg* n 2900/min* S/N: 1110411511.</t>
  </si>
  <si>
    <t>52 Kg* IP55* cosφ:0.89* rpm 2930/min* 460V* Type: LA7131-2AA61* SN: UD1009/1278238-400-5* IEP-86%* 13251MBS 331575401.</t>
  </si>
  <si>
    <t>CX Quadro</t>
  </si>
  <si>
    <t>48MD* 3r  EXT* DNA: EN62208* IP54* IK07* LOT: 03/08.</t>
  </si>
  <si>
    <t>1022* 311* PN16* Made In Italy.</t>
  </si>
  <si>
    <t>52 Kg* IP55* cosφ:0.89* rpm 2930/min* 460V* Type: LA7131-2AA61* SN: UD1009/1278238-400-5* IEP-86%* 13251MBS 331575402.</t>
  </si>
  <si>
    <t>52 Kg* IP55* cosφ:0.89* rpm 2930/min* 460V* Type: LA7131-2AA61* SN: UD1009/1278238-400-5* IEP-86%* 13251MBS 331575403.</t>
  </si>
  <si>
    <t>WOTHINGTON SIMPSON</t>
  </si>
  <si>
    <t xml:space="preserve">275 Kw* size: 12 LN17.* . 1450 RPM* 1773 M3/H* CO 50373* H: 42m.* Rolamento 6214 </t>
  </si>
  <si>
    <t>GEC</t>
  </si>
  <si>
    <t>275 KW* 66A* 3000V* Rotacoes: 1480* Numero da Serie: D 74523401.* Rolamento 6316</t>
  </si>
  <si>
    <t>Sem Chapa de Caracteristicas.</t>
  </si>
  <si>
    <t>Tianjin Tanggu</t>
  </si>
  <si>
    <t>Diametro : 400 mm* Fabricante: Tianjin Tanggu*</t>
  </si>
  <si>
    <t>Babcock</t>
  </si>
  <si>
    <t>Babcock Transformers Limited, An FKI Babock company, Bilston, England, Transformador de acordo com o padrão Britânico BS. 171-1978, k.V.A 1300, Volts (sem carga na derivação normal) AT 11000 BT 3150 &amp; 400, Ampêres(na derivação normal) AT68.2 BT 183,3 &amp; 433, Subida de temperatura 45°C N° do proprietário 0, N° Série  Níveis de isolamento AT 75, N° Diagrama Y0311, simbolo do grupo vector Dynll ynll, fases 3, F 50 Hz, impedancia (na derivação normal) 4.77%, liquido de refrigeração 1300 l e 1248 kG, conductor e espiras 1823 kG, massa 4860 kG, tipo de refrigeração LNAN, ano de fabrico 1989, pico BT 10&amp;3 kV r.m.s</t>
  </si>
  <si>
    <t>Transformador 01</t>
  </si>
  <si>
    <t>.</t>
  </si>
  <si>
    <t>Imagens</t>
  </si>
  <si>
    <t>65e96125c1d11</t>
  </si>
  <si>
    <t>65d04210323a4</t>
  </si>
  <si>
    <t>65e8d2fa35c12</t>
  </si>
  <si>
    <t>65e8cda0676b7</t>
  </si>
  <si>
    <t>65e8db8f62d7b</t>
  </si>
  <si>
    <t>65c75d2748c4a</t>
  </si>
  <si>
    <t>65e8d1ea50af1</t>
  </si>
  <si>
    <t>65e8e1a7e4bd4</t>
  </si>
  <si>
    <t>08679b4a</t>
  </si>
  <si>
    <t>65e8de45ce961</t>
  </si>
  <si>
    <t>65e8dd4a9cd58</t>
  </si>
  <si>
    <t>65d1346bf3835</t>
  </si>
  <si>
    <t>65e8d98d73a3d</t>
  </si>
  <si>
    <t>65e8e579bfe6c</t>
  </si>
  <si>
    <t>65e964e49a1c5</t>
  </si>
  <si>
    <t>65e8da741759f</t>
  </si>
  <si>
    <t>65e8deea824d3</t>
  </si>
  <si>
    <t>65e8e4bb71249</t>
  </si>
  <si>
    <t>b85c1637</t>
  </si>
  <si>
    <t xml:space="preserve"> </t>
  </si>
  <si>
    <t>Campo de furos da vila olimpica</t>
  </si>
  <si>
    <t>CFVO</t>
  </si>
  <si>
    <t>FUR</t>
  </si>
  <si>
    <t>CME</t>
  </si>
  <si>
    <t>Furo</t>
  </si>
  <si>
    <t>Campo de furos de Intaka Sul</t>
  </si>
  <si>
    <t>Campo de furos de Intaka Norte</t>
  </si>
  <si>
    <t>CFIS</t>
  </si>
  <si>
    <t>CFIN</t>
  </si>
  <si>
    <t>Campo de furos de Katembe</t>
  </si>
  <si>
    <t>CFK</t>
  </si>
  <si>
    <t>Actuador</t>
  </si>
  <si>
    <t>ACT</t>
  </si>
  <si>
    <t>Analisador</t>
  </si>
  <si>
    <t>Actuador Pneumático</t>
  </si>
  <si>
    <t>Analisador de cloro</t>
  </si>
  <si>
    <t>Analisador de Oxigénio</t>
  </si>
  <si>
    <t>Analisador de Ozono</t>
  </si>
  <si>
    <t>ENT</t>
  </si>
  <si>
    <t>Analisador de pH</t>
  </si>
  <si>
    <t>INS</t>
  </si>
  <si>
    <t>Analisador de Turvação</t>
  </si>
  <si>
    <t>AGM</t>
  </si>
  <si>
    <t>Banco de Baterias</t>
  </si>
  <si>
    <t>Boia</t>
  </si>
  <si>
    <t>BOI</t>
  </si>
  <si>
    <t>Câmara de mistura rápida</t>
  </si>
  <si>
    <t>Câmara mistura lenta</t>
  </si>
  <si>
    <t>Caixa de Parcialização</t>
  </si>
  <si>
    <t>SAI</t>
  </si>
  <si>
    <t>Circuito Elétrico</t>
  </si>
  <si>
    <t>Descarga</t>
  </si>
  <si>
    <t>DES</t>
  </si>
  <si>
    <t>CLF</t>
  </si>
  <si>
    <t>DEF</t>
  </si>
  <si>
    <t>Choque hidráulico</t>
  </si>
  <si>
    <t>Clorinador da Pós-cloração</t>
  </si>
  <si>
    <t>POS</t>
  </si>
  <si>
    <t>DEL</t>
  </si>
  <si>
    <t>Clorinador da Pré-cloração</t>
  </si>
  <si>
    <t>PRE</t>
  </si>
  <si>
    <t>Compressor Lóbulos - Acoplado Directamente</t>
  </si>
  <si>
    <t>CLD</t>
  </si>
  <si>
    <t>Componentes mecânicos</t>
  </si>
  <si>
    <t>Compressor Lóbulos - Acoplado por correias</t>
  </si>
  <si>
    <t>CLC</t>
  </si>
  <si>
    <t>Compressor Parafuso - Acoplado Directamente</t>
  </si>
  <si>
    <t>CPD</t>
  </si>
  <si>
    <t>PAC</t>
  </si>
  <si>
    <t>Compressor Parafuso - Acoplado por correias</t>
  </si>
  <si>
    <t>CPC</t>
  </si>
  <si>
    <t>Compressor Pistão</t>
  </si>
  <si>
    <t>CPI</t>
  </si>
  <si>
    <t>PT1</t>
  </si>
  <si>
    <t>PT2</t>
  </si>
  <si>
    <t>Gerador Eléctrica</t>
  </si>
  <si>
    <t>GEL</t>
  </si>
  <si>
    <t>Electrobomba Centrífuga</t>
  </si>
  <si>
    <t>EBC</t>
  </si>
  <si>
    <t>Gerador Mecânica</t>
  </si>
  <si>
    <t>GMC</t>
  </si>
  <si>
    <t>Electrobomba de Esgoto</t>
  </si>
  <si>
    <t>EBE</t>
  </si>
  <si>
    <t>Electrobomba Doseadora de Diafragma</t>
  </si>
  <si>
    <t>EBD</t>
  </si>
  <si>
    <t>Electrobomba Doseadora de parafuso</t>
  </si>
  <si>
    <t>EBP</t>
  </si>
  <si>
    <t>EBS</t>
  </si>
  <si>
    <t>MPH</t>
  </si>
  <si>
    <t>EBT</t>
  </si>
  <si>
    <t>EBM</t>
  </si>
  <si>
    <t>LN1</t>
  </si>
  <si>
    <t>LN2</t>
  </si>
  <si>
    <t>Medidor</t>
  </si>
  <si>
    <t>MDD</t>
  </si>
  <si>
    <t>PL1</t>
  </si>
  <si>
    <t>PL2</t>
  </si>
  <si>
    <t>NCL</t>
  </si>
  <si>
    <t>POT</t>
  </si>
  <si>
    <t>PRL</t>
  </si>
  <si>
    <t>PTF</t>
  </si>
  <si>
    <t>RL1</t>
  </si>
  <si>
    <t>RL2</t>
  </si>
  <si>
    <t>RFA</t>
  </si>
  <si>
    <t>STC</t>
  </si>
  <si>
    <t>REG</t>
  </si>
  <si>
    <t>Sucção</t>
  </si>
  <si>
    <t>SUC</t>
  </si>
  <si>
    <t>Sistema de cloro</t>
  </si>
  <si>
    <t>Sistema de Iluminação</t>
  </si>
  <si>
    <t>SIL</t>
  </si>
  <si>
    <t>Turbidímetro</t>
  </si>
  <si>
    <t>Supressor Lóbulos - Acoplado Directamente</t>
  </si>
  <si>
    <t>SLD</t>
  </si>
  <si>
    <t>Supressor Lóbulos - Acoplado por correias</t>
  </si>
  <si>
    <t>SLC</t>
  </si>
  <si>
    <t>Supressor Parafuso - Acoplado Directamente</t>
  </si>
  <si>
    <t>SPD</t>
  </si>
  <si>
    <t>Supressor Parafuso - Acoplado por correias</t>
  </si>
  <si>
    <t>SPC</t>
  </si>
  <si>
    <t>TCP</t>
  </si>
  <si>
    <t>TOZ</t>
  </si>
  <si>
    <t>ENV</t>
  </si>
  <si>
    <t>TRT</t>
  </si>
  <si>
    <t>Vibrador de cal</t>
  </si>
  <si>
    <t>Electrobomba centrífuga</t>
  </si>
  <si>
    <t>Câmara de Mistura 1</t>
  </si>
  <si>
    <t>Câmara de Mistura 2</t>
  </si>
  <si>
    <t>Bomba de Óleo</t>
  </si>
  <si>
    <t>BOO</t>
  </si>
  <si>
    <t>SQC</t>
  </si>
  <si>
    <t>SLA</t>
  </si>
  <si>
    <t>SLB</t>
  </si>
  <si>
    <t>SB1</t>
  </si>
  <si>
    <t>SB2</t>
  </si>
  <si>
    <t>Nome do Checklist</t>
  </si>
  <si>
    <t>ID_EQUIPAMENTO</t>
  </si>
  <si>
    <t>COD_EQUIPAMENTO</t>
  </si>
  <si>
    <t>ID do Checklist</t>
  </si>
  <si>
    <t>Actuador Actuador Eléctrico</t>
  </si>
  <si>
    <t>100AEL</t>
  </si>
  <si>
    <t>Actuador Eléctrico Actuador Eléctrico</t>
  </si>
  <si>
    <t>102AEL</t>
  </si>
  <si>
    <t>Agua de serviço Actuador Eléctrico</t>
  </si>
  <si>
    <t>106AEL</t>
  </si>
  <si>
    <t>Agua filtrada Actuador Eléctrico</t>
  </si>
  <si>
    <t>107AEL</t>
  </si>
  <si>
    <t>Caixa de Entrada Actuador Eléctrico</t>
  </si>
  <si>
    <t>116AEL</t>
  </si>
  <si>
    <t>Caixa de Saída Actuador Eléctrico</t>
  </si>
  <si>
    <t>117AEL</t>
  </si>
  <si>
    <t>Electrobomba centrífuga Actuador Eléctrico</t>
  </si>
  <si>
    <t>131AEL</t>
  </si>
  <si>
    <t>Electrobomba Doseadora de Diafragma Actuador Eléctrico</t>
  </si>
  <si>
    <t>133AEL</t>
  </si>
  <si>
    <t>Electrobomba Submersível  Actuador Eléctrico</t>
  </si>
  <si>
    <t>135AEL</t>
  </si>
  <si>
    <t>Válvula Actuador Eléctrico</t>
  </si>
  <si>
    <t>176AEL</t>
  </si>
  <si>
    <t>Agua de lavagem Actuador Pneumático</t>
  </si>
  <si>
    <t>104AEP</t>
  </si>
  <si>
    <t>Agua filtrada Actuador Pneumático</t>
  </si>
  <si>
    <t>107AEP</t>
  </si>
  <si>
    <t>Ar de lavagem Actuador Pneumático</t>
  </si>
  <si>
    <t>110AEP</t>
  </si>
  <si>
    <t>Descarga de Lama Actuador Pneumático</t>
  </si>
  <si>
    <t>130AEP</t>
  </si>
  <si>
    <t>Linha 1 Actuador Pneumático</t>
  </si>
  <si>
    <t>144AEP</t>
  </si>
  <si>
    <t>Linha 2 Actuador Pneumático</t>
  </si>
  <si>
    <t>145AEP</t>
  </si>
  <si>
    <t>Secador de Ar Actuador Pneumático</t>
  </si>
  <si>
    <t>161AEP</t>
  </si>
  <si>
    <t>Válvula Actuador Pneumático</t>
  </si>
  <si>
    <t>176AEP</t>
  </si>
  <si>
    <t>Alimentador Alimentador</t>
  </si>
  <si>
    <t>109ALM</t>
  </si>
  <si>
    <t>Analisador Sensor de Cloro</t>
  </si>
  <si>
    <t>101SCL</t>
  </si>
  <si>
    <t>Analisador Sensor de Oxigénio</t>
  </si>
  <si>
    <t>101SOX</t>
  </si>
  <si>
    <t>Analisador Analisador de cloro</t>
  </si>
  <si>
    <t>101ACL</t>
  </si>
  <si>
    <t>Analisador Analisador de Ozono</t>
  </si>
  <si>
    <t>101AOZ</t>
  </si>
  <si>
    <t>Analisador Analisador de pH</t>
  </si>
  <si>
    <t>101APH</t>
  </si>
  <si>
    <t>Medidor Analisador de pH</t>
  </si>
  <si>
    <t>146APH</t>
  </si>
  <si>
    <t>Analisador Analisador de Turvação</t>
  </si>
  <si>
    <t>101ATU</t>
  </si>
  <si>
    <t>Balança Balança</t>
  </si>
  <si>
    <t>111BAL</t>
  </si>
  <si>
    <t>Quadro Eléctrico Banco de Baterias</t>
  </si>
  <si>
    <t>152BBA</t>
  </si>
  <si>
    <t>Quadro Eléctrico Banco de Capacitores</t>
  </si>
  <si>
    <t>152BCA</t>
  </si>
  <si>
    <t>Banco de Capacitores Quadro eléctrico</t>
  </si>
  <si>
    <t>113QEL</t>
  </si>
  <si>
    <t>Electrobomba de Esgoto Boia</t>
  </si>
  <si>
    <t>132BOI</t>
  </si>
  <si>
    <t>Bomba de Óleo Bomba</t>
  </si>
  <si>
    <t>115BOM</t>
  </si>
  <si>
    <t>Agitador   Caixa de Engrenagem</t>
  </si>
  <si>
    <t>103CEN</t>
  </si>
  <si>
    <t>Raspador de Lamas 1 Caixa de Engrenagem</t>
  </si>
  <si>
    <t>153CEN</t>
  </si>
  <si>
    <t>Raspador de Lamas 2 Caixa de Engrenagem</t>
  </si>
  <si>
    <t>154CEN</t>
  </si>
  <si>
    <t>Regulador Caixa de Parcialização</t>
  </si>
  <si>
    <t>157CPA</t>
  </si>
  <si>
    <t>Electrobomba centrífuga Canalização Eléctrica</t>
  </si>
  <si>
    <t>131CAN</t>
  </si>
  <si>
    <t>Furo Canalização Eléctrica</t>
  </si>
  <si>
    <t>141CAN</t>
  </si>
  <si>
    <t>Quadro Eléctrico Canalização Eléctrica</t>
  </si>
  <si>
    <t>152CAN</t>
  </si>
  <si>
    <t>Tanque de Compensação Canalização Eléctrica</t>
  </si>
  <si>
    <t>170CAN</t>
  </si>
  <si>
    <t>Actuador Eléctrico Comporta</t>
  </si>
  <si>
    <t>102COM</t>
  </si>
  <si>
    <t>Caixa de Entrada Comporta</t>
  </si>
  <si>
    <t>116COM</t>
  </si>
  <si>
    <t>Caixa de Saída Comporta</t>
  </si>
  <si>
    <t>117COM</t>
  </si>
  <si>
    <t>Electrobomba Submersível  Comporta</t>
  </si>
  <si>
    <t>135COM</t>
  </si>
  <si>
    <t>Filtro Comporta</t>
  </si>
  <si>
    <t>140COM</t>
  </si>
  <si>
    <t>Compressor  do choque Hidráulico</t>
  </si>
  <si>
    <t>Reservatório Choque Hidráulico</t>
  </si>
  <si>
    <t>158CHO</t>
  </si>
  <si>
    <t>Compressor Parafuso - Acoplado Directamente Compressor</t>
  </si>
  <si>
    <t>125CPS</t>
  </si>
  <si>
    <t>Compressor Parafuso - Acoplado por correias Compressor</t>
  </si>
  <si>
    <t>126CPS</t>
  </si>
  <si>
    <t>Compressor Pistão Compressor</t>
  </si>
  <si>
    <t>127CPS</t>
  </si>
  <si>
    <t>Electrobomba Centrífuga Bomba</t>
  </si>
  <si>
    <t>131BOM</t>
  </si>
  <si>
    <t>Electrobomba de Esgoto Bomba</t>
  </si>
  <si>
    <t>132BOM</t>
  </si>
  <si>
    <t>Electrobomba Doseadora de Diafragma Bomba</t>
  </si>
  <si>
    <t>133BOM</t>
  </si>
  <si>
    <t>Electrobomba Doseadora de parafuso Bomba</t>
  </si>
  <si>
    <t>134BOM</t>
  </si>
  <si>
    <t>Electrobomba Submersível  Bomba</t>
  </si>
  <si>
    <t>135BOM</t>
  </si>
  <si>
    <t>Extractores Extrator</t>
  </si>
  <si>
    <t>139EXT</t>
  </si>
  <si>
    <t>Quadro Eléctrico Extrator</t>
  </si>
  <si>
    <t>152EXT</t>
  </si>
  <si>
    <t>Furo Componentes mecânicos</t>
  </si>
  <si>
    <t>141CME</t>
  </si>
  <si>
    <t>Quadro Eléctrico Componentes mecânicos</t>
  </si>
  <si>
    <t>152CME</t>
  </si>
  <si>
    <t>Subestação Gerador Eléctrica</t>
  </si>
  <si>
    <t>165GEL</t>
  </si>
  <si>
    <t>Subestação Gerador Mecânica</t>
  </si>
  <si>
    <t>165GMC</t>
  </si>
  <si>
    <t>Medidor Macromedidor</t>
  </si>
  <si>
    <t>146MCD</t>
  </si>
  <si>
    <t>Motor Centrífuga</t>
  </si>
  <si>
    <t>Electrobomba Centrífuga Motor</t>
  </si>
  <si>
    <t>131MOT</t>
  </si>
  <si>
    <t>Motor pequeno</t>
  </si>
  <si>
    <t>Agitador   Motor</t>
  </si>
  <si>
    <t>103MOT</t>
  </si>
  <si>
    <t>Alimentador Motor</t>
  </si>
  <si>
    <t>109MOT</t>
  </si>
  <si>
    <t>Compressor Parafuso - Acoplado Directamente Motor</t>
  </si>
  <si>
    <t>125MOT</t>
  </si>
  <si>
    <t>Compressor Parafuso - Acoplado por correias Motor</t>
  </si>
  <si>
    <t>126MOT</t>
  </si>
  <si>
    <t>Compressor Pistão Motor</t>
  </si>
  <si>
    <t>127MOT</t>
  </si>
  <si>
    <t>Electrobomba de Esgoto Motor</t>
  </si>
  <si>
    <t>132MOT</t>
  </si>
  <si>
    <t>Electrobomba Doseadora de Diafragma Motor</t>
  </si>
  <si>
    <t>133MOT</t>
  </si>
  <si>
    <t>Electrobomba Doseadora de parafuso Motor</t>
  </si>
  <si>
    <t>134MOT</t>
  </si>
  <si>
    <t>Extractores Motor</t>
  </si>
  <si>
    <t>139MOT</t>
  </si>
  <si>
    <t>Raspador de Lamas 1 Motor</t>
  </si>
  <si>
    <t>153MOT</t>
  </si>
  <si>
    <t>Raspador de Lamas 2 Motor</t>
  </si>
  <si>
    <t>154MOT</t>
  </si>
  <si>
    <t>Supressor Lóbulos - Acoplado Directamente Motor</t>
  </si>
  <si>
    <t>166MOT</t>
  </si>
  <si>
    <t>Supressor Lóbulos - Acoplado por correias Motor</t>
  </si>
  <si>
    <t>167MOT</t>
  </si>
  <si>
    <t>Triturador Motor</t>
  </si>
  <si>
    <t>174MOT</t>
  </si>
  <si>
    <t>Ventiladores Motor</t>
  </si>
  <si>
    <t>177MOT</t>
  </si>
  <si>
    <t xml:space="preserve">Motor Submersível </t>
  </si>
  <si>
    <t>Electrobomba Submersível  Motor</t>
  </si>
  <si>
    <t>135MOT</t>
  </si>
  <si>
    <t>Grua Ponte Rolante</t>
  </si>
  <si>
    <t>143PRO</t>
  </si>
  <si>
    <t>Ponte Rolante Ponte Rolante</t>
  </si>
  <si>
    <t>150PRO</t>
  </si>
  <si>
    <t>Grua Quadro de Baixa Tensão</t>
  </si>
  <si>
    <t>143QBT</t>
  </si>
  <si>
    <t>Medidor Quadro de Baixa Tensão</t>
  </si>
  <si>
    <t>146QBT</t>
  </si>
  <si>
    <t>Quadro Eléctrico Quadro de Baixa Tensão</t>
  </si>
  <si>
    <t>152QBT</t>
  </si>
  <si>
    <t>Sistema de Iluminação Quadro de Baixa Tensão</t>
  </si>
  <si>
    <t>164QBT</t>
  </si>
  <si>
    <t>Medidor Quadro de Media Tensão</t>
  </si>
  <si>
    <t>146QMT</t>
  </si>
  <si>
    <t>Quadro Eléctrico Quadro de Media Tensão</t>
  </si>
  <si>
    <t>152QMT</t>
  </si>
  <si>
    <t>Subestação Quadro de Media Tensão</t>
  </si>
  <si>
    <t>165QMT</t>
  </si>
  <si>
    <t>Quadro Eléctrico Quadro Eléctrico de Instrumentação</t>
  </si>
  <si>
    <t>152QEI</t>
  </si>
  <si>
    <t>Tanque de Compensação Quadro Eléctrico de Instrumentação</t>
  </si>
  <si>
    <t>170QEI</t>
  </si>
  <si>
    <t>Actuador Eléctrico Quadros Eléctricos de Arranque</t>
  </si>
  <si>
    <t>102QEA</t>
  </si>
  <si>
    <t>Agitador   Quadros Eléctricos de Arranque</t>
  </si>
  <si>
    <t>103QEA</t>
  </si>
  <si>
    <t>Carteira de lavagem de filtros Quadros Eléctricos de Arranque</t>
  </si>
  <si>
    <t>120QEA</t>
  </si>
  <si>
    <t>Compressor Parafuso - Acoplado Directamente Quadros Eléctricos de Arranque</t>
  </si>
  <si>
    <t>125QEA</t>
  </si>
  <si>
    <t>Compressor Parafuso - Acoplado por correias Quadros Eléctricos de Arranque</t>
  </si>
  <si>
    <t>126QEA</t>
  </si>
  <si>
    <t>Compressor Pistão Quadros Eléctricos de Arranque</t>
  </si>
  <si>
    <t>127QEA</t>
  </si>
  <si>
    <t>Electrobomba Centrífuga Quadros Eléctricos de Arranque</t>
  </si>
  <si>
    <t>131QEA</t>
  </si>
  <si>
    <t>Electrobomba de Esgoto Quadros Eléctricos de Arranque</t>
  </si>
  <si>
    <t>132QEA</t>
  </si>
  <si>
    <t>Electrobomba Doseadora de Diafragma Quadros Eléctricos de Arranque</t>
  </si>
  <si>
    <t>133QEA</t>
  </si>
  <si>
    <t>Electrobomba Doseadora de parafuso Quadros Eléctricos de Arranque</t>
  </si>
  <si>
    <t>134QEA</t>
  </si>
  <si>
    <t>Electrobomba Submersível  Quadros Eléctricos de Arranque</t>
  </si>
  <si>
    <t>135QEA</t>
  </si>
  <si>
    <t>Extractores Quadros Eléctricos de Arranque</t>
  </si>
  <si>
    <t>139QEA</t>
  </si>
  <si>
    <t>Furo Quadros Eléctricos de Arranque</t>
  </si>
  <si>
    <t>141QEA</t>
  </si>
  <si>
    <t>Quadro Eléctrico Quadros Eléctricos de Arranque</t>
  </si>
  <si>
    <t>152QEA</t>
  </si>
  <si>
    <t>Supressor Lóbulos - Acoplado Directamente Quadros Eléctricos de Arranque</t>
  </si>
  <si>
    <t>166QEA</t>
  </si>
  <si>
    <t>Supressor Lóbulos - Acoplado por correias Quadros Eléctricos de Arranque</t>
  </si>
  <si>
    <t>167QEA</t>
  </si>
  <si>
    <t>Supressor Parafuso - Acoplado por correias Quadros Eléctricos de Arranque</t>
  </si>
  <si>
    <t>169QEA</t>
  </si>
  <si>
    <t>Triturador Quadros Eléctricos de Arranque</t>
  </si>
  <si>
    <t>174QEA</t>
  </si>
  <si>
    <t>Ventiladores Quadros Eléctricos de Arranque</t>
  </si>
  <si>
    <t>177QEA</t>
  </si>
  <si>
    <t>Raspador de Lamas 1 Raspador</t>
  </si>
  <si>
    <t>153RSP</t>
  </si>
  <si>
    <t xml:space="preserve">Quadro Eléctrico Rectificadores de tensão </t>
  </si>
  <si>
    <t>152RTE</t>
  </si>
  <si>
    <t>Compressor Parafuso - Acoplado por correias Secador de Ar</t>
  </si>
  <si>
    <t>126SCA</t>
  </si>
  <si>
    <t>Refrigeração de ar Secador de Ar</t>
  </si>
  <si>
    <t>156SCA</t>
  </si>
  <si>
    <t>Medidor Sensor</t>
  </si>
  <si>
    <t>146SEN</t>
  </si>
  <si>
    <t>Sensor Sensor de Cloro</t>
  </si>
  <si>
    <t>162SCL</t>
  </si>
  <si>
    <t>Medidor Sensor de Condutividade</t>
  </si>
  <si>
    <t>146SCD</t>
  </si>
  <si>
    <t>Sensor Sensor de Condutividade</t>
  </si>
  <si>
    <t>162SCD</t>
  </si>
  <si>
    <t>Sensor Sensor de Oxigénio</t>
  </si>
  <si>
    <t>162SOX</t>
  </si>
  <si>
    <t>Ozono Sensor de Ozono</t>
  </si>
  <si>
    <t>149SOZ</t>
  </si>
  <si>
    <t>Medidor Sensor de Pressão</t>
  </si>
  <si>
    <t>146SPR</t>
  </si>
  <si>
    <t>Sensor Sensor de Pressão</t>
  </si>
  <si>
    <t>162SPR</t>
  </si>
  <si>
    <t>Medidor Sensor Ultrassónico</t>
  </si>
  <si>
    <t>146SUL</t>
  </si>
  <si>
    <t>Sensor Sensor Ultrassónico</t>
  </si>
  <si>
    <t>162SUL</t>
  </si>
  <si>
    <t>Tanque de Compensação Sensor Ultrassónico</t>
  </si>
  <si>
    <t>170SUL</t>
  </si>
  <si>
    <t>Sala de Clorinadores  Clorinador da Pós-cloração</t>
  </si>
  <si>
    <t>160POS</t>
  </si>
  <si>
    <t>Sala de Clorinadores  Clorinador da Pré-cloração</t>
  </si>
  <si>
    <t>160PRE</t>
  </si>
  <si>
    <t>Linha 1 Sistema de Cloro</t>
  </si>
  <si>
    <t>144SCR</t>
  </si>
  <si>
    <t>Linha 2 Sistema de Cloro</t>
  </si>
  <si>
    <t>145SCR</t>
  </si>
  <si>
    <t>sala de cilindros de cloro Sistema de Cloro</t>
  </si>
  <si>
    <t>159SCR</t>
  </si>
  <si>
    <t>Sala de Clorinadores  Sistema de Cloro</t>
  </si>
  <si>
    <t>160SCR</t>
  </si>
  <si>
    <t>Electrobomba centrífuga Iluminação</t>
  </si>
  <si>
    <t>131ILL</t>
  </si>
  <si>
    <t>Furo Iluminação</t>
  </si>
  <si>
    <t>141ILL</t>
  </si>
  <si>
    <t>Quadro Eléctrico Iluminação</t>
  </si>
  <si>
    <t>152ILL</t>
  </si>
  <si>
    <t>Sistema de Iluminação Iluminação</t>
  </si>
  <si>
    <t>164ILL</t>
  </si>
  <si>
    <t>Tanque de Compensação Iluminação</t>
  </si>
  <si>
    <t>170ILL</t>
  </si>
  <si>
    <t>Compressor Parafuso - Acoplado por correias Sistema pneumático</t>
  </si>
  <si>
    <t>126SPN</t>
  </si>
  <si>
    <t>Decantador Sistema pneumático</t>
  </si>
  <si>
    <t>128SPN</t>
  </si>
  <si>
    <t>Filtro Sistema pneumático</t>
  </si>
  <si>
    <t>140SPN</t>
  </si>
  <si>
    <t>Refrigeração de ar Sistema Refrigeração de ar</t>
  </si>
  <si>
    <t>156SRA</t>
  </si>
  <si>
    <t>Extractores Supressor</t>
  </si>
  <si>
    <t>139SUP</t>
  </si>
  <si>
    <t>Supressor Lóbulos - Acoplado Directamente Supressor</t>
  </si>
  <si>
    <t>166SUP</t>
  </si>
  <si>
    <t>Supressor Lóbulos - Acoplado por correias Supressor</t>
  </si>
  <si>
    <t>167SUP</t>
  </si>
  <si>
    <t>Subestação Transformador</t>
  </si>
  <si>
    <t>165TRA</t>
  </si>
  <si>
    <t>Triturador Triturador</t>
  </si>
  <si>
    <t>174TTD</t>
  </si>
  <si>
    <t>Quadro Eléctrico UPS</t>
  </si>
  <si>
    <t>152UPS</t>
  </si>
  <si>
    <t>Subestação UPS</t>
  </si>
  <si>
    <t>165UPS</t>
  </si>
  <si>
    <t>Agua de lavagem Válvula</t>
  </si>
  <si>
    <t>104VLV</t>
  </si>
  <si>
    <t>Agua filtrada Válvula</t>
  </si>
  <si>
    <t>107VLV</t>
  </si>
  <si>
    <t>Ar de lavagem Válvula</t>
  </si>
  <si>
    <t>110VLV</t>
  </si>
  <si>
    <t>Caixa de Entrada Válvula</t>
  </si>
  <si>
    <t>116VLV</t>
  </si>
  <si>
    <t>Caixa de Saída Válvula</t>
  </si>
  <si>
    <t>117VLV</t>
  </si>
  <si>
    <t>Descarga de Fundo Válvula</t>
  </si>
  <si>
    <t>129VLV</t>
  </si>
  <si>
    <t>Descarga de Lama Válvula</t>
  </si>
  <si>
    <t>130VLV</t>
  </si>
  <si>
    <t>Electrobomba centrífuga Válvula</t>
  </si>
  <si>
    <t>131VLV</t>
  </si>
  <si>
    <t>Esgoto Válvula</t>
  </si>
  <si>
    <t>138VLV</t>
  </si>
  <si>
    <t>Linha 1 Válvula</t>
  </si>
  <si>
    <t>144VLV</t>
  </si>
  <si>
    <t>Linha 2 Válvula</t>
  </si>
  <si>
    <t>145VLV</t>
  </si>
  <si>
    <t>Raspador de Lamas 1 Válvula</t>
  </si>
  <si>
    <t>153VLV</t>
  </si>
  <si>
    <t>Raspador de Lamas 2 Válvula</t>
  </si>
  <si>
    <t>154VLV</t>
  </si>
  <si>
    <t>Secador de Ar Válvula</t>
  </si>
  <si>
    <t>161VLV</t>
  </si>
  <si>
    <t>Válvula Válvula</t>
  </si>
  <si>
    <t>176VLV</t>
  </si>
  <si>
    <t>Caixa de Entrada Válvula Descarga</t>
  </si>
  <si>
    <t>116VDE</t>
  </si>
  <si>
    <t>Electrobomba Centrífuga Válvula Descarga</t>
  </si>
  <si>
    <t>131VDE</t>
  </si>
  <si>
    <t>Electrobomba Doseadora de Diafragma Válvula Descarga</t>
  </si>
  <si>
    <t>133VDE</t>
  </si>
  <si>
    <t>Electrobomba Submersível  Válvula Descarga</t>
  </si>
  <si>
    <t>135VDE</t>
  </si>
  <si>
    <t>Supressor Lóbulos - Acoplado Directamente Válvula Descarga</t>
  </si>
  <si>
    <t>166VDE</t>
  </si>
  <si>
    <t>Supressor Lóbulos - Acoplado por correias Válvula Descarga</t>
  </si>
  <si>
    <t>167VDE</t>
  </si>
  <si>
    <t>Supressor Parafuso - Acoplado por correias Válvula Descarga</t>
  </si>
  <si>
    <t>169VDE</t>
  </si>
  <si>
    <t>Tanque de Compensação Válvula Descarga</t>
  </si>
  <si>
    <t>170VDE</t>
  </si>
  <si>
    <t>Válvula Válvula Descarga</t>
  </si>
  <si>
    <t>176VDE</t>
  </si>
  <si>
    <t>Caixa de Saída Válvula Mural</t>
  </si>
  <si>
    <t>117MUR</t>
  </si>
  <si>
    <t>Electrobomba Submersível  Válvula Mural</t>
  </si>
  <si>
    <t>135MUR</t>
  </si>
  <si>
    <t>Electrobomba Centrífuga Válvula Retenção</t>
  </si>
  <si>
    <t>131VRE</t>
  </si>
  <si>
    <t>Electrobomba Doseadora de Diafragma Válvula Retenção</t>
  </si>
  <si>
    <t>133VRE</t>
  </si>
  <si>
    <t>Tanque de Compensação Válvula Retenção</t>
  </si>
  <si>
    <t>170VRE</t>
  </si>
  <si>
    <t>Electrobomba Centrífuga Válvula Sucção</t>
  </si>
  <si>
    <t>131VSU</t>
  </si>
  <si>
    <t>Electrobomba Doseadora de Diafragma Válvula Sucção</t>
  </si>
  <si>
    <t>133VSU</t>
  </si>
  <si>
    <t>Ventiladores Ventilador</t>
  </si>
  <si>
    <t>177VEN</t>
  </si>
  <si>
    <t>Tanque de Preparação Vibrador de Cal</t>
  </si>
  <si>
    <t>173VCA</t>
  </si>
  <si>
    <t>Vibrador de cal Vibrador de Cal</t>
  </si>
  <si>
    <t>178VCA</t>
  </si>
  <si>
    <t/>
  </si>
  <si>
    <t>EMICA</t>
  </si>
  <si>
    <t>ECHTOP</t>
  </si>
  <si>
    <t>Serial No:355Y0C0816-01;200kw,3000 V;46.5A;Conn:Y; 1487 R/Min;50Hz;Eff:95.4%;factor de Pontencia 0.868</t>
  </si>
  <si>
    <t xml:space="preserve">Tsalala Transferência </t>
  </si>
  <si>
    <t>3 de Fevereiro</t>
  </si>
  <si>
    <t>3FV</t>
  </si>
  <si>
    <t>Electrobomba centrífugaBomba</t>
  </si>
  <si>
    <t>Electrobomba centrífugaMotor</t>
  </si>
  <si>
    <t>Electrobomba centrífugaQuadros Eléctricos de Arranque</t>
  </si>
  <si>
    <t>Electrobomba centrífugaVálvula Sucção</t>
  </si>
  <si>
    <t>Electrobomba centrífugaVálvula Descarga</t>
  </si>
  <si>
    <t>Electrobomba centrífugaActuador Eléctrico</t>
  </si>
  <si>
    <t>GruaPonte Rolante</t>
  </si>
  <si>
    <t>Electrobomba Doseadora de DiafragmaMotor</t>
  </si>
  <si>
    <t>Electrobomba Doseadora de DiafragmaBomba</t>
  </si>
  <si>
    <t>Agitador  Caixa de Engrenagem</t>
  </si>
  <si>
    <t>Agitador  Motor</t>
  </si>
  <si>
    <t>Quadro EléctricoQuadros Eléctricos de Arranque</t>
  </si>
  <si>
    <t>ReservatórioChoque Hidráulico</t>
  </si>
  <si>
    <t>Compressor PistãoCompressor</t>
  </si>
  <si>
    <t>Sistema de IluminaçãoIluminação</t>
  </si>
  <si>
    <t>MedidorMacromedidor</t>
  </si>
  <si>
    <t>Electrobomba de EsgotoBomba</t>
  </si>
  <si>
    <t>SubestaçãoQuadro de Media Tensão</t>
  </si>
  <si>
    <t>Quadro EléctricoQuadro de Baixa Tensão</t>
  </si>
  <si>
    <t>Quadro EléctricoCanalização Eléctrica</t>
  </si>
  <si>
    <t>SubestaçãoTransformador</t>
  </si>
  <si>
    <t>Compressor PistãoQuadros Eléctricos de Arranque</t>
  </si>
  <si>
    <t>Quadro EléctricoQuadro Eléctrico de Instrumentação</t>
  </si>
  <si>
    <t>SubestaçãoGerador Eléctrica</t>
  </si>
  <si>
    <t>SubestaçãoGerador Mecânica</t>
  </si>
  <si>
    <t>MedidorSensor</t>
  </si>
  <si>
    <t>ExtractoresExtrator</t>
  </si>
  <si>
    <t>Quadro EléctricoQuadro de Media Tensão</t>
  </si>
  <si>
    <t>Electrobomba centrífugaCanalização Eléctrica</t>
  </si>
  <si>
    <t>Electrobomba centrífugaVálvula</t>
  </si>
  <si>
    <t>Quadro EléctricoIluminação</t>
  </si>
  <si>
    <t>Canalização EléctricaCanalização Eléctrica</t>
  </si>
  <si>
    <t>Sistema de IluminaçãoQuadro de Baixa Tensão</t>
  </si>
  <si>
    <t>FuroComponentes mecânicos</t>
  </si>
  <si>
    <t>511e9f0a</t>
  </si>
  <si>
    <t>FuroQuadros Eléctricos de Arranque</t>
  </si>
  <si>
    <t>Quadro EléctricoQuadro Eléctrico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</si>
</sst>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dd\-mm\-yyyy;@"/>
    <numFmt numFmtId="166" formatCode="yyyy/mm/dd;@"/>
    <numFmt numFmtId="167" formatCode="yy/mm/dd;@"/>
    <numFmt numFmtId="168" formatCode="[$-10451]yyyy/m/d;@"/>
    <numFmt numFmtId="169" formatCode="[$-10451]yyyy\-m\-d;@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omic Sans MS"/>
      <family val="4"/>
    </font>
    <font>
      <sz val="9"/>
      <name val="Comic Sans MS"/>
      <family val="4"/>
    </font>
    <font>
      <sz val="9"/>
      <color rgb="FFFF0000"/>
      <name val="Comic Sans MS"/>
      <family val="4"/>
    </font>
    <font>
      <sz val="11"/>
      <color theme="1"/>
      <name val="Comic Sans MS"/>
      <family val="4"/>
    </font>
    <font>
      <sz val="9"/>
      <color rgb="FF000000"/>
      <name val="Comic Sans MS"/>
      <family val="4"/>
    </font>
    <font>
      <sz val="1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2" fillId="0" borderId="0"/>
  </cellStyleXfs>
  <cellXfs count="72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49" fontId="0" fillId="0" borderId="0" xfId="0" applyNumberFormat="1"/>
    <xf numFmtId="0" fontId="5" fillId="0" borderId="0" xfId="0" applyFont="1"/>
    <xf numFmtId="165" fontId="1" fillId="0" borderId="0" xfId="0" applyNumberFormat="1" applyFont="1"/>
    <xf numFmtId="164" fontId="1" fillId="0" borderId="0" xfId="0" applyNumberFormat="1" applyFont="1"/>
    <xf numFmtId="165" fontId="0" fillId="0" borderId="0" xfId="0" applyNumberFormat="1"/>
    <xf numFmtId="0" fontId="7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164" fontId="0" fillId="0" borderId="0" xfId="0" applyNumberForma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/>
    </xf>
    <xf numFmtId="9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49" fontId="1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/>
    <xf numFmtId="14" fontId="7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11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/>
    <xf numFmtId="166" fontId="0" fillId="0" borderId="0" xfId="0" applyNumberFormat="1"/>
    <xf numFmtId="167" fontId="1" fillId="0" borderId="0" xfId="0" applyNumberFormat="1" applyFont="1"/>
    <xf numFmtId="167" fontId="0" fillId="0" borderId="0" xfId="0" applyNumberFormat="1" applyAlignment="1">
      <alignment horizontal="center"/>
    </xf>
    <xf numFmtId="167" fontId="0" fillId="4" borderId="0" xfId="0" applyNumberFormat="1" applyFill="1" applyAlignment="1">
      <alignment horizontal="center"/>
    </xf>
    <xf numFmtId="168" fontId="1" fillId="0" borderId="0" xfId="0" applyNumberFormat="1" applyFont="1"/>
    <xf numFmtId="168" fontId="0" fillId="0" borderId="0" xfId="0" applyNumberFormat="1"/>
    <xf numFmtId="0" fontId="9" fillId="0" borderId="0" xfId="0" applyFont="1" applyAlignment="1">
      <alignment vertical="center" wrapText="1"/>
    </xf>
    <xf numFmtId="0" fontId="8" fillId="2" borderId="0" xfId="0" applyFont="1" applyFill="1" applyAlignment="1">
      <alignment vertical="center" wrapText="1"/>
    </xf>
    <xf numFmtId="49" fontId="0" fillId="2" borderId="0" xfId="0" applyNumberFormat="1" applyFill="1"/>
    <xf numFmtId="0" fontId="6" fillId="0" borderId="1" xfId="0" applyFont="1" applyBorder="1"/>
    <xf numFmtId="49" fontId="4" fillId="0" borderId="0" xfId="0" applyNumberFormat="1" applyFont="1"/>
    <xf numFmtId="164" fontId="4" fillId="0" borderId="0" xfId="0" applyNumberFormat="1" applyFont="1"/>
    <xf numFmtId="0" fontId="4" fillId="0" borderId="0" xfId="0" applyFont="1" applyAlignment="1">
      <alignment horizontal="left"/>
    </xf>
    <xf numFmtId="166" fontId="4" fillId="0" borderId="0" xfId="0" applyNumberFormat="1" applyFont="1"/>
    <xf numFmtId="167" fontId="4" fillId="0" borderId="0" xfId="0" applyNumberFormat="1" applyFont="1" applyAlignment="1">
      <alignment horizontal="center"/>
    </xf>
    <xf numFmtId="49" fontId="6" fillId="0" borderId="0" xfId="0" applyNumberFormat="1" applyFont="1"/>
    <xf numFmtId="164" fontId="6" fillId="0" borderId="0" xfId="0" applyNumberFormat="1" applyFont="1"/>
    <xf numFmtId="0" fontId="6" fillId="0" borderId="0" xfId="0" applyFont="1" applyAlignment="1">
      <alignment horizontal="left"/>
    </xf>
    <xf numFmtId="166" fontId="6" fillId="0" borderId="0" xfId="0" applyNumberFormat="1" applyFont="1"/>
    <xf numFmtId="167" fontId="6" fillId="0" borderId="0" xfId="0" applyNumberFormat="1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4" fillId="0" borderId="0" xfId="0" applyFont="1"/>
    <xf numFmtId="0" fontId="15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2" xfId="0" applyFont="1" applyBorder="1"/>
    <xf numFmtId="0" fontId="6" fillId="0" borderId="0" xfId="0" applyFont="1" applyAlignment="1">
      <alignment vertical="center" wrapText="1"/>
    </xf>
    <xf numFmtId="0" fontId="1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3" xfId="0" applyBorder="1"/>
    <xf numFmtId="0" fontId="6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6" fillId="0" borderId="3" xfId="0" applyFont="1" applyBorder="1"/>
    <xf numFmtId="0" fontId="0" fillId="0" borderId="0" xfId="0" applyAlignment="1">
      <alignment vertical="center"/>
    </xf>
    <xf numFmtId="168" fontId="6" fillId="0" borderId="0" xfId="0" applyNumberFormat="1" applyFont="1"/>
    <xf numFmtId="169" fontId="0" fillId="0" borderId="0" xfId="0" applyNumberFormat="1" applyAlignment="1">
      <alignment horizontal="center"/>
    </xf>
    <xf numFmtId="169" fontId="6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69" fontId="0" fillId="4" borderId="0" xfId="0" applyNumberFormat="1" applyFill="1" applyAlignment="1">
      <alignment horizontal="center"/>
    </xf>
    <xf numFmtId="169" fontId="4" fillId="0" borderId="4" xfId="0" applyNumberFormat="1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1"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iode\OneDrive\&#193;rea%20de%20Trabalho\Localizacoe%20e%20ID.xlsx" TargetMode="External"/><Relationship Id="rId1" Type="http://schemas.openxmlformats.org/officeDocument/2006/relationships/externalLinkPath" Target="/Users/diode/OneDrive/&#193;rea%20de%20Trabalho/Localizacoe%20e%20I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ecklist"/>
      <sheetName val="ID"/>
    </sheetNames>
    <sheetDataSet>
      <sheetData sheetId="0" refreshError="1"/>
      <sheetData sheetId="1">
        <row r="3">
          <cell r="C3" t="str">
            <v>Actuador Eléctrico</v>
          </cell>
          <cell r="D3" t="str">
            <v>AEL</v>
          </cell>
        </row>
        <row r="4">
          <cell r="C4" t="str">
            <v>Actuador Pneumático</v>
          </cell>
          <cell r="D4" t="str">
            <v>AEP</v>
          </cell>
        </row>
        <row r="5">
          <cell r="C5" t="str">
            <v>Alimentador</v>
          </cell>
          <cell r="D5" t="str">
            <v>ALM</v>
          </cell>
        </row>
        <row r="6">
          <cell r="C6" t="str">
            <v>Analisador de cloro</v>
          </cell>
          <cell r="D6" t="str">
            <v>ACL</v>
          </cell>
        </row>
        <row r="7">
          <cell r="C7" t="str">
            <v>Analisador de Oxigénio</v>
          </cell>
          <cell r="D7" t="str">
            <v>AOX</v>
          </cell>
        </row>
        <row r="8">
          <cell r="C8" t="str">
            <v>Analisador de Ozono</v>
          </cell>
          <cell r="D8" t="str">
            <v>AOZ</v>
          </cell>
        </row>
        <row r="9">
          <cell r="C9" t="str">
            <v>Analisador de pH</v>
          </cell>
          <cell r="D9" t="str">
            <v>APH</v>
          </cell>
        </row>
        <row r="10">
          <cell r="C10" t="str">
            <v>Analisador de Turvação</v>
          </cell>
          <cell r="D10" t="str">
            <v>ATU</v>
          </cell>
        </row>
        <row r="11">
          <cell r="C11" t="str">
            <v>Balança</v>
          </cell>
          <cell r="D11" t="str">
            <v>BAL</v>
          </cell>
        </row>
        <row r="12">
          <cell r="C12" t="str">
            <v>Banco de Baterias</v>
          </cell>
          <cell r="D12" t="str">
            <v>BBA</v>
          </cell>
        </row>
        <row r="13">
          <cell r="C13" t="str">
            <v>Banco de Capacitores</v>
          </cell>
          <cell r="D13" t="str">
            <v>BCA</v>
          </cell>
        </row>
        <row r="14">
          <cell r="C14" t="str">
            <v>Boia</v>
          </cell>
          <cell r="D14" t="str">
            <v>BOI</v>
          </cell>
        </row>
        <row r="15">
          <cell r="C15" t="str">
            <v>Bomba</v>
          </cell>
          <cell r="D15" t="str">
            <v>BOM</v>
          </cell>
        </row>
        <row r="16">
          <cell r="C16" t="str">
            <v>Caixa de Engrenagem</v>
          </cell>
          <cell r="D16" t="str">
            <v>CEN</v>
          </cell>
        </row>
        <row r="17">
          <cell r="C17" t="str">
            <v>Caixa de Parcialização</v>
          </cell>
          <cell r="D17" t="str">
            <v>CPA</v>
          </cell>
        </row>
        <row r="18">
          <cell r="C18" t="str">
            <v>Canalização Eléctrica</v>
          </cell>
          <cell r="D18" t="str">
            <v>CAN</v>
          </cell>
        </row>
        <row r="19">
          <cell r="C19" t="str">
            <v>Carregador de baterias</v>
          </cell>
          <cell r="D19" t="str">
            <v>CBA</v>
          </cell>
        </row>
        <row r="20">
          <cell r="C20" t="str">
            <v>Choque Hidráulico</v>
          </cell>
          <cell r="D20" t="str">
            <v>CHO</v>
          </cell>
        </row>
        <row r="21">
          <cell r="C21" t="str">
            <v>Circuito Elétrico</v>
          </cell>
          <cell r="D21" t="str">
            <v>CEL</v>
          </cell>
        </row>
        <row r="22">
          <cell r="C22" t="str">
            <v>Circuito Hidráulico</v>
          </cell>
          <cell r="D22" t="str">
            <v>CHI</v>
          </cell>
        </row>
        <row r="23">
          <cell r="C23" t="str">
            <v>Clorinador da Pós-cloração</v>
          </cell>
          <cell r="D23" t="str">
            <v>POS</v>
          </cell>
        </row>
        <row r="24">
          <cell r="C24" t="str">
            <v>Clorinador da Pré-cloração</v>
          </cell>
          <cell r="D24" t="str">
            <v>PRE</v>
          </cell>
        </row>
        <row r="25">
          <cell r="C25" t="str">
            <v>Componentes mecânicos</v>
          </cell>
          <cell r="D25" t="str">
            <v>CME</v>
          </cell>
        </row>
        <row r="26">
          <cell r="C26" t="str">
            <v>Comporta</v>
          </cell>
          <cell r="D26" t="str">
            <v>COM</v>
          </cell>
        </row>
        <row r="27">
          <cell r="C27" t="str">
            <v>Compressor</v>
          </cell>
          <cell r="D27" t="str">
            <v>CPS</v>
          </cell>
        </row>
        <row r="28">
          <cell r="C28" t="str">
            <v>Contadores</v>
          </cell>
          <cell r="D28" t="str">
            <v>CON</v>
          </cell>
        </row>
        <row r="29">
          <cell r="C29" t="str">
            <v>Diferencial</v>
          </cell>
          <cell r="D29" t="str">
            <v>DFC</v>
          </cell>
        </row>
        <row r="30">
          <cell r="C30" t="str">
            <v>Extrator</v>
          </cell>
          <cell r="D30" t="str">
            <v>EXT</v>
          </cell>
        </row>
        <row r="31">
          <cell r="C31" t="str">
            <v>Gerador</v>
          </cell>
          <cell r="D31" t="str">
            <v>GER</v>
          </cell>
        </row>
        <row r="32">
          <cell r="C32" t="str">
            <v>Gerador Eléctrica</v>
          </cell>
          <cell r="D32" t="str">
            <v>GEL</v>
          </cell>
        </row>
        <row r="33">
          <cell r="C33" t="str">
            <v>Gerador Mecânica</v>
          </cell>
          <cell r="D33" t="str">
            <v>GMC</v>
          </cell>
        </row>
        <row r="34">
          <cell r="C34" t="str">
            <v>Iluminação</v>
          </cell>
          <cell r="D34" t="str">
            <v>ILL</v>
          </cell>
        </row>
        <row r="35">
          <cell r="C35" t="str">
            <v>Macromedidor</v>
          </cell>
          <cell r="D35" t="str">
            <v>MCD</v>
          </cell>
        </row>
        <row r="36">
          <cell r="C36" t="str">
            <v xml:space="preserve">Medidor de Nível </v>
          </cell>
          <cell r="D36" t="str">
            <v>MNI</v>
          </cell>
        </row>
        <row r="37">
          <cell r="C37" t="str">
            <v>Medidor de pH</v>
          </cell>
          <cell r="D37" t="str">
            <v>MPH</v>
          </cell>
        </row>
        <row r="38">
          <cell r="C38" t="str">
            <v>Medidor de Pressão</v>
          </cell>
          <cell r="D38" t="str">
            <v>MPR</v>
          </cell>
        </row>
        <row r="39">
          <cell r="C39" t="str">
            <v>Medidor de Temperatura</v>
          </cell>
          <cell r="D39" t="str">
            <v>MTP</v>
          </cell>
        </row>
        <row r="40">
          <cell r="C40" t="str">
            <v>Motor</v>
          </cell>
          <cell r="D40" t="str">
            <v>MOT</v>
          </cell>
        </row>
        <row r="41">
          <cell r="C41" t="str">
            <v>Ponte Raspadora Decantador</v>
          </cell>
          <cell r="D41" t="str">
            <v>PRD</v>
          </cell>
        </row>
        <row r="42">
          <cell r="C42" t="str">
            <v>Ponte Rolante</v>
          </cell>
          <cell r="D42" t="str">
            <v>PRO</v>
          </cell>
        </row>
        <row r="43">
          <cell r="C43" t="str">
            <v>Quadro de Baixa Tensão</v>
          </cell>
          <cell r="D43" t="str">
            <v>QBT</v>
          </cell>
        </row>
        <row r="44">
          <cell r="C44" t="str">
            <v>Quadro de Media Tensão</v>
          </cell>
          <cell r="D44" t="str">
            <v>QMT</v>
          </cell>
        </row>
        <row r="45">
          <cell r="C45" t="str">
            <v>Quadro Eléctrico</v>
          </cell>
          <cell r="D45" t="str">
            <v>QEL</v>
          </cell>
        </row>
        <row r="46">
          <cell r="C46" t="str">
            <v>Quadro Eléctrico de Instrumentação</v>
          </cell>
          <cell r="D46" t="str">
            <v>QEI</v>
          </cell>
        </row>
        <row r="47">
          <cell r="C47" t="str">
            <v>Quadros Eléctricos de Arranque</v>
          </cell>
          <cell r="D47" t="str">
            <v>QEA</v>
          </cell>
        </row>
        <row r="48">
          <cell r="C48" t="str">
            <v>Raspador</v>
          </cell>
          <cell r="D48" t="str">
            <v>RSP</v>
          </cell>
        </row>
        <row r="49">
          <cell r="C49" t="str">
            <v xml:space="preserve">Rectificadores de tensão </v>
          </cell>
          <cell r="D49" t="str">
            <v>RTE</v>
          </cell>
        </row>
        <row r="50">
          <cell r="C50" t="str">
            <v>Secador de Ar</v>
          </cell>
          <cell r="D50" t="str">
            <v>SCA</v>
          </cell>
        </row>
        <row r="51">
          <cell r="C51" t="str">
            <v>Sensor</v>
          </cell>
          <cell r="D51" t="str">
            <v>SEN</v>
          </cell>
        </row>
        <row r="52">
          <cell r="C52" t="str">
            <v>Sensor de Cloro</v>
          </cell>
          <cell r="D52" t="str">
            <v>SCL</v>
          </cell>
        </row>
        <row r="53">
          <cell r="C53" t="str">
            <v>Sensor de Condutividade</v>
          </cell>
          <cell r="D53" t="str">
            <v>SCD</v>
          </cell>
        </row>
        <row r="54">
          <cell r="C54" t="str">
            <v>Sensor de Oxigénio</v>
          </cell>
          <cell r="D54" t="str">
            <v>SOX</v>
          </cell>
        </row>
        <row r="55">
          <cell r="C55" t="str">
            <v>Sensor de Ozono</v>
          </cell>
          <cell r="D55" t="str">
            <v>SOZ</v>
          </cell>
        </row>
        <row r="56">
          <cell r="C56" t="str">
            <v>Sensor de pH</v>
          </cell>
          <cell r="D56" t="str">
            <v>SPH</v>
          </cell>
        </row>
        <row r="57">
          <cell r="C57" t="str">
            <v>Sensor de Pressão</v>
          </cell>
          <cell r="D57" t="str">
            <v>SPR</v>
          </cell>
        </row>
        <row r="58">
          <cell r="C58" t="str">
            <v>Sensor Ultrassónico</v>
          </cell>
          <cell r="D58" t="str">
            <v>SUL</v>
          </cell>
        </row>
        <row r="59">
          <cell r="C59" t="str">
            <v>Sistema de Cloro</v>
          </cell>
          <cell r="D59" t="str">
            <v>SCR</v>
          </cell>
        </row>
        <row r="60">
          <cell r="C60" t="str">
            <v>Sistema pneumático</v>
          </cell>
          <cell r="D60" t="str">
            <v>SPN</v>
          </cell>
        </row>
        <row r="61">
          <cell r="C61" t="str">
            <v>Sistema Refrigeração de ar</v>
          </cell>
          <cell r="D61" t="str">
            <v>SRA</v>
          </cell>
        </row>
        <row r="62">
          <cell r="C62" t="str">
            <v>Supressor</v>
          </cell>
          <cell r="D62" t="str">
            <v>SUP</v>
          </cell>
        </row>
        <row r="63">
          <cell r="C63" t="str">
            <v>Termómetro</v>
          </cell>
          <cell r="D63" t="str">
            <v>TER</v>
          </cell>
        </row>
        <row r="64">
          <cell r="C64" t="str">
            <v>Transformador</v>
          </cell>
          <cell r="D64" t="str">
            <v>TRA</v>
          </cell>
        </row>
        <row r="65">
          <cell r="C65" t="str">
            <v>Triturador</v>
          </cell>
          <cell r="D65" t="str">
            <v>TTD</v>
          </cell>
        </row>
        <row r="66">
          <cell r="C66" t="str">
            <v>Turbidímetro</v>
          </cell>
          <cell r="D66" t="str">
            <v>TUR</v>
          </cell>
        </row>
        <row r="67">
          <cell r="C67" t="str">
            <v>UPS</v>
          </cell>
          <cell r="D67" t="str">
            <v>UPS</v>
          </cell>
        </row>
        <row r="68">
          <cell r="C68" t="str">
            <v>Válvula</v>
          </cell>
          <cell r="D68" t="str">
            <v>VLV</v>
          </cell>
        </row>
        <row r="69">
          <cell r="C69" t="str">
            <v>Válvula de Descarga de Fundo</v>
          </cell>
          <cell r="D69" t="str">
            <v>VDF</v>
          </cell>
        </row>
        <row r="70">
          <cell r="C70" t="str">
            <v>Válvula de Descarga de Lama</v>
          </cell>
          <cell r="D70" t="str">
            <v>VDL</v>
          </cell>
        </row>
        <row r="71">
          <cell r="C71" t="str">
            <v>Válvula Descarga</v>
          </cell>
          <cell r="D71" t="str">
            <v>VDE</v>
          </cell>
        </row>
        <row r="72">
          <cell r="C72" t="str">
            <v>Válvula Mural</v>
          </cell>
          <cell r="D72" t="str">
            <v>MUR</v>
          </cell>
        </row>
        <row r="73">
          <cell r="C73" t="str">
            <v>Válvula Retenção</v>
          </cell>
          <cell r="D73" t="str">
            <v>VRE</v>
          </cell>
        </row>
        <row r="74">
          <cell r="C74" t="str">
            <v>Válvula Seccionamento</v>
          </cell>
          <cell r="D74" t="str">
            <v>VSE</v>
          </cell>
        </row>
        <row r="75">
          <cell r="C75" t="str">
            <v>Válvula Sucção</v>
          </cell>
          <cell r="D75" t="str">
            <v>VSU</v>
          </cell>
        </row>
        <row r="76">
          <cell r="C76" t="str">
            <v>Ventilador</v>
          </cell>
          <cell r="D76" t="str">
            <v>VEN</v>
          </cell>
        </row>
        <row r="77">
          <cell r="C77" t="str">
            <v>Ventosa</v>
          </cell>
          <cell r="D77" t="str">
            <v>VET</v>
          </cell>
        </row>
        <row r="78">
          <cell r="C78" t="str">
            <v>Vibrador de Cal</v>
          </cell>
          <cell r="D78" t="str">
            <v>VCA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803"/>
  <sheetViews>
    <sheetView tabSelected="1" topLeftCell="G96" workbookViewId="0">
      <selection activeCell="G118" sqref="G118"/>
    </sheetView>
  </sheetViews>
  <sheetFormatPr defaultRowHeight="16.8" customHeight="1" x14ac:dyDescent="0.3"/>
  <cols>
    <col min="2" max="2" width="25.109375" customWidth="1"/>
    <col min="3" max="3" width="31.88671875" customWidth="1"/>
    <col min="4" max="4" width="15.109375" customWidth="1"/>
    <col min="5" max="5" width="17.77734375" customWidth="1"/>
    <col min="6" max="7" width="16" customWidth="1"/>
    <col min="8" max="8" width="31.33203125" customWidth="1"/>
    <col min="9" max="9" width="17.109375" customWidth="1"/>
    <col min="10" max="10" width="9.33203125" customWidth="1"/>
    <col min="11" max="11" width="17.6640625" customWidth="1"/>
    <col min="12" max="12" width="9.109375" customWidth="1"/>
    <col min="13" max="13" width="10" customWidth="1"/>
    <col min="14" max="14" width="16.44140625" customWidth="1"/>
    <col min="15" max="15" width="16.5546875" customWidth="1"/>
    <col min="16" max="16" width="7.44140625" customWidth="1"/>
    <col min="17" max="17" width="46.5546875" customWidth="1"/>
    <col min="18" max="19" width="14.5546875" customWidth="1"/>
    <col min="20" max="20" width="10" style="4" customWidth="1"/>
    <col min="21" max="21" width="9.109375" customWidth="1"/>
    <col min="22" max="23" width="14.5546875" customWidth="1"/>
    <col min="24" max="24" width="8.109375" customWidth="1"/>
    <col min="25" max="25" width="11.44140625" customWidth="1"/>
    <col min="26" max="26" width="20.5546875" customWidth="1"/>
    <col min="27" max="27" width="12.88671875" style="8" customWidth="1"/>
    <col min="28" max="29" width="19.6640625" style="11" customWidth="1"/>
    <col min="30" max="30" width="15.21875" customWidth="1"/>
    <col min="31" max="31" width="15.44140625" customWidth="1"/>
    <col min="32" max="32" width="46.109375" customWidth="1"/>
    <col min="33" max="33" width="20" style="28" customWidth="1"/>
    <col min="34" max="34" width="38.6640625" customWidth="1"/>
    <col min="35" max="35" width="22" style="35" bestFit="1" customWidth="1"/>
    <col min="36" max="36" width="8.88671875" style="30"/>
    <col min="37" max="37" width="22" style="29" bestFit="1" customWidth="1"/>
  </cols>
  <sheetData>
    <row r="1" spans="1:37" ht="16.8" customHeight="1" x14ac:dyDescent="0.3">
      <c r="A1" t="s">
        <v>598</v>
      </c>
      <c r="B1" s="1" t="s">
        <v>195</v>
      </c>
      <c r="C1" s="1" t="s">
        <v>260</v>
      </c>
      <c r="D1" s="1" t="s">
        <v>257</v>
      </c>
      <c r="E1" s="1" t="s">
        <v>8</v>
      </c>
      <c r="F1" s="5" t="s">
        <v>301</v>
      </c>
      <c r="G1" s="5" t="s">
        <v>300</v>
      </c>
      <c r="H1" s="1" t="s">
        <v>261</v>
      </c>
      <c r="I1" s="5" t="s">
        <v>302</v>
      </c>
      <c r="J1" s="5" t="s">
        <v>303</v>
      </c>
      <c r="K1" s="1" t="s">
        <v>11</v>
      </c>
      <c r="L1" s="5" t="s">
        <v>304</v>
      </c>
      <c r="M1" s="5" t="s">
        <v>305</v>
      </c>
      <c r="N1" s="1" t="s">
        <v>0</v>
      </c>
      <c r="O1" s="5">
        <v>0</v>
      </c>
      <c r="P1" s="5" t="s">
        <v>306</v>
      </c>
      <c r="Q1" s="1" t="s">
        <v>1</v>
      </c>
      <c r="R1" s="5" t="s">
        <v>307</v>
      </c>
      <c r="S1" s="5" t="s">
        <v>308</v>
      </c>
      <c r="T1" s="19" t="s">
        <v>191</v>
      </c>
      <c r="U1" s="1" t="s">
        <v>259</v>
      </c>
      <c r="V1" s="1" t="s">
        <v>253</v>
      </c>
      <c r="W1" s="1" t="s">
        <v>254</v>
      </c>
      <c r="X1" s="1" t="s">
        <v>2</v>
      </c>
      <c r="Y1" s="1" t="s">
        <v>269</v>
      </c>
      <c r="Z1" s="21" t="s">
        <v>500</v>
      </c>
      <c r="AA1" s="6" t="s">
        <v>262</v>
      </c>
      <c r="AB1" s="7" t="s">
        <v>255</v>
      </c>
      <c r="AC1" s="7" t="s">
        <v>256</v>
      </c>
      <c r="AD1" s="1" t="s">
        <v>3</v>
      </c>
      <c r="AE1" s="1" t="s">
        <v>263</v>
      </c>
      <c r="AF1" s="1"/>
      <c r="AG1" s="27" t="s">
        <v>336</v>
      </c>
      <c r="AH1" s="1" t="s">
        <v>4</v>
      </c>
      <c r="AI1" s="34" t="s">
        <v>5</v>
      </c>
      <c r="AK1" s="31"/>
    </row>
    <row r="2" spans="1:37" ht="16.8" customHeight="1" x14ac:dyDescent="0.3">
      <c r="A2">
        <f t="shared" ref="A2:A6" si="0">LEN(B2)</f>
        <v>15</v>
      </c>
      <c r="B2" t="str">
        <f t="shared" ref="B2:B6" si="1">CONCATENATE(G2,J2,M2,P2,S2,T2)</f>
        <v>CD28BBG131BOM01</v>
      </c>
      <c r="C2" t="str">
        <f t="shared" ref="C2:C6" si="2">CONCATENATE(F2, "-", I2, "-", L2, "-", O2, "-", R2, "-", T2)</f>
        <v>CD-CHA-BBG-EBC-BOM-01</v>
      </c>
      <c r="E2" t="s">
        <v>37</v>
      </c>
      <c r="F2" t="str">
        <f>VLOOKUP(E2,Localizacoes!$A$3:$B$100,2,FALSE)</f>
        <v>CD</v>
      </c>
      <c r="G2" t="str">
        <f>VLOOKUP(E2,ID!$A$3:$B$100,2,FALSE)</f>
        <v>CD</v>
      </c>
      <c r="H2" s="14" t="s">
        <v>31</v>
      </c>
      <c r="I2" t="str">
        <f>VLOOKUP(H2,Localizacoes!$C$3:$D$100,2,FALSE)</f>
        <v>CHA</v>
      </c>
      <c r="J2">
        <f>VLOOKUP(H2,ID!$C$3:$D$100,2,FALSE)</f>
        <v>28</v>
      </c>
      <c r="K2" t="s">
        <v>274</v>
      </c>
      <c r="L2" t="str">
        <f>VLOOKUP(K2,Localizacoes!$E$3:$F$100,2,FALSE)</f>
        <v>BBG</v>
      </c>
      <c r="M2" t="str">
        <f>VLOOKUP(K2,ID!$E$3:$F$100,2,FALSE)</f>
        <v>BBG</v>
      </c>
      <c r="N2" t="s">
        <v>704</v>
      </c>
      <c r="O2" t="str">
        <f>VLOOKUP(N2,Localizacoes!$G$3:$H$100,2,FALSE)</f>
        <v>EBC</v>
      </c>
      <c r="P2">
        <f>VLOOKUP(N2,ID!$G$3:$H$100,2,FALSE)</f>
        <v>131</v>
      </c>
      <c r="Q2" t="s">
        <v>150</v>
      </c>
      <c r="R2" t="str">
        <f>VLOOKUP(Q2,Localizacoes!$I$3:$J$100,2,FALSE)</f>
        <v>BOM</v>
      </c>
      <c r="S2" t="str">
        <f>VLOOKUP(Q2,ID!$I$3:$J$100,2,FALSE)</f>
        <v>BOM</v>
      </c>
      <c r="T2" s="4" t="s">
        <v>182</v>
      </c>
      <c r="U2" t="s">
        <v>264</v>
      </c>
      <c r="V2" t="s">
        <v>1081</v>
      </c>
      <c r="X2" t="s">
        <v>6</v>
      </c>
      <c r="Y2" t="s">
        <v>270</v>
      </c>
      <c r="Z2" t="str">
        <f>Q2&amp;" "&amp; T2</f>
        <v>Bomba 01</v>
      </c>
      <c r="AA2">
        <v>2024</v>
      </c>
      <c r="AD2" s="23" t="s">
        <v>7</v>
      </c>
      <c r="AF2" t="str">
        <f t="shared" ref="AF2:AF6" si="3">_xlfn.CONCAT(N2,Q2)</f>
        <v>Electrobomba centrífugaBomba</v>
      </c>
      <c r="AG2" s="28" t="str">
        <f>VLOOKUP(AF2,Imagens!$C$2:$D$42,2,FALSE)</f>
        <v>65e96125c1d11</v>
      </c>
      <c r="AH2" t="str">
        <f>_xlfn.CONCAT(Imagens!$H$2,'registo_ativo-CDs (1)'!AG2)</f>
        <v>assets/imagens/products/65e96125c1d11</v>
      </c>
      <c r="AI2" s="67">
        <v>45310</v>
      </c>
      <c r="AK2" s="32"/>
    </row>
    <row r="3" spans="1:37" ht="16.8" customHeight="1" x14ac:dyDescent="0.3">
      <c r="A3">
        <f t="shared" si="0"/>
        <v>15</v>
      </c>
      <c r="B3" t="str">
        <f t="shared" si="1"/>
        <v>CD28BBG131MOT01</v>
      </c>
      <c r="C3" t="str">
        <f t="shared" si="2"/>
        <v>CD-CHA-BBG-EBC-MOT-01</v>
      </c>
      <c r="E3" t="s">
        <v>37</v>
      </c>
      <c r="F3" t="str">
        <f>VLOOKUP(E3,Localizacoes!$A$3:$B$100,2,FALSE)</f>
        <v>CD</v>
      </c>
      <c r="G3" t="str">
        <f>VLOOKUP(E3,ID!$A$3:$B$100,2,FALSE)</f>
        <v>CD</v>
      </c>
      <c r="H3" s="14" t="s">
        <v>31</v>
      </c>
      <c r="I3" t="str">
        <f>VLOOKUP(H3,Localizacoes!$C$3:$D$100,2,FALSE)</f>
        <v>CHA</v>
      </c>
      <c r="J3">
        <f>VLOOKUP(H3,ID!$C$3:$D$100,2,FALSE)</f>
        <v>28</v>
      </c>
      <c r="K3" t="s">
        <v>274</v>
      </c>
      <c r="L3" t="str">
        <f>VLOOKUP(K3,Localizacoes!$E$3:$F$100,2,FALSE)</f>
        <v>BBG</v>
      </c>
      <c r="M3" t="str">
        <f>VLOOKUP(K3,ID!$E$3:$F$100,2,FALSE)</f>
        <v>BBG</v>
      </c>
      <c r="N3" t="s">
        <v>704</v>
      </c>
      <c r="O3" t="str">
        <f>VLOOKUP(N3,Localizacoes!$G$3:$H$100,2,FALSE)</f>
        <v>EBC</v>
      </c>
      <c r="P3">
        <f>VLOOKUP(N3,ID!$G$3:$H$100,2,FALSE)</f>
        <v>131</v>
      </c>
      <c r="Q3" t="s">
        <v>21</v>
      </c>
      <c r="R3" t="str">
        <f>VLOOKUP(Q3,Localizacoes!$I$3:$J$100,2,FALSE)</f>
        <v>MOT</v>
      </c>
      <c r="S3" t="str">
        <f>VLOOKUP(Q3,ID!$I$3:$J$100,2,FALSE)</f>
        <v>MOT</v>
      </c>
      <c r="T3" s="4" t="s">
        <v>182</v>
      </c>
      <c r="U3" t="s">
        <v>265</v>
      </c>
      <c r="V3" t="s">
        <v>1082</v>
      </c>
      <c r="W3" t="s">
        <v>1083</v>
      </c>
      <c r="X3" t="s">
        <v>6</v>
      </c>
      <c r="Y3" t="s">
        <v>270</v>
      </c>
      <c r="Z3" t="str">
        <f t="shared" ref="Z3:Z6" si="4">Q3&amp;" "&amp; T3</f>
        <v>Motor 01</v>
      </c>
      <c r="AA3">
        <v>2024</v>
      </c>
      <c r="AD3" s="23" t="s">
        <v>7</v>
      </c>
      <c r="AF3" t="str">
        <f t="shared" si="3"/>
        <v>Electrobomba centrífugaMotor</v>
      </c>
      <c r="AG3" s="28" t="str">
        <f>VLOOKUP(AF3,Imagens!$C$2:$D$42,2,FALSE)</f>
        <v>65d04210323a4</v>
      </c>
      <c r="AH3" t="str">
        <f>_xlfn.CONCAT(Imagens!$H$2,'registo_ativo-CDs (1)'!AG3)</f>
        <v>assets/imagens/products/65d04210323a4</v>
      </c>
      <c r="AI3" s="67">
        <v>45310</v>
      </c>
      <c r="AK3" s="32"/>
    </row>
    <row r="4" spans="1:37" ht="16.8" customHeight="1" x14ac:dyDescent="0.3">
      <c r="A4">
        <f t="shared" si="0"/>
        <v>15</v>
      </c>
      <c r="B4" t="str">
        <f t="shared" si="1"/>
        <v>CD28BBG131QEA01</v>
      </c>
      <c r="C4" t="str">
        <f t="shared" si="2"/>
        <v>CD-CHA-BBG-EBC-QEA-01</v>
      </c>
      <c r="E4" t="s">
        <v>37</v>
      </c>
      <c r="F4" t="str">
        <f>VLOOKUP(E4,Localizacoes!$A$3:$B$100,2,FALSE)</f>
        <v>CD</v>
      </c>
      <c r="G4" t="str">
        <f>VLOOKUP(E4,ID!$A$3:$B$100,2,FALSE)</f>
        <v>CD</v>
      </c>
      <c r="H4" s="14" t="s">
        <v>31</v>
      </c>
      <c r="I4" t="str">
        <f>VLOOKUP(H4,Localizacoes!$C$3:$D$100,2,FALSE)</f>
        <v>CHA</v>
      </c>
      <c r="J4">
        <f>VLOOKUP(H4,ID!$C$3:$D$100,2,FALSE)</f>
        <v>28</v>
      </c>
      <c r="K4" t="s">
        <v>274</v>
      </c>
      <c r="L4" t="str">
        <f>VLOOKUP(K4,Localizacoes!$E$3:$F$100,2,FALSE)</f>
        <v>BBG</v>
      </c>
      <c r="M4" t="str">
        <f>VLOOKUP(K4,ID!$E$3:$F$100,2,FALSE)</f>
        <v>BBG</v>
      </c>
      <c r="N4" t="s">
        <v>704</v>
      </c>
      <c r="O4" t="str">
        <f>VLOOKUP(N4,Localizacoes!$G$3:$H$100,2,FALSE)</f>
        <v>EBC</v>
      </c>
      <c r="P4">
        <f>VLOOKUP(N4,ID!$G$3:$H$100,2,FALSE)</f>
        <v>131</v>
      </c>
      <c r="Q4" t="s">
        <v>154</v>
      </c>
      <c r="R4" t="str">
        <f>VLOOKUP(Q4,Localizacoes!$I$3:$J$100,2,FALSE)</f>
        <v>QEA</v>
      </c>
      <c r="S4" t="str">
        <f>VLOOKUP(Q4,ID!$I$3:$J$100,2,FALSE)</f>
        <v>QEA</v>
      </c>
      <c r="T4" s="4" t="s">
        <v>182</v>
      </c>
      <c r="U4" t="s">
        <v>265</v>
      </c>
      <c r="X4" t="s">
        <v>6</v>
      </c>
      <c r="Y4" t="s">
        <v>270</v>
      </c>
      <c r="Z4" t="str">
        <f t="shared" si="4"/>
        <v>Quadros Eléctricos de Arranque 01</v>
      </c>
      <c r="AA4">
        <v>2024</v>
      </c>
      <c r="AD4" s="23" t="s">
        <v>267</v>
      </c>
      <c r="AF4" t="str">
        <f t="shared" si="3"/>
        <v>Electrobomba centrífugaQuadros Eléctricos de Arranque</v>
      </c>
      <c r="AG4" s="28" t="str">
        <f>VLOOKUP(AF4,Imagens!$C$2:$D$42,2,FALSE)</f>
        <v>65e8d2fa35c12</v>
      </c>
      <c r="AH4" t="str">
        <f>_xlfn.CONCAT(Imagens!$H$2,'registo_ativo-CDs (1)'!AG4)</f>
        <v>assets/imagens/products/65e8d2fa35c12</v>
      </c>
      <c r="AI4" s="67">
        <v>45366</v>
      </c>
      <c r="AK4" s="32"/>
    </row>
    <row r="5" spans="1:37" ht="16.8" customHeight="1" x14ac:dyDescent="0.3">
      <c r="A5">
        <f t="shared" si="0"/>
        <v>15</v>
      </c>
      <c r="B5" t="str">
        <f t="shared" si="1"/>
        <v>CD28BBG131VSU01</v>
      </c>
      <c r="C5" t="str">
        <f t="shared" si="2"/>
        <v>CD-CHA-BBG-EBC-VSU-01</v>
      </c>
      <c r="E5" t="s">
        <v>37</v>
      </c>
      <c r="F5" t="str">
        <f>VLOOKUP(E5,Localizacoes!$A$3:$B$100,2,FALSE)</f>
        <v>CD</v>
      </c>
      <c r="G5" t="str">
        <f>VLOOKUP(E5,ID!$A$3:$B$100,2,FALSE)</f>
        <v>CD</v>
      </c>
      <c r="H5" s="14" t="s">
        <v>31</v>
      </c>
      <c r="I5" t="str">
        <f>VLOOKUP(H5,Localizacoes!$C$3:$D$100,2,FALSE)</f>
        <v>CHA</v>
      </c>
      <c r="J5">
        <f>VLOOKUP(H5,ID!$C$3:$D$100,2,FALSE)</f>
        <v>28</v>
      </c>
      <c r="K5" t="s">
        <v>274</v>
      </c>
      <c r="L5" t="str">
        <f>VLOOKUP(K5,Localizacoes!$E$3:$F$100,2,FALSE)</f>
        <v>BBG</v>
      </c>
      <c r="M5" t="str">
        <f>VLOOKUP(K5,ID!$E$3:$F$100,2,FALSE)</f>
        <v>BBG</v>
      </c>
      <c r="N5" t="s">
        <v>704</v>
      </c>
      <c r="O5" t="str">
        <f>VLOOKUP(N5,Localizacoes!$G$3:$H$100,2,FALSE)</f>
        <v>EBC</v>
      </c>
      <c r="P5">
        <f>VLOOKUP(N5,ID!$G$3:$H$100,2,FALSE)</f>
        <v>131</v>
      </c>
      <c r="Q5" t="s">
        <v>276</v>
      </c>
      <c r="R5" t="str">
        <f>VLOOKUP(Q5,Localizacoes!$I$3:$J$100,2,FALSE)</f>
        <v>VSU</v>
      </c>
      <c r="S5" t="str">
        <f>VLOOKUP(Q5,ID!$I$3:$J$100,2,FALSE)</f>
        <v>VSU</v>
      </c>
      <c r="T5" s="4" t="s">
        <v>182</v>
      </c>
      <c r="U5" t="s">
        <v>264</v>
      </c>
      <c r="X5" t="s">
        <v>6</v>
      </c>
      <c r="Y5" t="s">
        <v>270</v>
      </c>
      <c r="Z5" t="str">
        <f t="shared" si="4"/>
        <v>Válvula Sucção 01</v>
      </c>
      <c r="AA5">
        <v>2024</v>
      </c>
      <c r="AD5" s="23" t="s">
        <v>267</v>
      </c>
      <c r="AF5" t="str">
        <f t="shared" si="3"/>
        <v>Electrobomba centrífugaVálvula Sucção</v>
      </c>
      <c r="AG5" s="28" t="str">
        <f>VLOOKUP(AF5,Imagens!$C$2:$D$42,2,FALSE)</f>
        <v>65e8cda0676b7</v>
      </c>
      <c r="AH5" t="str">
        <f>_xlfn.CONCAT(Imagens!$H$2,'registo_ativo-CDs (1)'!AG5)</f>
        <v>assets/imagens/products/65e8cda0676b7</v>
      </c>
      <c r="AI5" s="67">
        <v>45366</v>
      </c>
      <c r="AK5" s="32"/>
    </row>
    <row r="6" spans="1:37" ht="16.8" customHeight="1" x14ac:dyDescent="0.3">
      <c r="A6">
        <f t="shared" si="0"/>
        <v>15</v>
      </c>
      <c r="B6" t="str">
        <f t="shared" si="1"/>
        <v>CD28BBG131VDE01</v>
      </c>
      <c r="C6" t="str">
        <f t="shared" si="2"/>
        <v>CD-CHA-BBG-EBC-VDE-01</v>
      </c>
      <c r="E6" t="s">
        <v>37</v>
      </c>
      <c r="F6" t="str">
        <f>VLOOKUP(E6,Localizacoes!$A$3:$B$100,2,FALSE)</f>
        <v>CD</v>
      </c>
      <c r="G6" t="str">
        <f>VLOOKUP(E6,ID!$A$3:$B$100,2,FALSE)</f>
        <v>CD</v>
      </c>
      <c r="H6" s="14" t="s">
        <v>31</v>
      </c>
      <c r="I6" t="str">
        <f>VLOOKUP(H6,Localizacoes!$C$3:$D$100,2,FALSE)</f>
        <v>CHA</v>
      </c>
      <c r="J6">
        <f>VLOOKUP(H6,ID!$C$3:$D$100,2,FALSE)</f>
        <v>28</v>
      </c>
      <c r="K6" t="s">
        <v>274</v>
      </c>
      <c r="L6" t="str">
        <f>VLOOKUP(K6,Localizacoes!$E$3:$F$100,2,FALSE)</f>
        <v>BBG</v>
      </c>
      <c r="M6" t="str">
        <f>VLOOKUP(K6,ID!$E$3:$F$100,2,FALSE)</f>
        <v>BBG</v>
      </c>
      <c r="N6" t="s">
        <v>704</v>
      </c>
      <c r="O6" t="str">
        <f>VLOOKUP(N6,Localizacoes!$G$3:$H$100,2,FALSE)</f>
        <v>EBC</v>
      </c>
      <c r="P6">
        <f>VLOOKUP(N6,ID!$G$3:$H$100,2,FALSE)</f>
        <v>131</v>
      </c>
      <c r="Q6" t="s">
        <v>279</v>
      </c>
      <c r="R6" t="str">
        <f>VLOOKUP(Q6,Localizacoes!$I$3:$J$100,2,FALSE)</f>
        <v>VDE</v>
      </c>
      <c r="S6" t="str">
        <f>VLOOKUP(Q6,ID!$I$3:$J$100,2,FALSE)</f>
        <v>VDE</v>
      </c>
      <c r="T6" s="4" t="s">
        <v>182</v>
      </c>
      <c r="U6" t="s">
        <v>264</v>
      </c>
      <c r="X6" t="s">
        <v>6</v>
      </c>
      <c r="Y6" t="s">
        <v>270</v>
      </c>
      <c r="Z6" t="str">
        <f t="shared" si="4"/>
        <v>Válvula Descarga 01</v>
      </c>
      <c r="AA6">
        <v>2024</v>
      </c>
      <c r="AD6" s="23" t="s">
        <v>267</v>
      </c>
      <c r="AF6" t="str">
        <f t="shared" si="3"/>
        <v>Electrobomba centrífugaVálvula Descarga</v>
      </c>
      <c r="AG6" s="28" t="str">
        <f>VLOOKUP(AF6,Imagens!$C$2:$D$42,2,FALSE)</f>
        <v>65e8cda0676b7</v>
      </c>
      <c r="AH6" t="str">
        <f>_xlfn.CONCAT(Imagens!$H$2,'registo_ativo-CDs (1)'!AG6)</f>
        <v>assets/imagens/products/65e8cda0676b7</v>
      </c>
      <c r="AI6" s="67">
        <v>45366</v>
      </c>
      <c r="AK6" s="32"/>
    </row>
    <row r="7" spans="1:37" ht="16.8" customHeight="1" x14ac:dyDescent="0.3">
      <c r="A7">
        <f t="shared" ref="A7:A22" si="5">LEN(B7)</f>
        <v>15</v>
      </c>
      <c r="B7" t="str">
        <f t="shared" ref="B7:B12" si="6">CONCATENATE(G7,J7,M7,P7,S7,T7)</f>
        <v>CD28BBG131BOM02</v>
      </c>
      <c r="C7" t="str">
        <f t="shared" ref="C7:C12" si="7">CONCATENATE(F7, "-", I7, "-", L7, "-", O7, "-", R7, "-", T7)</f>
        <v>CD-CHA-BBG-EBC-BOM-02</v>
      </c>
      <c r="E7" t="s">
        <v>37</v>
      </c>
      <c r="F7" t="str">
        <f>VLOOKUP(E7,Localizacoes!$A$3:$B$100,2,FALSE)</f>
        <v>CD</v>
      </c>
      <c r="G7" t="str">
        <f>VLOOKUP(E7,ID!$A$3:$B$100,2,FALSE)</f>
        <v>CD</v>
      </c>
      <c r="H7" s="14" t="s">
        <v>31</v>
      </c>
      <c r="I7" t="str">
        <f>VLOOKUP(H7,Localizacoes!$C$3:$D$100,2,FALSE)</f>
        <v>CHA</v>
      </c>
      <c r="J7">
        <f>VLOOKUP(H7,ID!$C$3:$D$100,2,FALSE)</f>
        <v>28</v>
      </c>
      <c r="K7" t="s">
        <v>274</v>
      </c>
      <c r="L7" t="str">
        <f>VLOOKUP(K7,Localizacoes!$E$3:$F$100,2,FALSE)</f>
        <v>BBG</v>
      </c>
      <c r="M7" t="str">
        <f>VLOOKUP(K7,ID!$E$3:$F$100,2,FALSE)</f>
        <v>BBG</v>
      </c>
      <c r="N7" t="s">
        <v>704</v>
      </c>
      <c r="O7" t="str">
        <f>VLOOKUP(N7,Localizacoes!$G$3:$H$100,2,FALSE)</f>
        <v>EBC</v>
      </c>
      <c r="P7">
        <f>VLOOKUP(N7,ID!$G$3:$H$100,2,FALSE)</f>
        <v>131</v>
      </c>
      <c r="Q7" t="s">
        <v>150</v>
      </c>
      <c r="R7" t="str">
        <f>VLOOKUP(Q7,Localizacoes!$I$3:$J$100,2,FALSE)</f>
        <v>BOM</v>
      </c>
      <c r="S7" t="str">
        <f>VLOOKUP(Q7,ID!$I$3:$J$100,2,FALSE)</f>
        <v>BOM</v>
      </c>
      <c r="T7" s="4" t="s">
        <v>186</v>
      </c>
      <c r="U7" t="s">
        <v>264</v>
      </c>
      <c r="V7" t="s">
        <v>381</v>
      </c>
      <c r="W7" t="s">
        <v>382</v>
      </c>
      <c r="X7" t="s">
        <v>6</v>
      </c>
      <c r="Y7" t="s">
        <v>270</v>
      </c>
      <c r="Z7" t="str">
        <f>Q7&amp;" "&amp; T7</f>
        <v>Bomba 02</v>
      </c>
      <c r="AA7">
        <v>2017</v>
      </c>
      <c r="AD7" s="23" t="s">
        <v>7</v>
      </c>
      <c r="AF7" t="str">
        <f t="shared" ref="AF7:AF12" si="8">_xlfn.CONCAT(N7,Q7)</f>
        <v>Electrobomba centrífugaBomba</v>
      </c>
      <c r="AG7" s="28" t="str">
        <f>VLOOKUP(AF7,Imagens!$C$2:$D$42,2,FALSE)</f>
        <v>65e96125c1d11</v>
      </c>
      <c r="AH7" t="str">
        <f>_xlfn.CONCAT(Imagens!$H$2,'registo_ativo-CDs (1)'!AG7)</f>
        <v>assets/imagens/products/65e96125c1d11</v>
      </c>
      <c r="AI7" s="67">
        <v>45310</v>
      </c>
      <c r="AK7" s="32"/>
    </row>
    <row r="8" spans="1:37" ht="16.8" customHeight="1" x14ac:dyDescent="0.3">
      <c r="A8">
        <f t="shared" si="5"/>
        <v>15</v>
      </c>
      <c r="B8" t="str">
        <f t="shared" si="6"/>
        <v>CD28BBG131MOT02</v>
      </c>
      <c r="C8" t="str">
        <f t="shared" si="7"/>
        <v>CD-CHA-BBG-EBC-MOT-02</v>
      </c>
      <c r="E8" t="s">
        <v>37</v>
      </c>
      <c r="F8" t="str">
        <f>VLOOKUP(E8,Localizacoes!$A$3:$B$100,2,FALSE)</f>
        <v>CD</v>
      </c>
      <c r="G8" t="str">
        <f>VLOOKUP(E8,ID!$A$3:$B$100,2,FALSE)</f>
        <v>CD</v>
      </c>
      <c r="H8" s="14" t="s">
        <v>31</v>
      </c>
      <c r="I8" t="str">
        <f>VLOOKUP(H8,Localizacoes!$C$3:$D$100,2,FALSE)</f>
        <v>CHA</v>
      </c>
      <c r="J8">
        <f>VLOOKUP(H8,ID!$C$3:$D$100,2,FALSE)</f>
        <v>28</v>
      </c>
      <c r="K8" t="s">
        <v>274</v>
      </c>
      <c r="L8" t="str">
        <f>VLOOKUP(K8,Localizacoes!$E$3:$F$100,2,FALSE)</f>
        <v>BBG</v>
      </c>
      <c r="M8" t="str">
        <f>VLOOKUP(K8,ID!$E$3:$F$100,2,FALSE)</f>
        <v>BBG</v>
      </c>
      <c r="N8" t="s">
        <v>704</v>
      </c>
      <c r="O8" t="str">
        <f>VLOOKUP(N8,Localizacoes!$G$3:$H$100,2,FALSE)</f>
        <v>EBC</v>
      </c>
      <c r="P8">
        <f>VLOOKUP(N8,ID!$G$3:$H$100,2,FALSE)</f>
        <v>131</v>
      </c>
      <c r="Q8" t="s">
        <v>21</v>
      </c>
      <c r="R8" t="str">
        <f>VLOOKUP(Q8,Localizacoes!$I$3:$J$100,2,FALSE)</f>
        <v>MOT</v>
      </c>
      <c r="S8" t="str">
        <f>VLOOKUP(Q8,ID!$I$3:$J$100,2,FALSE)</f>
        <v>MOT</v>
      </c>
      <c r="T8" s="4" t="s">
        <v>186</v>
      </c>
      <c r="U8" t="s">
        <v>265</v>
      </c>
      <c r="V8" t="s">
        <v>357</v>
      </c>
      <c r="W8" t="s">
        <v>383</v>
      </c>
      <c r="X8" t="s">
        <v>6</v>
      </c>
      <c r="Y8" t="s">
        <v>270</v>
      </c>
      <c r="Z8" t="str">
        <f t="shared" ref="Z8:Z75" si="9">Q8&amp;" "&amp; T8</f>
        <v>Motor 02</v>
      </c>
      <c r="AA8">
        <v>2017</v>
      </c>
      <c r="AD8" s="23" t="s">
        <v>7</v>
      </c>
      <c r="AF8" t="str">
        <f t="shared" si="8"/>
        <v>Electrobomba centrífugaMotor</v>
      </c>
      <c r="AG8" s="28" t="str">
        <f>VLOOKUP(AF8,Imagens!$C$2:$D$42,2,FALSE)</f>
        <v>65d04210323a4</v>
      </c>
      <c r="AH8" t="str">
        <f>_xlfn.CONCAT(Imagens!$H$2,'registo_ativo-CDs (1)'!AG8)</f>
        <v>assets/imagens/products/65d04210323a4</v>
      </c>
      <c r="AI8" s="67">
        <v>45310</v>
      </c>
      <c r="AK8" s="32"/>
    </row>
    <row r="9" spans="1:37" ht="16.8" customHeight="1" x14ac:dyDescent="0.3">
      <c r="A9">
        <f t="shared" si="5"/>
        <v>15</v>
      </c>
      <c r="B9" t="str">
        <f t="shared" si="6"/>
        <v>CD28BBG131QEA02</v>
      </c>
      <c r="C9" t="str">
        <f t="shared" si="7"/>
        <v>CD-CHA-BBG-EBC-QEA-02</v>
      </c>
      <c r="E9" t="s">
        <v>37</v>
      </c>
      <c r="F9" t="str">
        <f>VLOOKUP(E9,Localizacoes!$A$3:$B$100,2,FALSE)</f>
        <v>CD</v>
      </c>
      <c r="G9" t="str">
        <f>VLOOKUP(E9,ID!$A$3:$B$100,2,FALSE)</f>
        <v>CD</v>
      </c>
      <c r="H9" s="14" t="s">
        <v>31</v>
      </c>
      <c r="I9" t="str">
        <f>VLOOKUP(H9,Localizacoes!$C$3:$D$100,2,FALSE)</f>
        <v>CHA</v>
      </c>
      <c r="J9">
        <f>VLOOKUP(H9,ID!$C$3:$D$100,2,FALSE)</f>
        <v>28</v>
      </c>
      <c r="K9" t="s">
        <v>274</v>
      </c>
      <c r="L9" t="str">
        <f>VLOOKUP(K9,Localizacoes!$E$3:$F$100,2,FALSE)</f>
        <v>BBG</v>
      </c>
      <c r="M9" t="str">
        <f>VLOOKUP(K9,ID!$E$3:$F$100,2,FALSE)</f>
        <v>BBG</v>
      </c>
      <c r="N9" t="s">
        <v>704</v>
      </c>
      <c r="O9" t="str">
        <f>VLOOKUP(N9,Localizacoes!$G$3:$H$100,2,FALSE)</f>
        <v>EBC</v>
      </c>
      <c r="P9">
        <f>VLOOKUP(N9,ID!$G$3:$H$100,2,FALSE)</f>
        <v>131</v>
      </c>
      <c r="Q9" t="s">
        <v>154</v>
      </c>
      <c r="R9" t="str">
        <f>VLOOKUP(Q9,Localizacoes!$I$3:$J$100,2,FALSE)</f>
        <v>QEA</v>
      </c>
      <c r="S9" t="str">
        <f>VLOOKUP(Q9,ID!$I$3:$J$100,2,FALSE)</f>
        <v>QEA</v>
      </c>
      <c r="T9" s="4" t="s">
        <v>186</v>
      </c>
      <c r="U9" t="s">
        <v>265</v>
      </c>
      <c r="Y9" t="s">
        <v>270</v>
      </c>
      <c r="Z9" t="str">
        <f t="shared" si="9"/>
        <v>Quadros Eléctricos de Arranque 02</v>
      </c>
      <c r="AA9">
        <v>2017</v>
      </c>
      <c r="AD9" s="23" t="s">
        <v>267</v>
      </c>
      <c r="AF9" t="str">
        <f t="shared" si="8"/>
        <v>Electrobomba centrífugaQuadros Eléctricos de Arranque</v>
      </c>
      <c r="AG9" s="28" t="str">
        <f>VLOOKUP(AF9,Imagens!$C$2:$D$42,2,FALSE)</f>
        <v>65e8d2fa35c12</v>
      </c>
      <c r="AH9" t="str">
        <f>_xlfn.CONCAT(Imagens!$H$2,'registo_ativo-CDs (1)'!AG9)</f>
        <v>assets/imagens/products/65e8d2fa35c12</v>
      </c>
      <c r="AI9" s="67">
        <v>45366</v>
      </c>
      <c r="AK9" s="32"/>
    </row>
    <row r="10" spans="1:37" ht="16.8" customHeight="1" x14ac:dyDescent="0.3">
      <c r="A10">
        <f t="shared" si="5"/>
        <v>15</v>
      </c>
      <c r="B10" t="str">
        <f t="shared" si="6"/>
        <v>CD28BBG131VSU02</v>
      </c>
      <c r="C10" t="str">
        <f t="shared" si="7"/>
        <v>CD-CHA-BBG-EBC-VSU-02</v>
      </c>
      <c r="E10" t="s">
        <v>37</v>
      </c>
      <c r="F10" t="str">
        <f>VLOOKUP(E10,Localizacoes!$A$3:$B$100,2,FALSE)</f>
        <v>CD</v>
      </c>
      <c r="G10" t="str">
        <f>VLOOKUP(E10,ID!$A$3:$B$100,2,FALSE)</f>
        <v>CD</v>
      </c>
      <c r="H10" s="14" t="s">
        <v>31</v>
      </c>
      <c r="I10" t="str">
        <f>VLOOKUP(H10,Localizacoes!$C$3:$D$100,2,FALSE)</f>
        <v>CHA</v>
      </c>
      <c r="J10">
        <f>VLOOKUP(H10,ID!$C$3:$D$100,2,FALSE)</f>
        <v>28</v>
      </c>
      <c r="K10" t="s">
        <v>274</v>
      </c>
      <c r="L10" t="str">
        <f>VLOOKUP(K10,Localizacoes!$E$3:$F$100,2,FALSE)</f>
        <v>BBG</v>
      </c>
      <c r="M10" t="str">
        <f>VLOOKUP(K10,ID!$E$3:$F$100,2,FALSE)</f>
        <v>BBG</v>
      </c>
      <c r="N10" t="s">
        <v>704</v>
      </c>
      <c r="O10" t="str">
        <f>VLOOKUP(N10,Localizacoes!$G$3:$H$100,2,FALSE)</f>
        <v>EBC</v>
      </c>
      <c r="P10">
        <f>VLOOKUP(N10,ID!$G$3:$H$100,2,FALSE)</f>
        <v>131</v>
      </c>
      <c r="Q10" t="s">
        <v>276</v>
      </c>
      <c r="R10" t="str">
        <f>VLOOKUP(Q10,Localizacoes!$I$3:$J$100,2,FALSE)</f>
        <v>VSU</v>
      </c>
      <c r="S10" t="str">
        <f>VLOOKUP(Q10,ID!$I$3:$J$100,2,FALSE)</f>
        <v>VSU</v>
      </c>
      <c r="T10" s="4" t="s">
        <v>186</v>
      </c>
      <c r="U10" t="s">
        <v>264</v>
      </c>
      <c r="Y10" t="s">
        <v>270</v>
      </c>
      <c r="Z10" t="str">
        <f t="shared" si="9"/>
        <v>Válvula Sucção 02</v>
      </c>
      <c r="AA10">
        <v>2017</v>
      </c>
      <c r="AD10" s="23" t="s">
        <v>267</v>
      </c>
      <c r="AF10" t="str">
        <f t="shared" si="8"/>
        <v>Electrobomba centrífugaVálvula Sucção</v>
      </c>
      <c r="AG10" s="28" t="str">
        <f>VLOOKUP(AF10,Imagens!$C$2:$D$42,2,FALSE)</f>
        <v>65e8cda0676b7</v>
      </c>
      <c r="AH10" t="str">
        <f>_xlfn.CONCAT(Imagens!$H$2,'registo_ativo-CDs (1)'!AG10)</f>
        <v>assets/imagens/products/65e8cda0676b7</v>
      </c>
      <c r="AI10" s="67">
        <v>45366</v>
      </c>
      <c r="AK10" s="32"/>
    </row>
    <row r="11" spans="1:37" ht="16.8" customHeight="1" x14ac:dyDescent="0.3">
      <c r="A11">
        <f t="shared" si="5"/>
        <v>15</v>
      </c>
      <c r="B11" t="str">
        <f t="shared" si="6"/>
        <v>CD28BBG131VDE02</v>
      </c>
      <c r="C11" t="str">
        <f t="shared" si="7"/>
        <v>CD-CHA-BBG-EBC-VDE-02</v>
      </c>
      <c r="E11" t="s">
        <v>37</v>
      </c>
      <c r="F11" t="str">
        <f>VLOOKUP(E11,Localizacoes!$A$3:$B$100,2,FALSE)</f>
        <v>CD</v>
      </c>
      <c r="G11" t="str">
        <f>VLOOKUP(E11,ID!$A$3:$B$100,2,FALSE)</f>
        <v>CD</v>
      </c>
      <c r="H11" s="14" t="s">
        <v>31</v>
      </c>
      <c r="I11" t="str">
        <f>VLOOKUP(H11,Localizacoes!$C$3:$D$100,2,FALSE)</f>
        <v>CHA</v>
      </c>
      <c r="J11">
        <f>VLOOKUP(H11,ID!$C$3:$D$100,2,FALSE)</f>
        <v>28</v>
      </c>
      <c r="K11" t="s">
        <v>274</v>
      </c>
      <c r="L11" t="str">
        <f>VLOOKUP(K11,Localizacoes!$E$3:$F$100,2,FALSE)</f>
        <v>BBG</v>
      </c>
      <c r="M11" t="str">
        <f>VLOOKUP(K11,ID!$E$3:$F$100,2,FALSE)</f>
        <v>BBG</v>
      </c>
      <c r="N11" t="s">
        <v>704</v>
      </c>
      <c r="O11" t="str">
        <f>VLOOKUP(N11,Localizacoes!$G$3:$H$100,2,FALSE)</f>
        <v>EBC</v>
      </c>
      <c r="P11">
        <f>VLOOKUP(N11,ID!$G$3:$H$100,2,FALSE)</f>
        <v>131</v>
      </c>
      <c r="Q11" t="s">
        <v>279</v>
      </c>
      <c r="R11" t="str">
        <f>VLOOKUP(Q11,Localizacoes!$I$3:$J$100,2,FALSE)</f>
        <v>VDE</v>
      </c>
      <c r="S11" t="str">
        <f>VLOOKUP(Q11,ID!$I$3:$J$100,2,FALSE)</f>
        <v>VDE</v>
      </c>
      <c r="T11" s="4" t="s">
        <v>186</v>
      </c>
      <c r="U11" t="s">
        <v>264</v>
      </c>
      <c r="X11" t="s">
        <v>273</v>
      </c>
      <c r="Y11" t="s">
        <v>270</v>
      </c>
      <c r="Z11" t="str">
        <f t="shared" si="9"/>
        <v>Válvula Descarga 02</v>
      </c>
      <c r="AA11">
        <v>2017</v>
      </c>
      <c r="AD11" s="23" t="s">
        <v>267</v>
      </c>
      <c r="AF11" t="str">
        <f t="shared" si="8"/>
        <v>Electrobomba centrífugaVálvula Descarga</v>
      </c>
      <c r="AG11" s="28" t="str">
        <f>VLOOKUP(AF11,Imagens!$C$2:$D$42,2,FALSE)</f>
        <v>65e8cda0676b7</v>
      </c>
      <c r="AH11" t="str">
        <f>_xlfn.CONCAT(Imagens!$H$2,'registo_ativo-CDs (1)'!AG11)</f>
        <v>assets/imagens/products/65e8cda0676b7</v>
      </c>
      <c r="AI11" s="67">
        <v>45366</v>
      </c>
      <c r="AK11" s="32"/>
    </row>
    <row r="12" spans="1:37" ht="16.8" customHeight="1" x14ac:dyDescent="0.3">
      <c r="A12">
        <f t="shared" si="5"/>
        <v>15</v>
      </c>
      <c r="B12" t="str">
        <f t="shared" si="6"/>
        <v>CD28BBG131AEL02</v>
      </c>
      <c r="C12" t="str">
        <f t="shared" si="7"/>
        <v>CD-CHA-BBG-EBC-AEL-02</v>
      </c>
      <c r="E12" t="s">
        <v>37</v>
      </c>
      <c r="F12" t="str">
        <f>VLOOKUP(E12,Localizacoes!$A$3:$B$100,2,FALSE)</f>
        <v>CD</v>
      </c>
      <c r="G12" t="str">
        <f>VLOOKUP(E12,ID!$A$3:$B$100,2,FALSE)</f>
        <v>CD</v>
      </c>
      <c r="H12" s="14" t="s">
        <v>31</v>
      </c>
      <c r="I12" t="str">
        <f>VLOOKUP(H12,Localizacoes!$C$3:$D$100,2,FALSE)</f>
        <v>CHA</v>
      </c>
      <c r="J12">
        <f>VLOOKUP(H12,ID!$C$3:$D$100,2,FALSE)</f>
        <v>28</v>
      </c>
      <c r="K12" t="s">
        <v>274</v>
      </c>
      <c r="L12" t="str">
        <f>VLOOKUP(K12,Localizacoes!$E$3:$F$100,2,FALSE)</f>
        <v>BBG</v>
      </c>
      <c r="M12" t="str">
        <f>VLOOKUP(K12,ID!$E$3:$F$100,2,FALSE)</f>
        <v>BBG</v>
      </c>
      <c r="N12" t="s">
        <v>704</v>
      </c>
      <c r="O12" t="str">
        <f>VLOOKUP(N12,Localizacoes!$G$3:$H$100,2,FALSE)</f>
        <v>EBC</v>
      </c>
      <c r="P12">
        <f>VLOOKUP(N12,ID!$G$3:$H$100,2,FALSE)</f>
        <v>131</v>
      </c>
      <c r="Q12" t="s">
        <v>149</v>
      </c>
      <c r="R12" t="str">
        <f>VLOOKUP(Q12,Localizacoes!$I$3:$J$100,2,FALSE)</f>
        <v>AEL</v>
      </c>
      <c r="S12" t="str">
        <f>VLOOKUP(Q12,ID!$I$3:$J$100,2,FALSE)</f>
        <v>AEL</v>
      </c>
      <c r="T12" s="4" t="s">
        <v>186</v>
      </c>
      <c r="U12" t="s">
        <v>265</v>
      </c>
      <c r="Y12" t="s">
        <v>270</v>
      </c>
      <c r="Z12" t="str">
        <f t="shared" si="9"/>
        <v>Actuador Eléctrico 02</v>
      </c>
      <c r="AA12">
        <v>2017</v>
      </c>
      <c r="AD12" s="23" t="s">
        <v>267</v>
      </c>
      <c r="AF12" t="str">
        <f t="shared" si="8"/>
        <v>Electrobomba centrífugaActuador Eléctrico</v>
      </c>
      <c r="AG12" s="28" t="str">
        <f>VLOOKUP(AF12,Imagens!$C$2:$D$42,2,FALSE)</f>
        <v>65e8db8f62d7b</v>
      </c>
      <c r="AH12" t="str">
        <f>_xlfn.CONCAT(Imagens!$H$2,'registo_ativo-CDs (1)'!AG12)</f>
        <v>assets/imagens/products/65e8db8f62d7b</v>
      </c>
      <c r="AI12" s="67">
        <v>46461</v>
      </c>
      <c r="AK12" s="32"/>
    </row>
    <row r="13" spans="1:37" ht="16.8" customHeight="1" x14ac:dyDescent="0.3">
      <c r="A13">
        <f t="shared" si="5"/>
        <v>15</v>
      </c>
      <c r="B13" t="str">
        <f t="shared" ref="B13:B84" si="10">CONCATENATE(G13,J13,M13,P13,S13,T13)</f>
        <v>CD28BBG131BOM05</v>
      </c>
      <c r="C13" t="str">
        <f t="shared" ref="C13:C84" si="11">CONCATENATE(F13, "-", I13, "-", L13, "-", O13, "-", R13, "-", T13)</f>
        <v>CD-CHA-BBG-EBC-BOM-05</v>
      </c>
      <c r="E13" t="s">
        <v>37</v>
      </c>
      <c r="F13" t="str">
        <f>VLOOKUP(E13,Localizacoes!$A$3:$B$100,2,FALSE)</f>
        <v>CD</v>
      </c>
      <c r="G13" t="str">
        <f>VLOOKUP(E13,ID!$A$3:$B$100,2,FALSE)</f>
        <v>CD</v>
      </c>
      <c r="H13" s="14" t="s">
        <v>31</v>
      </c>
      <c r="I13" t="str">
        <f>VLOOKUP(H13,Localizacoes!$C$3:$D$100,2,FALSE)</f>
        <v>CHA</v>
      </c>
      <c r="J13">
        <f>VLOOKUP(H13,ID!$C$3:$D$100,2,FALSE)</f>
        <v>28</v>
      </c>
      <c r="K13" t="s">
        <v>274</v>
      </c>
      <c r="L13" t="str">
        <f>VLOOKUP(K13,Localizacoes!$E$3:$F$100,2,FALSE)</f>
        <v>BBG</v>
      </c>
      <c r="M13" t="str">
        <f>VLOOKUP(K13,ID!$E$3:$F$100,2,FALSE)</f>
        <v>BBG</v>
      </c>
      <c r="N13" t="s">
        <v>704</v>
      </c>
      <c r="O13" t="str">
        <f>VLOOKUP(N13,Localizacoes!$G$3:$H$100,2,FALSE)</f>
        <v>EBC</v>
      </c>
      <c r="P13">
        <f>VLOOKUP(N13,ID!$G$3:$H$100,2,FALSE)</f>
        <v>131</v>
      </c>
      <c r="Q13" t="s">
        <v>150</v>
      </c>
      <c r="R13" t="str">
        <f>VLOOKUP(Q13,Localizacoes!$I$3:$J$100,2,FALSE)</f>
        <v>BOM</v>
      </c>
      <c r="S13" t="str">
        <f>VLOOKUP(Q13,ID!$I$3:$J$100,2,FALSE)</f>
        <v>BOM</v>
      </c>
      <c r="T13" s="4" t="s">
        <v>189</v>
      </c>
      <c r="U13" t="s">
        <v>264</v>
      </c>
      <c r="V13" t="s">
        <v>384</v>
      </c>
      <c r="W13" t="s">
        <v>385</v>
      </c>
      <c r="Y13" t="s">
        <v>270</v>
      </c>
      <c r="Z13" t="str">
        <f t="shared" si="9"/>
        <v>Bomba 05</v>
      </c>
      <c r="AA13">
        <v>1971</v>
      </c>
      <c r="AD13" s="23" t="s">
        <v>7</v>
      </c>
      <c r="AF13" t="str">
        <f t="shared" ref="AF13:AF82" si="12">_xlfn.CONCAT(N13,Q13)</f>
        <v>Electrobomba centrífugaBomba</v>
      </c>
      <c r="AG13" s="28" t="str">
        <f>VLOOKUP(AF13,Imagens!$C$2:$D$42,2,FALSE)</f>
        <v>65e96125c1d11</v>
      </c>
      <c r="AH13" t="str">
        <f>_xlfn.CONCAT(Imagens!$H$2,'registo_ativo-CDs (1)'!AG13)</f>
        <v>assets/imagens/products/65e96125c1d11</v>
      </c>
      <c r="AI13" s="67">
        <v>45310</v>
      </c>
      <c r="AK13" s="32"/>
    </row>
    <row r="14" spans="1:37" ht="16.8" customHeight="1" x14ac:dyDescent="0.3">
      <c r="A14">
        <f t="shared" si="5"/>
        <v>15</v>
      </c>
      <c r="B14" t="str">
        <f t="shared" si="10"/>
        <v>CD28BBG131MOT05</v>
      </c>
      <c r="C14" t="str">
        <f t="shared" si="11"/>
        <v>CD-CHA-BBG-EBC-MOT-05</v>
      </c>
      <c r="E14" t="s">
        <v>37</v>
      </c>
      <c r="F14" t="str">
        <f>VLOOKUP(E14,Localizacoes!$A$3:$B$100,2,FALSE)</f>
        <v>CD</v>
      </c>
      <c r="G14" t="str">
        <f>VLOOKUP(E14,ID!$A$3:$B$100,2,FALSE)</f>
        <v>CD</v>
      </c>
      <c r="H14" s="14" t="s">
        <v>31</v>
      </c>
      <c r="I14" t="str">
        <f>VLOOKUP(H14,Localizacoes!$C$3:$D$100,2,FALSE)</f>
        <v>CHA</v>
      </c>
      <c r="J14">
        <f>VLOOKUP(H14,ID!$C$3:$D$100,2,FALSE)</f>
        <v>28</v>
      </c>
      <c r="K14" t="s">
        <v>274</v>
      </c>
      <c r="L14" t="str">
        <f>VLOOKUP(K14,Localizacoes!$E$3:$F$100,2,FALSE)</f>
        <v>BBG</v>
      </c>
      <c r="M14" t="str">
        <f>VLOOKUP(K14,ID!$E$3:$F$100,2,FALSE)</f>
        <v>BBG</v>
      </c>
      <c r="N14" t="s">
        <v>704</v>
      </c>
      <c r="O14" t="str">
        <f>VLOOKUP(N14,Localizacoes!$G$3:$H$100,2,FALSE)</f>
        <v>EBC</v>
      </c>
      <c r="P14">
        <f>VLOOKUP(N14,ID!$G$3:$H$100,2,FALSE)</f>
        <v>131</v>
      </c>
      <c r="Q14" t="s">
        <v>21</v>
      </c>
      <c r="R14" t="str">
        <f>VLOOKUP(Q14,Localizacoes!$I$3:$J$100,2,FALSE)</f>
        <v>MOT</v>
      </c>
      <c r="S14" t="str">
        <f>VLOOKUP(Q14,ID!$I$3:$J$100,2,FALSE)</f>
        <v>MOT</v>
      </c>
      <c r="T14" s="4" t="s">
        <v>189</v>
      </c>
      <c r="U14" t="s">
        <v>265</v>
      </c>
      <c r="V14" t="s">
        <v>384</v>
      </c>
      <c r="W14" t="s">
        <v>386</v>
      </c>
      <c r="Y14" t="s">
        <v>270</v>
      </c>
      <c r="Z14" t="str">
        <f t="shared" si="9"/>
        <v>Motor 05</v>
      </c>
      <c r="AA14">
        <v>1971</v>
      </c>
      <c r="AD14" s="23" t="s">
        <v>7</v>
      </c>
      <c r="AF14" t="str">
        <f t="shared" si="12"/>
        <v>Electrobomba centrífugaMotor</v>
      </c>
      <c r="AG14" s="28" t="str">
        <f>VLOOKUP(AF14,Imagens!$C$2:$D$42,2,FALSE)</f>
        <v>65d04210323a4</v>
      </c>
      <c r="AH14" t="str">
        <f>_xlfn.CONCAT(Imagens!$H$2,'registo_ativo-CDs (1)'!AG14)</f>
        <v>assets/imagens/products/65d04210323a4</v>
      </c>
      <c r="AI14" s="67">
        <v>45310</v>
      </c>
      <c r="AK14" s="32"/>
    </row>
    <row r="15" spans="1:37" ht="16.8" customHeight="1" x14ac:dyDescent="0.3">
      <c r="A15">
        <f t="shared" si="5"/>
        <v>15</v>
      </c>
      <c r="B15" t="str">
        <f t="shared" si="10"/>
        <v>CD28BBG131QEA05</v>
      </c>
      <c r="C15" t="str">
        <f t="shared" si="11"/>
        <v>CD-CHA-BBG-EBC-QEA-05</v>
      </c>
      <c r="E15" t="s">
        <v>37</v>
      </c>
      <c r="F15" t="str">
        <f>VLOOKUP(E15,Localizacoes!$A$3:$B$100,2,FALSE)</f>
        <v>CD</v>
      </c>
      <c r="G15" t="str">
        <f>VLOOKUP(E15,ID!$A$3:$B$100,2,FALSE)</f>
        <v>CD</v>
      </c>
      <c r="H15" s="14" t="s">
        <v>31</v>
      </c>
      <c r="I15" t="str">
        <f>VLOOKUP(H15,Localizacoes!$C$3:$D$100,2,FALSE)</f>
        <v>CHA</v>
      </c>
      <c r="J15">
        <f>VLOOKUP(H15,ID!$C$3:$D$100,2,FALSE)</f>
        <v>28</v>
      </c>
      <c r="K15" t="s">
        <v>274</v>
      </c>
      <c r="L15" t="str">
        <f>VLOOKUP(K15,Localizacoes!$E$3:$F$100,2,FALSE)</f>
        <v>BBG</v>
      </c>
      <c r="M15" t="str">
        <f>VLOOKUP(K15,ID!$E$3:$F$100,2,FALSE)</f>
        <v>BBG</v>
      </c>
      <c r="N15" t="s">
        <v>704</v>
      </c>
      <c r="O15" t="str">
        <f>VLOOKUP(N15,Localizacoes!$G$3:$H$100,2,FALSE)</f>
        <v>EBC</v>
      </c>
      <c r="P15">
        <f>VLOOKUP(N15,ID!$G$3:$H$100,2,FALSE)</f>
        <v>131</v>
      </c>
      <c r="Q15" t="s">
        <v>154</v>
      </c>
      <c r="R15" t="str">
        <f>VLOOKUP(Q15,Localizacoes!$I$3:$J$100,2,FALSE)</f>
        <v>QEA</v>
      </c>
      <c r="S15" t="str">
        <f>VLOOKUP(Q15,ID!$I$3:$J$100,2,FALSE)</f>
        <v>QEA</v>
      </c>
      <c r="T15" s="4" t="s">
        <v>189</v>
      </c>
      <c r="U15" t="s">
        <v>265</v>
      </c>
      <c r="X15" t="s">
        <v>6</v>
      </c>
      <c r="Y15" t="s">
        <v>270</v>
      </c>
      <c r="Z15" t="str">
        <f t="shared" si="9"/>
        <v>Quadros Eléctricos de Arranque 05</v>
      </c>
      <c r="AA15">
        <v>1971</v>
      </c>
      <c r="AD15" s="23" t="s">
        <v>267</v>
      </c>
      <c r="AF15" t="str">
        <f t="shared" si="12"/>
        <v>Electrobomba centrífugaQuadros Eléctricos de Arranque</v>
      </c>
      <c r="AG15" s="28" t="str">
        <f>VLOOKUP(AF15,Imagens!$C$2:$D$42,2,FALSE)</f>
        <v>65e8d2fa35c12</v>
      </c>
      <c r="AH15" t="str">
        <f>_xlfn.CONCAT(Imagens!$H$2,'registo_ativo-CDs (1)'!AG15)</f>
        <v>assets/imagens/products/65e8d2fa35c12</v>
      </c>
      <c r="AI15" s="67">
        <v>45366</v>
      </c>
      <c r="AK15" s="32"/>
    </row>
    <row r="16" spans="1:37" ht="16.8" customHeight="1" x14ac:dyDescent="0.3">
      <c r="A16">
        <f t="shared" si="5"/>
        <v>15</v>
      </c>
      <c r="B16" t="str">
        <f t="shared" si="10"/>
        <v>CD28BBG131VSU05</v>
      </c>
      <c r="C16" t="str">
        <f t="shared" si="11"/>
        <v>CD-CHA-BBG-EBC-VSU-05</v>
      </c>
      <c r="E16" t="s">
        <v>37</v>
      </c>
      <c r="F16" t="str">
        <f>VLOOKUP(E16,Localizacoes!$A$3:$B$100,2,FALSE)</f>
        <v>CD</v>
      </c>
      <c r="G16" t="str">
        <f>VLOOKUP(E16,ID!$A$3:$B$100,2,FALSE)</f>
        <v>CD</v>
      </c>
      <c r="H16" s="14" t="s">
        <v>31</v>
      </c>
      <c r="I16" t="str">
        <f>VLOOKUP(H16,Localizacoes!$C$3:$D$100,2,FALSE)</f>
        <v>CHA</v>
      </c>
      <c r="J16">
        <f>VLOOKUP(H16,ID!$C$3:$D$100,2,FALSE)</f>
        <v>28</v>
      </c>
      <c r="K16" t="s">
        <v>274</v>
      </c>
      <c r="L16" t="str">
        <f>VLOOKUP(K16,Localizacoes!$E$3:$F$100,2,FALSE)</f>
        <v>BBG</v>
      </c>
      <c r="M16" t="str">
        <f>VLOOKUP(K16,ID!$E$3:$F$100,2,FALSE)</f>
        <v>BBG</v>
      </c>
      <c r="N16" t="s">
        <v>704</v>
      </c>
      <c r="O16" t="str">
        <f>VLOOKUP(N16,Localizacoes!$G$3:$H$100,2,FALSE)</f>
        <v>EBC</v>
      </c>
      <c r="P16">
        <f>VLOOKUP(N16,ID!$G$3:$H$100,2,FALSE)</f>
        <v>131</v>
      </c>
      <c r="Q16" t="s">
        <v>276</v>
      </c>
      <c r="R16" t="str">
        <f>VLOOKUP(Q16,Localizacoes!$I$3:$J$100,2,FALSE)</f>
        <v>VSU</v>
      </c>
      <c r="S16" t="str">
        <f>VLOOKUP(Q16,ID!$I$3:$J$100,2,FALSE)</f>
        <v>VSU</v>
      </c>
      <c r="T16" s="4" t="s">
        <v>189</v>
      </c>
      <c r="U16" t="s">
        <v>264</v>
      </c>
      <c r="Y16" t="s">
        <v>270</v>
      </c>
      <c r="Z16" t="str">
        <f t="shared" si="9"/>
        <v>Válvula Sucção 05</v>
      </c>
      <c r="AA16">
        <v>1971</v>
      </c>
      <c r="AD16" s="23" t="s">
        <v>267</v>
      </c>
      <c r="AF16" t="str">
        <f t="shared" si="12"/>
        <v>Electrobomba centrífugaVálvula Sucção</v>
      </c>
      <c r="AG16" s="28" t="str">
        <f>VLOOKUP(AF16,Imagens!$C$2:$D$42,2,FALSE)</f>
        <v>65e8cda0676b7</v>
      </c>
      <c r="AH16" t="str">
        <f>_xlfn.CONCAT(Imagens!$H$2,'registo_ativo-CDs (1)'!AG16)</f>
        <v>assets/imagens/products/65e8cda0676b7</v>
      </c>
      <c r="AI16" s="67">
        <v>45366</v>
      </c>
      <c r="AK16" s="32"/>
    </row>
    <row r="17" spans="1:37" ht="16.8" customHeight="1" x14ac:dyDescent="0.3">
      <c r="A17">
        <f t="shared" si="5"/>
        <v>15</v>
      </c>
      <c r="B17" t="str">
        <f t="shared" si="10"/>
        <v>CD28BBG131VDE05</v>
      </c>
      <c r="C17" t="str">
        <f t="shared" si="11"/>
        <v>CD-CHA-BBG-EBC-VDE-05</v>
      </c>
      <c r="E17" t="s">
        <v>37</v>
      </c>
      <c r="F17" t="str">
        <f>VLOOKUP(E17,Localizacoes!$A$3:$B$100,2,FALSE)</f>
        <v>CD</v>
      </c>
      <c r="G17" t="str">
        <f>VLOOKUP(E17,ID!$A$3:$B$100,2,FALSE)</f>
        <v>CD</v>
      </c>
      <c r="H17" s="14" t="s">
        <v>31</v>
      </c>
      <c r="I17" t="str">
        <f>VLOOKUP(H17,Localizacoes!$C$3:$D$100,2,FALSE)</f>
        <v>CHA</v>
      </c>
      <c r="J17">
        <f>VLOOKUP(H17,ID!$C$3:$D$100,2,FALSE)</f>
        <v>28</v>
      </c>
      <c r="K17" t="s">
        <v>274</v>
      </c>
      <c r="L17" t="str">
        <f>VLOOKUP(K17,Localizacoes!$E$3:$F$100,2,FALSE)</f>
        <v>BBG</v>
      </c>
      <c r="M17" t="str">
        <f>VLOOKUP(K17,ID!$E$3:$F$100,2,FALSE)</f>
        <v>BBG</v>
      </c>
      <c r="N17" t="s">
        <v>704</v>
      </c>
      <c r="O17" t="str">
        <f>VLOOKUP(N17,Localizacoes!$G$3:$H$100,2,FALSE)</f>
        <v>EBC</v>
      </c>
      <c r="P17">
        <f>VLOOKUP(N17,ID!$G$3:$H$100,2,FALSE)</f>
        <v>131</v>
      </c>
      <c r="Q17" t="s">
        <v>279</v>
      </c>
      <c r="R17" t="str">
        <f>VLOOKUP(Q17,Localizacoes!$I$3:$J$100,2,FALSE)</f>
        <v>VDE</v>
      </c>
      <c r="S17" t="str">
        <f>VLOOKUP(Q17,ID!$I$3:$J$100,2,FALSE)</f>
        <v>VDE</v>
      </c>
      <c r="T17" s="4" t="s">
        <v>189</v>
      </c>
      <c r="U17" t="s">
        <v>264</v>
      </c>
      <c r="Y17" t="s">
        <v>270</v>
      </c>
      <c r="Z17" t="str">
        <f t="shared" si="9"/>
        <v>Válvula Descarga 05</v>
      </c>
      <c r="AA17">
        <v>1971</v>
      </c>
      <c r="AD17" s="23" t="s">
        <v>267</v>
      </c>
      <c r="AF17" t="str">
        <f t="shared" si="12"/>
        <v>Electrobomba centrífugaVálvula Descarga</v>
      </c>
      <c r="AG17" s="28" t="str">
        <f>VLOOKUP(AF17,Imagens!$C$2:$D$42,2,FALSE)</f>
        <v>65e8cda0676b7</v>
      </c>
      <c r="AH17" t="str">
        <f>_xlfn.CONCAT(Imagens!$H$2,'registo_ativo-CDs (1)'!AG17)</f>
        <v>assets/imagens/products/65e8cda0676b7</v>
      </c>
      <c r="AI17" s="67">
        <v>45366</v>
      </c>
      <c r="AK17" s="32"/>
    </row>
    <row r="18" spans="1:37" ht="16.8" customHeight="1" x14ac:dyDescent="0.3">
      <c r="A18">
        <f t="shared" si="5"/>
        <v>15</v>
      </c>
      <c r="B18" t="str">
        <f t="shared" si="10"/>
        <v>CD28BBG131BOM06</v>
      </c>
      <c r="C18" t="str">
        <f t="shared" si="11"/>
        <v>CD-CHA-BBG-EBC-BOM-06</v>
      </c>
      <c r="E18" t="s">
        <v>37</v>
      </c>
      <c r="F18" t="str">
        <f>VLOOKUP(E18,Localizacoes!$A$3:$B$100,2,FALSE)</f>
        <v>CD</v>
      </c>
      <c r="G18" t="str">
        <f>VLOOKUP(E18,ID!$A$3:$B$100,2,FALSE)</f>
        <v>CD</v>
      </c>
      <c r="H18" s="14" t="s">
        <v>31</v>
      </c>
      <c r="I18" t="str">
        <f>VLOOKUP(H18,Localizacoes!$C$3:$D$100,2,FALSE)</f>
        <v>CHA</v>
      </c>
      <c r="J18">
        <f>VLOOKUP(H18,ID!$C$3:$D$100,2,FALSE)</f>
        <v>28</v>
      </c>
      <c r="K18" t="s">
        <v>274</v>
      </c>
      <c r="L18" t="str">
        <f>VLOOKUP(K18,Localizacoes!$E$3:$F$100,2,FALSE)</f>
        <v>BBG</v>
      </c>
      <c r="M18" t="str">
        <f>VLOOKUP(K18,ID!$E$3:$F$100,2,FALSE)</f>
        <v>BBG</v>
      </c>
      <c r="N18" t="s">
        <v>704</v>
      </c>
      <c r="O18" t="str">
        <f>VLOOKUP(N18,Localizacoes!$G$3:$H$100,2,FALSE)</f>
        <v>EBC</v>
      </c>
      <c r="P18">
        <f>VLOOKUP(N18,ID!$G$3:$H$100,2,FALSE)</f>
        <v>131</v>
      </c>
      <c r="Q18" t="s">
        <v>150</v>
      </c>
      <c r="R18" t="str">
        <f>VLOOKUP(Q18,Localizacoes!$I$3:$J$100,2,FALSE)</f>
        <v>BOM</v>
      </c>
      <c r="S18" t="str">
        <f>VLOOKUP(Q18,ID!$I$3:$J$100,2,FALSE)</f>
        <v>BOM</v>
      </c>
      <c r="T18" s="4" t="s">
        <v>190</v>
      </c>
      <c r="U18" t="s">
        <v>264</v>
      </c>
      <c r="V18" t="s">
        <v>1081</v>
      </c>
      <c r="X18" t="s">
        <v>273</v>
      </c>
      <c r="Y18" t="s">
        <v>270</v>
      </c>
      <c r="Z18" t="str">
        <f>Q18&amp;" "&amp; T18</f>
        <v>Bomba 06</v>
      </c>
      <c r="AA18">
        <v>2024</v>
      </c>
      <c r="AD18" s="23" t="s">
        <v>7</v>
      </c>
      <c r="AF18" t="str">
        <f t="shared" si="12"/>
        <v>Electrobomba centrífugaBomba</v>
      </c>
      <c r="AG18" s="28" t="str">
        <f>VLOOKUP(AF18,Imagens!$C$2:$D$42,2,FALSE)</f>
        <v>65e96125c1d11</v>
      </c>
      <c r="AH18" t="str">
        <f>_xlfn.CONCAT(Imagens!$H$2,'registo_ativo-CDs (1)'!AG18)</f>
        <v>assets/imagens/products/65e96125c1d11</v>
      </c>
      <c r="AI18" s="67">
        <v>45310</v>
      </c>
      <c r="AK18" s="32"/>
    </row>
    <row r="19" spans="1:37" ht="16.8" customHeight="1" x14ac:dyDescent="0.3">
      <c r="A19">
        <f t="shared" si="5"/>
        <v>15</v>
      </c>
      <c r="B19" t="str">
        <f t="shared" si="10"/>
        <v>CD28BBG131MOT06</v>
      </c>
      <c r="C19" t="str">
        <f t="shared" si="11"/>
        <v>CD-CHA-BBG-EBC-MOT-06</v>
      </c>
      <c r="E19" t="s">
        <v>37</v>
      </c>
      <c r="F19" t="str">
        <f>VLOOKUP(E19,Localizacoes!$A$3:$B$100,2,FALSE)</f>
        <v>CD</v>
      </c>
      <c r="G19" t="str">
        <f>VLOOKUP(E19,ID!$A$3:$B$100,2,FALSE)</f>
        <v>CD</v>
      </c>
      <c r="H19" s="14" t="s">
        <v>31</v>
      </c>
      <c r="I19" t="str">
        <f>VLOOKUP(H19,Localizacoes!$C$3:$D$100,2,FALSE)</f>
        <v>CHA</v>
      </c>
      <c r="J19">
        <f>VLOOKUP(H19,ID!$C$3:$D$100,2,FALSE)</f>
        <v>28</v>
      </c>
      <c r="K19" t="s">
        <v>274</v>
      </c>
      <c r="L19" t="str">
        <f>VLOOKUP(K19,Localizacoes!$E$3:$F$100,2,FALSE)</f>
        <v>BBG</v>
      </c>
      <c r="M19" t="str">
        <f>VLOOKUP(K19,ID!$E$3:$F$100,2,FALSE)</f>
        <v>BBG</v>
      </c>
      <c r="N19" t="s">
        <v>704</v>
      </c>
      <c r="O19" t="str">
        <f>VLOOKUP(N19,Localizacoes!$G$3:$H$100,2,FALSE)</f>
        <v>EBC</v>
      </c>
      <c r="P19">
        <f>VLOOKUP(N19,ID!$G$3:$H$100,2,FALSE)</f>
        <v>131</v>
      </c>
      <c r="Q19" t="s">
        <v>21</v>
      </c>
      <c r="R19" t="str">
        <f>VLOOKUP(Q19,Localizacoes!$I$3:$J$100,2,FALSE)</f>
        <v>MOT</v>
      </c>
      <c r="S19" t="str">
        <f>VLOOKUP(Q19,ID!$I$3:$J$100,2,FALSE)</f>
        <v>MOT</v>
      </c>
      <c r="T19" s="4" t="s">
        <v>190</v>
      </c>
      <c r="U19" t="s">
        <v>265</v>
      </c>
      <c r="V19" t="s">
        <v>1082</v>
      </c>
      <c r="W19" t="s">
        <v>1083</v>
      </c>
      <c r="X19" t="s">
        <v>273</v>
      </c>
      <c r="Y19" t="s">
        <v>270</v>
      </c>
      <c r="Z19" t="str">
        <f t="shared" ref="Z19:Z22" si="13">Q19&amp;" "&amp; T19</f>
        <v>Motor 06</v>
      </c>
      <c r="AA19">
        <v>2024</v>
      </c>
      <c r="AD19" s="23" t="s">
        <v>7</v>
      </c>
      <c r="AF19" t="str">
        <f t="shared" si="12"/>
        <v>Electrobomba centrífugaMotor</v>
      </c>
      <c r="AG19" s="28" t="str">
        <f>VLOOKUP(AF19,Imagens!$C$2:$D$42,2,FALSE)</f>
        <v>65d04210323a4</v>
      </c>
      <c r="AH19" t="str">
        <f>_xlfn.CONCAT(Imagens!$H$2,'registo_ativo-CDs (1)'!AG19)</f>
        <v>assets/imagens/products/65d04210323a4</v>
      </c>
      <c r="AI19" s="67">
        <v>45310</v>
      </c>
      <c r="AK19" s="32"/>
    </row>
    <row r="20" spans="1:37" ht="16.8" customHeight="1" x14ac:dyDescent="0.3">
      <c r="A20">
        <f t="shared" si="5"/>
        <v>15</v>
      </c>
      <c r="B20" t="str">
        <f t="shared" si="10"/>
        <v>CD28BBG131QEA06</v>
      </c>
      <c r="C20" t="str">
        <f t="shared" si="11"/>
        <v>CD-CHA-BBG-EBC-QEA-06</v>
      </c>
      <c r="E20" t="s">
        <v>37</v>
      </c>
      <c r="F20" t="str">
        <f>VLOOKUP(E20,Localizacoes!$A$3:$B$100,2,FALSE)</f>
        <v>CD</v>
      </c>
      <c r="G20" t="str">
        <f>VLOOKUP(E20,ID!$A$3:$B$100,2,FALSE)</f>
        <v>CD</v>
      </c>
      <c r="H20" s="14" t="s">
        <v>31</v>
      </c>
      <c r="I20" t="str">
        <f>VLOOKUP(H20,Localizacoes!$C$3:$D$100,2,FALSE)</f>
        <v>CHA</v>
      </c>
      <c r="J20">
        <f>VLOOKUP(H20,ID!$C$3:$D$100,2,FALSE)</f>
        <v>28</v>
      </c>
      <c r="K20" t="s">
        <v>274</v>
      </c>
      <c r="L20" t="str">
        <f>VLOOKUP(K20,Localizacoes!$E$3:$F$100,2,FALSE)</f>
        <v>BBG</v>
      </c>
      <c r="M20" t="str">
        <f>VLOOKUP(K20,ID!$E$3:$F$100,2,FALSE)</f>
        <v>BBG</v>
      </c>
      <c r="N20" t="s">
        <v>704</v>
      </c>
      <c r="O20" t="str">
        <f>VLOOKUP(N20,Localizacoes!$G$3:$H$100,2,FALSE)</f>
        <v>EBC</v>
      </c>
      <c r="P20">
        <f>VLOOKUP(N20,ID!$G$3:$H$100,2,FALSE)</f>
        <v>131</v>
      </c>
      <c r="Q20" t="s">
        <v>154</v>
      </c>
      <c r="R20" t="str">
        <f>VLOOKUP(Q20,Localizacoes!$I$3:$J$100,2,FALSE)</f>
        <v>QEA</v>
      </c>
      <c r="S20" t="str">
        <f>VLOOKUP(Q20,ID!$I$3:$J$100,2,FALSE)</f>
        <v>QEA</v>
      </c>
      <c r="T20" s="4" t="s">
        <v>190</v>
      </c>
      <c r="U20" t="s">
        <v>265</v>
      </c>
      <c r="X20" t="s">
        <v>273</v>
      </c>
      <c r="Y20" t="s">
        <v>270</v>
      </c>
      <c r="Z20" t="str">
        <f t="shared" si="13"/>
        <v>Quadros Eléctricos de Arranque 06</v>
      </c>
      <c r="AA20">
        <v>2024</v>
      </c>
      <c r="AD20" s="23" t="s">
        <v>267</v>
      </c>
      <c r="AF20" t="str">
        <f t="shared" si="12"/>
        <v>Electrobomba centrífugaQuadros Eléctricos de Arranque</v>
      </c>
      <c r="AG20" s="28" t="str">
        <f>VLOOKUP(AF20,Imagens!$C$2:$D$42,2,FALSE)</f>
        <v>65e8d2fa35c12</v>
      </c>
      <c r="AH20" t="str">
        <f>_xlfn.CONCAT(Imagens!$H$2,'registo_ativo-CDs (1)'!AG20)</f>
        <v>assets/imagens/products/65e8d2fa35c12</v>
      </c>
      <c r="AI20" s="67">
        <v>45366</v>
      </c>
      <c r="AK20" s="32"/>
    </row>
    <row r="21" spans="1:37" ht="16.8" customHeight="1" x14ac:dyDescent="0.3">
      <c r="A21">
        <f t="shared" si="5"/>
        <v>15</v>
      </c>
      <c r="B21" t="str">
        <f t="shared" si="10"/>
        <v>CD28BBG131VSU06</v>
      </c>
      <c r="C21" t="str">
        <f t="shared" si="11"/>
        <v>CD-CHA-BBG-EBC-VSU-06</v>
      </c>
      <c r="E21" t="s">
        <v>37</v>
      </c>
      <c r="F21" t="str">
        <f>VLOOKUP(E21,Localizacoes!$A$3:$B$100,2,FALSE)</f>
        <v>CD</v>
      </c>
      <c r="G21" t="str">
        <f>VLOOKUP(E21,ID!$A$3:$B$100,2,FALSE)</f>
        <v>CD</v>
      </c>
      <c r="H21" s="14" t="s">
        <v>31</v>
      </c>
      <c r="I21" t="str">
        <f>VLOOKUP(H21,Localizacoes!$C$3:$D$100,2,FALSE)</f>
        <v>CHA</v>
      </c>
      <c r="J21">
        <f>VLOOKUP(H21,ID!$C$3:$D$100,2,FALSE)</f>
        <v>28</v>
      </c>
      <c r="K21" t="s">
        <v>274</v>
      </c>
      <c r="L21" t="str">
        <f>VLOOKUP(K21,Localizacoes!$E$3:$F$100,2,FALSE)</f>
        <v>BBG</v>
      </c>
      <c r="M21" t="str">
        <f>VLOOKUP(K21,ID!$E$3:$F$100,2,FALSE)</f>
        <v>BBG</v>
      </c>
      <c r="N21" t="s">
        <v>704</v>
      </c>
      <c r="O21" t="str">
        <f>VLOOKUP(N21,Localizacoes!$G$3:$H$100,2,FALSE)</f>
        <v>EBC</v>
      </c>
      <c r="P21">
        <f>VLOOKUP(N21,ID!$G$3:$H$100,2,FALSE)</f>
        <v>131</v>
      </c>
      <c r="Q21" t="s">
        <v>276</v>
      </c>
      <c r="R21" t="str">
        <f>VLOOKUP(Q21,Localizacoes!$I$3:$J$100,2,FALSE)</f>
        <v>VSU</v>
      </c>
      <c r="S21" t="str">
        <f>VLOOKUP(Q21,ID!$I$3:$J$100,2,FALSE)</f>
        <v>VSU</v>
      </c>
      <c r="T21" s="4" t="s">
        <v>190</v>
      </c>
      <c r="U21" t="s">
        <v>264</v>
      </c>
      <c r="X21" t="s">
        <v>273</v>
      </c>
      <c r="Y21" t="s">
        <v>270</v>
      </c>
      <c r="Z21" t="str">
        <f t="shared" si="13"/>
        <v>Válvula Sucção 06</v>
      </c>
      <c r="AA21">
        <v>2024</v>
      </c>
      <c r="AD21" s="23" t="s">
        <v>267</v>
      </c>
      <c r="AF21" t="str">
        <f t="shared" si="12"/>
        <v>Electrobomba centrífugaVálvula Sucção</v>
      </c>
      <c r="AG21" s="28" t="str">
        <f>VLOOKUP(AF21,Imagens!$C$2:$D$42,2,FALSE)</f>
        <v>65e8cda0676b7</v>
      </c>
      <c r="AH21" t="str">
        <f>_xlfn.CONCAT(Imagens!$H$2,'registo_ativo-CDs (1)'!AG21)</f>
        <v>assets/imagens/products/65e8cda0676b7</v>
      </c>
      <c r="AI21" s="67">
        <v>45366</v>
      </c>
      <c r="AK21" s="32"/>
    </row>
    <row r="22" spans="1:37" ht="16.8" customHeight="1" x14ac:dyDescent="0.3">
      <c r="A22">
        <f t="shared" si="5"/>
        <v>15</v>
      </c>
      <c r="B22" t="str">
        <f t="shared" si="10"/>
        <v>CD28BBG131VDE06</v>
      </c>
      <c r="C22" t="str">
        <f t="shared" si="11"/>
        <v>CD-CHA-BBG-EBC-VDE-06</v>
      </c>
      <c r="E22" t="s">
        <v>37</v>
      </c>
      <c r="F22" t="str">
        <f>VLOOKUP(E22,Localizacoes!$A$3:$B$100,2,FALSE)</f>
        <v>CD</v>
      </c>
      <c r="G22" t="str">
        <f>VLOOKUP(E22,ID!$A$3:$B$100,2,FALSE)</f>
        <v>CD</v>
      </c>
      <c r="H22" s="14" t="s">
        <v>31</v>
      </c>
      <c r="I22" t="str">
        <f>VLOOKUP(H22,Localizacoes!$C$3:$D$100,2,FALSE)</f>
        <v>CHA</v>
      </c>
      <c r="J22">
        <f>VLOOKUP(H22,ID!$C$3:$D$100,2,FALSE)</f>
        <v>28</v>
      </c>
      <c r="K22" t="s">
        <v>274</v>
      </c>
      <c r="L22" t="str">
        <f>VLOOKUP(K22,Localizacoes!$E$3:$F$100,2,FALSE)</f>
        <v>BBG</v>
      </c>
      <c r="M22" t="str">
        <f>VLOOKUP(K22,ID!$E$3:$F$100,2,FALSE)</f>
        <v>BBG</v>
      </c>
      <c r="N22" t="s">
        <v>704</v>
      </c>
      <c r="O22" t="str">
        <f>VLOOKUP(N22,Localizacoes!$G$3:$H$100,2,FALSE)</f>
        <v>EBC</v>
      </c>
      <c r="P22">
        <f>VLOOKUP(N22,ID!$G$3:$H$100,2,FALSE)</f>
        <v>131</v>
      </c>
      <c r="Q22" t="s">
        <v>279</v>
      </c>
      <c r="R22" t="str">
        <f>VLOOKUP(Q22,Localizacoes!$I$3:$J$100,2,FALSE)</f>
        <v>VDE</v>
      </c>
      <c r="S22" t="str">
        <f>VLOOKUP(Q22,ID!$I$3:$J$100,2,FALSE)</f>
        <v>VDE</v>
      </c>
      <c r="T22" s="4" t="s">
        <v>190</v>
      </c>
      <c r="U22" t="s">
        <v>264</v>
      </c>
      <c r="X22" t="s">
        <v>273</v>
      </c>
      <c r="Y22" t="s">
        <v>270</v>
      </c>
      <c r="Z22" t="str">
        <f t="shared" si="13"/>
        <v>Válvula Descarga 06</v>
      </c>
      <c r="AA22">
        <v>2024</v>
      </c>
      <c r="AD22" s="23" t="s">
        <v>267</v>
      </c>
      <c r="AF22" t="str">
        <f t="shared" si="12"/>
        <v>Electrobomba centrífugaVálvula Descarga</v>
      </c>
      <c r="AG22" s="28" t="str">
        <f>VLOOKUP(AF22,Imagens!$C$2:$D$42,2,FALSE)</f>
        <v>65e8cda0676b7</v>
      </c>
      <c r="AH22" t="str">
        <f>_xlfn.CONCAT(Imagens!$H$2,'registo_ativo-CDs (1)'!AG22)</f>
        <v>assets/imagens/products/65e8cda0676b7</v>
      </c>
      <c r="AI22" s="67">
        <v>45366</v>
      </c>
      <c r="AK22" s="32"/>
    </row>
    <row r="23" spans="1:37" ht="16.8" customHeight="1" x14ac:dyDescent="0.3">
      <c r="A23">
        <f t="shared" ref="A23:A89" si="14">LEN(B23)</f>
        <v>15</v>
      </c>
      <c r="B23" t="str">
        <f t="shared" si="10"/>
        <v>CD28BBG131BOM07</v>
      </c>
      <c r="C23" t="str">
        <f t="shared" si="11"/>
        <v>CD-CHA-BBG-EBC-BOM-07</v>
      </c>
      <c r="E23" t="s">
        <v>37</v>
      </c>
      <c r="F23" t="str">
        <f>VLOOKUP(E23,Localizacoes!$A$3:$B$100,2,FALSE)</f>
        <v>CD</v>
      </c>
      <c r="G23" t="str">
        <f>VLOOKUP(E23,ID!$A$3:$B$100,2,FALSE)</f>
        <v>CD</v>
      </c>
      <c r="H23" s="14" t="s">
        <v>31</v>
      </c>
      <c r="I23" t="str">
        <f>VLOOKUP(H23,Localizacoes!$C$3:$D$100,2,FALSE)</f>
        <v>CHA</v>
      </c>
      <c r="J23">
        <f>VLOOKUP(H23,ID!$C$3:$D$100,2,FALSE)</f>
        <v>28</v>
      </c>
      <c r="K23" t="s">
        <v>274</v>
      </c>
      <c r="L23" t="str">
        <f>VLOOKUP(K23,Localizacoes!$E$3:$F$100,2,FALSE)</f>
        <v>BBG</v>
      </c>
      <c r="M23" t="str">
        <f>VLOOKUP(K23,ID!$E$3:$F$100,2,FALSE)</f>
        <v>BBG</v>
      </c>
      <c r="N23" t="s">
        <v>704</v>
      </c>
      <c r="O23" t="str">
        <f>VLOOKUP(N23,Localizacoes!$G$3:$H$100,2,FALSE)</f>
        <v>EBC</v>
      </c>
      <c r="P23">
        <f>VLOOKUP(N23,ID!$G$3:$H$100,2,FALSE)</f>
        <v>131</v>
      </c>
      <c r="Q23" t="s">
        <v>150</v>
      </c>
      <c r="R23" t="str">
        <f>VLOOKUP(Q23,Localizacoes!$I$3:$J$100,2,FALSE)</f>
        <v>BOM</v>
      </c>
      <c r="S23" t="str">
        <f>VLOOKUP(Q23,ID!$I$3:$J$100,2,FALSE)</f>
        <v>BOM</v>
      </c>
      <c r="T23" s="4" t="s">
        <v>183</v>
      </c>
      <c r="U23" t="s">
        <v>264</v>
      </c>
      <c r="V23" t="s">
        <v>1081</v>
      </c>
      <c r="X23" t="s">
        <v>273</v>
      </c>
      <c r="Y23" t="s">
        <v>270</v>
      </c>
      <c r="Z23" t="str">
        <f t="shared" si="9"/>
        <v>Bomba 07</v>
      </c>
      <c r="AA23">
        <v>2024</v>
      </c>
      <c r="AD23" s="23" t="s">
        <v>7</v>
      </c>
      <c r="AF23" t="str">
        <f t="shared" si="12"/>
        <v>Electrobomba centrífugaBomba</v>
      </c>
      <c r="AG23" s="28" t="str">
        <f>VLOOKUP(AF23,Imagens!$C$2:$D$42,2,FALSE)</f>
        <v>65e96125c1d11</v>
      </c>
      <c r="AH23" t="str">
        <f>_xlfn.CONCAT(Imagens!$H$2,'registo_ativo-CDs (1)'!AG23)</f>
        <v>assets/imagens/products/65e96125c1d11</v>
      </c>
      <c r="AI23" s="67">
        <v>45310</v>
      </c>
      <c r="AK23" s="32"/>
    </row>
    <row r="24" spans="1:37" ht="16.8" customHeight="1" x14ac:dyDescent="0.3">
      <c r="A24">
        <f t="shared" si="14"/>
        <v>15</v>
      </c>
      <c r="B24" t="str">
        <f t="shared" si="10"/>
        <v>CD28BBG131MOT07</v>
      </c>
      <c r="C24" t="str">
        <f t="shared" si="11"/>
        <v>CD-CHA-BBG-EBC-MOT-07</v>
      </c>
      <c r="E24" t="s">
        <v>37</v>
      </c>
      <c r="F24" t="str">
        <f>VLOOKUP(E24,Localizacoes!$A$3:$B$100,2,FALSE)</f>
        <v>CD</v>
      </c>
      <c r="G24" t="str">
        <f>VLOOKUP(E24,ID!$A$3:$B$100,2,FALSE)</f>
        <v>CD</v>
      </c>
      <c r="H24" s="14" t="s">
        <v>31</v>
      </c>
      <c r="I24" t="str">
        <f>VLOOKUP(H24,Localizacoes!$C$3:$D$100,2,FALSE)</f>
        <v>CHA</v>
      </c>
      <c r="J24">
        <f>VLOOKUP(H24,ID!$C$3:$D$100,2,FALSE)</f>
        <v>28</v>
      </c>
      <c r="K24" t="s">
        <v>274</v>
      </c>
      <c r="L24" t="str">
        <f>VLOOKUP(K24,Localizacoes!$E$3:$F$100,2,FALSE)</f>
        <v>BBG</v>
      </c>
      <c r="M24" t="str">
        <f>VLOOKUP(K24,ID!$E$3:$F$100,2,FALSE)</f>
        <v>BBG</v>
      </c>
      <c r="N24" t="s">
        <v>704</v>
      </c>
      <c r="O24" t="str">
        <f>VLOOKUP(N24,Localizacoes!$G$3:$H$100,2,FALSE)</f>
        <v>EBC</v>
      </c>
      <c r="P24">
        <f>VLOOKUP(N24,ID!$G$3:$H$100,2,FALSE)</f>
        <v>131</v>
      </c>
      <c r="Q24" t="s">
        <v>21</v>
      </c>
      <c r="R24" t="str">
        <f>VLOOKUP(Q24,Localizacoes!$I$3:$J$100,2,FALSE)</f>
        <v>MOT</v>
      </c>
      <c r="S24" t="str">
        <f>VLOOKUP(Q24,ID!$I$3:$J$100,2,FALSE)</f>
        <v>MOT</v>
      </c>
      <c r="T24" s="4" t="s">
        <v>183</v>
      </c>
      <c r="U24" t="s">
        <v>265</v>
      </c>
      <c r="V24" t="s">
        <v>1082</v>
      </c>
      <c r="W24" t="s">
        <v>1083</v>
      </c>
      <c r="Y24" t="s">
        <v>270</v>
      </c>
      <c r="Z24" t="str">
        <f t="shared" si="9"/>
        <v>Motor 07</v>
      </c>
      <c r="AA24">
        <v>2024</v>
      </c>
      <c r="AD24" s="23" t="s">
        <v>7</v>
      </c>
      <c r="AF24" t="str">
        <f t="shared" si="12"/>
        <v>Electrobomba centrífugaMotor</v>
      </c>
      <c r="AG24" s="28" t="str">
        <f>VLOOKUP(AF24,Imagens!$C$2:$D$42,2,FALSE)</f>
        <v>65d04210323a4</v>
      </c>
      <c r="AH24" t="str">
        <f>_xlfn.CONCAT(Imagens!$H$2,'registo_ativo-CDs (1)'!AG24)</f>
        <v>assets/imagens/products/65d04210323a4</v>
      </c>
      <c r="AI24" s="67">
        <v>45310</v>
      </c>
      <c r="AK24" s="32"/>
    </row>
    <row r="25" spans="1:37" ht="16.8" customHeight="1" x14ac:dyDescent="0.3">
      <c r="A25">
        <f t="shared" si="14"/>
        <v>15</v>
      </c>
      <c r="B25" t="str">
        <f t="shared" si="10"/>
        <v>CD28BBG131QEA07</v>
      </c>
      <c r="C25" t="str">
        <f t="shared" si="11"/>
        <v>CD-CHA-BBG-EBC-QEA-07</v>
      </c>
      <c r="E25" t="s">
        <v>37</v>
      </c>
      <c r="F25" t="str">
        <f>VLOOKUP(E25,Localizacoes!$A$3:$B$100,2,FALSE)</f>
        <v>CD</v>
      </c>
      <c r="G25" t="str">
        <f>VLOOKUP(E25,ID!$A$3:$B$100,2,FALSE)</f>
        <v>CD</v>
      </c>
      <c r="H25" s="14" t="s">
        <v>31</v>
      </c>
      <c r="I25" t="str">
        <f>VLOOKUP(H25,Localizacoes!$C$3:$D$100,2,FALSE)</f>
        <v>CHA</v>
      </c>
      <c r="J25">
        <f>VLOOKUP(H25,ID!$C$3:$D$100,2,FALSE)</f>
        <v>28</v>
      </c>
      <c r="K25" t="s">
        <v>274</v>
      </c>
      <c r="L25" t="str">
        <f>VLOOKUP(K25,Localizacoes!$E$3:$F$100,2,FALSE)</f>
        <v>BBG</v>
      </c>
      <c r="M25" t="str">
        <f>VLOOKUP(K25,ID!$E$3:$F$100,2,FALSE)</f>
        <v>BBG</v>
      </c>
      <c r="N25" t="s">
        <v>704</v>
      </c>
      <c r="O25" t="str">
        <f>VLOOKUP(N25,Localizacoes!$G$3:$H$100,2,FALSE)</f>
        <v>EBC</v>
      </c>
      <c r="P25">
        <f>VLOOKUP(N25,ID!$G$3:$H$100,2,FALSE)</f>
        <v>131</v>
      </c>
      <c r="Q25" t="s">
        <v>154</v>
      </c>
      <c r="R25" t="str">
        <f>VLOOKUP(Q25,Localizacoes!$I$3:$J$100,2,FALSE)</f>
        <v>QEA</v>
      </c>
      <c r="S25" t="str">
        <f>VLOOKUP(Q25,ID!$I$3:$J$100,2,FALSE)</f>
        <v>QEA</v>
      </c>
      <c r="T25" s="4" t="s">
        <v>183</v>
      </c>
      <c r="U25" t="s">
        <v>265</v>
      </c>
      <c r="Y25" t="s">
        <v>270</v>
      </c>
      <c r="Z25" t="str">
        <f t="shared" si="9"/>
        <v>Quadros Eléctricos de Arranque 07</v>
      </c>
      <c r="AA25">
        <v>2024</v>
      </c>
      <c r="AD25" s="23" t="s">
        <v>267</v>
      </c>
      <c r="AF25" t="str">
        <f t="shared" si="12"/>
        <v>Electrobomba centrífugaQuadros Eléctricos de Arranque</v>
      </c>
      <c r="AG25" s="28" t="str">
        <f>VLOOKUP(AF25,Imagens!$C$2:$D$42,2,FALSE)</f>
        <v>65e8d2fa35c12</v>
      </c>
      <c r="AH25" t="str">
        <f>_xlfn.CONCAT(Imagens!$H$2,'registo_ativo-CDs (1)'!AG25)</f>
        <v>assets/imagens/products/65e8d2fa35c12</v>
      </c>
      <c r="AI25" s="67">
        <v>45366</v>
      </c>
      <c r="AK25" s="32"/>
    </row>
    <row r="26" spans="1:37" ht="16.8" customHeight="1" x14ac:dyDescent="0.3">
      <c r="A26">
        <f t="shared" si="14"/>
        <v>15</v>
      </c>
      <c r="B26" t="str">
        <f t="shared" si="10"/>
        <v>CD28BBG131VSU07</v>
      </c>
      <c r="C26" t="str">
        <f t="shared" si="11"/>
        <v>CD-CHA-BBG-EBC-VSU-07</v>
      </c>
      <c r="E26" t="s">
        <v>37</v>
      </c>
      <c r="F26" t="str">
        <f>VLOOKUP(E26,Localizacoes!$A$3:$B$100,2,FALSE)</f>
        <v>CD</v>
      </c>
      <c r="G26" t="str">
        <f>VLOOKUP(E26,ID!$A$3:$B$100,2,FALSE)</f>
        <v>CD</v>
      </c>
      <c r="H26" s="14" t="s">
        <v>31</v>
      </c>
      <c r="I26" t="str">
        <f>VLOOKUP(H26,Localizacoes!$C$3:$D$100,2,FALSE)</f>
        <v>CHA</v>
      </c>
      <c r="J26">
        <f>VLOOKUP(H26,ID!$C$3:$D$100,2,FALSE)</f>
        <v>28</v>
      </c>
      <c r="K26" t="s">
        <v>274</v>
      </c>
      <c r="L26" t="str">
        <f>VLOOKUP(K26,Localizacoes!$E$3:$F$100,2,FALSE)</f>
        <v>BBG</v>
      </c>
      <c r="M26" t="str">
        <f>VLOOKUP(K26,ID!$E$3:$F$100,2,FALSE)</f>
        <v>BBG</v>
      </c>
      <c r="N26" t="s">
        <v>704</v>
      </c>
      <c r="O26" t="str">
        <f>VLOOKUP(N26,Localizacoes!$G$3:$H$100,2,FALSE)</f>
        <v>EBC</v>
      </c>
      <c r="P26">
        <f>VLOOKUP(N26,ID!$G$3:$H$100,2,FALSE)</f>
        <v>131</v>
      </c>
      <c r="Q26" t="s">
        <v>276</v>
      </c>
      <c r="R26" t="str">
        <f>VLOOKUP(Q26,Localizacoes!$I$3:$J$100,2,FALSE)</f>
        <v>VSU</v>
      </c>
      <c r="S26" t="str">
        <f>VLOOKUP(Q26,ID!$I$3:$J$100,2,FALSE)</f>
        <v>VSU</v>
      </c>
      <c r="T26" s="4" t="s">
        <v>183</v>
      </c>
      <c r="U26" t="s">
        <v>264</v>
      </c>
      <c r="X26" t="s">
        <v>273</v>
      </c>
      <c r="Y26" t="s">
        <v>270</v>
      </c>
      <c r="Z26" t="str">
        <f t="shared" si="9"/>
        <v>Válvula Sucção 07</v>
      </c>
      <c r="AA26">
        <v>2024</v>
      </c>
      <c r="AD26" s="23" t="s">
        <v>267</v>
      </c>
      <c r="AF26" t="str">
        <f t="shared" si="12"/>
        <v>Electrobomba centrífugaVálvula Sucção</v>
      </c>
      <c r="AG26" s="28" t="str">
        <f>VLOOKUP(AF26,Imagens!$C$2:$D$42,2,FALSE)</f>
        <v>65e8cda0676b7</v>
      </c>
      <c r="AH26" t="str">
        <f>_xlfn.CONCAT(Imagens!$H$2,'registo_ativo-CDs (1)'!AG26)</f>
        <v>assets/imagens/products/65e8cda0676b7</v>
      </c>
      <c r="AI26" s="67">
        <v>45366</v>
      </c>
      <c r="AK26" s="32"/>
    </row>
    <row r="27" spans="1:37" ht="16.8" customHeight="1" x14ac:dyDescent="0.3">
      <c r="A27">
        <f t="shared" si="14"/>
        <v>15</v>
      </c>
      <c r="B27" t="str">
        <f t="shared" si="10"/>
        <v>CD28BBG131VDE07</v>
      </c>
      <c r="C27" t="str">
        <f t="shared" si="11"/>
        <v>CD-CHA-BBG-EBC-VDE-07</v>
      </c>
      <c r="E27" t="s">
        <v>37</v>
      </c>
      <c r="F27" t="str">
        <f>VLOOKUP(E27,Localizacoes!$A$3:$B$100,2,FALSE)</f>
        <v>CD</v>
      </c>
      <c r="G27" t="str">
        <f>VLOOKUP(E27,ID!$A$3:$B$100,2,FALSE)</f>
        <v>CD</v>
      </c>
      <c r="H27" s="14" t="s">
        <v>31</v>
      </c>
      <c r="I27" t="str">
        <f>VLOOKUP(H27,Localizacoes!$C$3:$D$100,2,FALSE)</f>
        <v>CHA</v>
      </c>
      <c r="J27">
        <f>VLOOKUP(H27,ID!$C$3:$D$100,2,FALSE)</f>
        <v>28</v>
      </c>
      <c r="K27" t="s">
        <v>274</v>
      </c>
      <c r="L27" t="str">
        <f>VLOOKUP(K27,Localizacoes!$E$3:$F$100,2,FALSE)</f>
        <v>BBG</v>
      </c>
      <c r="M27" t="str">
        <f>VLOOKUP(K27,ID!$E$3:$F$100,2,FALSE)</f>
        <v>BBG</v>
      </c>
      <c r="N27" t="s">
        <v>704</v>
      </c>
      <c r="O27" t="str">
        <f>VLOOKUP(N27,Localizacoes!$G$3:$H$100,2,FALSE)</f>
        <v>EBC</v>
      </c>
      <c r="P27">
        <f>VLOOKUP(N27,ID!$G$3:$H$100,2,FALSE)</f>
        <v>131</v>
      </c>
      <c r="Q27" t="s">
        <v>279</v>
      </c>
      <c r="R27" t="str">
        <f>VLOOKUP(Q27,Localizacoes!$I$3:$J$100,2,FALSE)</f>
        <v>VDE</v>
      </c>
      <c r="S27" t="str">
        <f>VLOOKUP(Q27,ID!$I$3:$J$100,2,FALSE)</f>
        <v>VDE</v>
      </c>
      <c r="T27" s="4" t="s">
        <v>183</v>
      </c>
      <c r="U27" t="s">
        <v>264</v>
      </c>
      <c r="Y27" t="s">
        <v>270</v>
      </c>
      <c r="Z27" t="str">
        <f t="shared" si="9"/>
        <v>Válvula Descarga 07</v>
      </c>
      <c r="AA27">
        <v>2024</v>
      </c>
      <c r="AD27" s="23" t="s">
        <v>267</v>
      </c>
      <c r="AF27" t="str">
        <f t="shared" si="12"/>
        <v>Electrobomba centrífugaVálvula Descarga</v>
      </c>
      <c r="AG27" s="28" t="str">
        <f>VLOOKUP(AF27,Imagens!$C$2:$D$42,2,FALSE)</f>
        <v>65e8cda0676b7</v>
      </c>
      <c r="AH27" t="str">
        <f>_xlfn.CONCAT(Imagens!$H$2,'registo_ativo-CDs (1)'!AG27)</f>
        <v>assets/imagens/products/65e8cda0676b7</v>
      </c>
      <c r="AI27" s="67">
        <v>45366</v>
      </c>
      <c r="AK27" s="32"/>
    </row>
    <row r="28" spans="1:37" ht="16.8" customHeight="1" x14ac:dyDescent="0.3">
      <c r="A28">
        <f t="shared" si="14"/>
        <v>15</v>
      </c>
      <c r="B28" t="str">
        <f t="shared" si="10"/>
        <v>CD28BBG131BOM08</v>
      </c>
      <c r="C28" t="str">
        <f t="shared" si="11"/>
        <v>CD-CHA-BBG-EBC-BOM-08</v>
      </c>
      <c r="E28" t="s">
        <v>37</v>
      </c>
      <c r="F28" t="str">
        <f>VLOOKUP(E28,Localizacoes!$A$3:$B$100,2,FALSE)</f>
        <v>CD</v>
      </c>
      <c r="G28" t="str">
        <f>VLOOKUP(E28,ID!$A$3:$B$100,2,FALSE)</f>
        <v>CD</v>
      </c>
      <c r="H28" s="14" t="s">
        <v>31</v>
      </c>
      <c r="I28" t="str">
        <f>VLOOKUP(H28,Localizacoes!$C$3:$D$100,2,FALSE)</f>
        <v>CHA</v>
      </c>
      <c r="J28">
        <f>VLOOKUP(H28,ID!$C$3:$D$100,2,FALSE)</f>
        <v>28</v>
      </c>
      <c r="K28" t="s">
        <v>274</v>
      </c>
      <c r="L28" t="str">
        <f>VLOOKUP(K28,Localizacoes!$E$3:$F$100,2,FALSE)</f>
        <v>BBG</v>
      </c>
      <c r="M28" t="str">
        <f>VLOOKUP(K28,ID!$E$3:$F$100,2,FALSE)</f>
        <v>BBG</v>
      </c>
      <c r="N28" t="s">
        <v>704</v>
      </c>
      <c r="O28" t="str">
        <f>VLOOKUP(N28,Localizacoes!$G$3:$H$100,2,FALSE)</f>
        <v>EBC</v>
      </c>
      <c r="P28">
        <f>VLOOKUP(N28,ID!$G$3:$H$100,2,FALSE)</f>
        <v>131</v>
      </c>
      <c r="Q28" t="s">
        <v>150</v>
      </c>
      <c r="R28" t="str">
        <f>VLOOKUP(Q28,Localizacoes!$I$3:$J$100,2,FALSE)</f>
        <v>BOM</v>
      </c>
      <c r="S28" t="str">
        <f>VLOOKUP(Q28,ID!$I$3:$J$100,2,FALSE)</f>
        <v>BOM</v>
      </c>
      <c r="T28" s="4" t="s">
        <v>184</v>
      </c>
      <c r="U28" t="s">
        <v>264</v>
      </c>
      <c r="V28" t="s">
        <v>387</v>
      </c>
      <c r="W28" t="s">
        <v>388</v>
      </c>
      <c r="Y28" t="s">
        <v>270</v>
      </c>
      <c r="Z28" t="str">
        <f t="shared" si="9"/>
        <v>Bomba 08</v>
      </c>
      <c r="AA28"/>
      <c r="AD28" s="23" t="s">
        <v>7</v>
      </c>
      <c r="AF28" t="str">
        <f t="shared" si="12"/>
        <v>Electrobomba centrífugaBomba</v>
      </c>
      <c r="AG28" s="28" t="str">
        <f>VLOOKUP(AF28,Imagens!$C$2:$D$42,2,FALSE)</f>
        <v>65e96125c1d11</v>
      </c>
      <c r="AH28" t="str">
        <f>_xlfn.CONCAT(Imagens!$H$2,'registo_ativo-CDs (1)'!AG28)</f>
        <v>assets/imagens/products/65e96125c1d11</v>
      </c>
      <c r="AI28" s="67">
        <v>45310</v>
      </c>
      <c r="AK28" s="32"/>
    </row>
    <row r="29" spans="1:37" ht="16.8" customHeight="1" x14ac:dyDescent="0.3">
      <c r="A29">
        <f t="shared" si="14"/>
        <v>15</v>
      </c>
      <c r="B29" t="str">
        <f t="shared" si="10"/>
        <v>CD28BBG131MOT08</v>
      </c>
      <c r="C29" t="str">
        <f t="shared" si="11"/>
        <v>CD-CHA-BBG-EBC-MOT-08</v>
      </c>
      <c r="E29" t="s">
        <v>37</v>
      </c>
      <c r="F29" t="str">
        <f>VLOOKUP(E29,Localizacoes!$A$3:$B$100,2,FALSE)</f>
        <v>CD</v>
      </c>
      <c r="G29" t="str">
        <f>VLOOKUP(E29,ID!$A$3:$B$100,2,FALSE)</f>
        <v>CD</v>
      </c>
      <c r="H29" s="14" t="s">
        <v>31</v>
      </c>
      <c r="I29" t="str">
        <f>VLOOKUP(H29,Localizacoes!$C$3:$D$100,2,FALSE)</f>
        <v>CHA</v>
      </c>
      <c r="J29">
        <f>VLOOKUP(H29,ID!$C$3:$D$100,2,FALSE)</f>
        <v>28</v>
      </c>
      <c r="K29" t="s">
        <v>274</v>
      </c>
      <c r="L29" t="str">
        <f>VLOOKUP(K29,Localizacoes!$E$3:$F$100,2,FALSE)</f>
        <v>BBG</v>
      </c>
      <c r="M29" t="str">
        <f>VLOOKUP(K29,ID!$E$3:$F$100,2,FALSE)</f>
        <v>BBG</v>
      </c>
      <c r="N29" t="s">
        <v>704</v>
      </c>
      <c r="O29" t="str">
        <f>VLOOKUP(N29,Localizacoes!$G$3:$H$100,2,FALSE)</f>
        <v>EBC</v>
      </c>
      <c r="P29">
        <f>VLOOKUP(N29,ID!$G$3:$H$100,2,FALSE)</f>
        <v>131</v>
      </c>
      <c r="Q29" t="s">
        <v>21</v>
      </c>
      <c r="R29" t="str">
        <f>VLOOKUP(Q29,Localizacoes!$I$3:$J$100,2,FALSE)</f>
        <v>MOT</v>
      </c>
      <c r="S29" t="str">
        <f>VLOOKUP(Q29,ID!$I$3:$J$100,2,FALSE)</f>
        <v>MOT</v>
      </c>
      <c r="T29" s="4" t="s">
        <v>184</v>
      </c>
      <c r="U29" t="s">
        <v>265</v>
      </c>
      <c r="V29" t="s">
        <v>389</v>
      </c>
      <c r="W29" t="s">
        <v>390</v>
      </c>
      <c r="Y29" t="s">
        <v>270</v>
      </c>
      <c r="Z29" t="str">
        <f t="shared" si="9"/>
        <v>Motor 08</v>
      </c>
      <c r="AA29"/>
      <c r="AD29" s="23" t="s">
        <v>7</v>
      </c>
      <c r="AF29" t="str">
        <f t="shared" si="12"/>
        <v>Electrobomba centrífugaMotor</v>
      </c>
      <c r="AG29" s="28" t="str">
        <f>VLOOKUP(AF29,Imagens!$C$2:$D$42,2,FALSE)</f>
        <v>65d04210323a4</v>
      </c>
      <c r="AH29" t="str">
        <f>_xlfn.CONCAT(Imagens!$H$2,'registo_ativo-CDs (1)'!AG29)</f>
        <v>assets/imagens/products/65d04210323a4</v>
      </c>
      <c r="AI29" s="67">
        <v>45310</v>
      </c>
      <c r="AK29" s="32"/>
    </row>
    <row r="30" spans="1:37" ht="16.8" customHeight="1" x14ac:dyDescent="0.3">
      <c r="A30">
        <f t="shared" si="14"/>
        <v>15</v>
      </c>
      <c r="B30" t="str">
        <f t="shared" si="10"/>
        <v>CD28BBG131QEA08</v>
      </c>
      <c r="C30" t="str">
        <f t="shared" si="11"/>
        <v>CD-CHA-BBG-EBC-QEA-08</v>
      </c>
      <c r="E30" t="s">
        <v>37</v>
      </c>
      <c r="F30" t="str">
        <f>VLOOKUP(E30,Localizacoes!$A$3:$B$100,2,FALSE)</f>
        <v>CD</v>
      </c>
      <c r="G30" t="str">
        <f>VLOOKUP(E30,ID!$A$3:$B$100,2,FALSE)</f>
        <v>CD</v>
      </c>
      <c r="H30" s="14" t="s">
        <v>31</v>
      </c>
      <c r="I30" t="str">
        <f>VLOOKUP(H30,Localizacoes!$C$3:$D$100,2,FALSE)</f>
        <v>CHA</v>
      </c>
      <c r="J30">
        <f>VLOOKUP(H30,ID!$C$3:$D$100,2,FALSE)</f>
        <v>28</v>
      </c>
      <c r="K30" t="s">
        <v>274</v>
      </c>
      <c r="L30" t="str">
        <f>VLOOKUP(K30,Localizacoes!$E$3:$F$100,2,FALSE)</f>
        <v>BBG</v>
      </c>
      <c r="M30" t="str">
        <f>VLOOKUP(K30,ID!$E$3:$F$100,2,FALSE)</f>
        <v>BBG</v>
      </c>
      <c r="N30" t="s">
        <v>704</v>
      </c>
      <c r="O30" t="str">
        <f>VLOOKUP(N30,Localizacoes!$G$3:$H$100,2,FALSE)</f>
        <v>EBC</v>
      </c>
      <c r="P30">
        <f>VLOOKUP(N30,ID!$G$3:$H$100,2,FALSE)</f>
        <v>131</v>
      </c>
      <c r="Q30" t="s">
        <v>154</v>
      </c>
      <c r="R30" t="str">
        <f>VLOOKUP(Q30,Localizacoes!$I$3:$J$100,2,FALSE)</f>
        <v>QEA</v>
      </c>
      <c r="S30" t="str">
        <f>VLOOKUP(Q30,ID!$I$3:$J$100,2,FALSE)</f>
        <v>QEA</v>
      </c>
      <c r="T30" s="4" t="s">
        <v>184</v>
      </c>
      <c r="U30" t="s">
        <v>265</v>
      </c>
      <c r="X30" t="s">
        <v>6</v>
      </c>
      <c r="Y30" t="s">
        <v>270</v>
      </c>
      <c r="Z30" t="str">
        <f t="shared" si="9"/>
        <v>Quadros Eléctricos de Arranque 08</v>
      </c>
      <c r="AA30"/>
      <c r="AD30" s="23" t="s">
        <v>267</v>
      </c>
      <c r="AF30" t="str">
        <f t="shared" si="12"/>
        <v>Electrobomba centrífugaQuadros Eléctricos de Arranque</v>
      </c>
      <c r="AG30" s="28" t="str">
        <f>VLOOKUP(AF30,Imagens!$C$2:$D$42,2,FALSE)</f>
        <v>65e8d2fa35c12</v>
      </c>
      <c r="AH30" t="str">
        <f>_xlfn.CONCAT(Imagens!$H$2,'registo_ativo-CDs (1)'!AG30)</f>
        <v>assets/imagens/products/65e8d2fa35c12</v>
      </c>
      <c r="AI30" s="67">
        <v>45366</v>
      </c>
      <c r="AK30" s="32"/>
    </row>
    <row r="31" spans="1:37" ht="16.8" customHeight="1" x14ac:dyDescent="0.3">
      <c r="A31">
        <f t="shared" si="14"/>
        <v>15</v>
      </c>
      <c r="B31" t="str">
        <f t="shared" si="10"/>
        <v>CD28BBG131VSU08</v>
      </c>
      <c r="C31" t="str">
        <f t="shared" si="11"/>
        <v>CD-CHA-BBG-EBC-VSU-08</v>
      </c>
      <c r="E31" t="s">
        <v>37</v>
      </c>
      <c r="F31" t="str">
        <f>VLOOKUP(E31,Localizacoes!$A$3:$B$100,2,FALSE)</f>
        <v>CD</v>
      </c>
      <c r="G31" t="str">
        <f>VLOOKUP(E31,ID!$A$3:$B$100,2,FALSE)</f>
        <v>CD</v>
      </c>
      <c r="H31" s="14" t="s">
        <v>31</v>
      </c>
      <c r="I31" t="str">
        <f>VLOOKUP(H31,Localizacoes!$C$3:$D$100,2,FALSE)</f>
        <v>CHA</v>
      </c>
      <c r="J31">
        <f>VLOOKUP(H31,ID!$C$3:$D$100,2,FALSE)</f>
        <v>28</v>
      </c>
      <c r="K31" t="s">
        <v>274</v>
      </c>
      <c r="L31" t="str">
        <f>VLOOKUP(K31,Localizacoes!$E$3:$F$100,2,FALSE)</f>
        <v>BBG</v>
      </c>
      <c r="M31" t="str">
        <f>VLOOKUP(K31,ID!$E$3:$F$100,2,FALSE)</f>
        <v>BBG</v>
      </c>
      <c r="N31" t="s">
        <v>704</v>
      </c>
      <c r="O31" t="str">
        <f>VLOOKUP(N31,Localizacoes!$G$3:$H$100,2,FALSE)</f>
        <v>EBC</v>
      </c>
      <c r="P31">
        <f>VLOOKUP(N31,ID!$G$3:$H$100,2,FALSE)</f>
        <v>131</v>
      </c>
      <c r="Q31" t="s">
        <v>276</v>
      </c>
      <c r="R31" t="str">
        <f>VLOOKUP(Q31,Localizacoes!$I$3:$J$100,2,FALSE)</f>
        <v>VSU</v>
      </c>
      <c r="S31" t="str">
        <f>VLOOKUP(Q31,ID!$I$3:$J$100,2,FALSE)</f>
        <v>VSU</v>
      </c>
      <c r="T31" s="4" t="s">
        <v>184</v>
      </c>
      <c r="U31" t="s">
        <v>264</v>
      </c>
      <c r="W31" t="s">
        <v>391</v>
      </c>
      <c r="Y31" t="s">
        <v>270</v>
      </c>
      <c r="Z31" t="str">
        <f t="shared" si="9"/>
        <v>Válvula Sucção 08</v>
      </c>
      <c r="AA31"/>
      <c r="AD31" s="23" t="s">
        <v>267</v>
      </c>
      <c r="AF31" t="str">
        <f t="shared" si="12"/>
        <v>Electrobomba centrífugaVálvula Sucção</v>
      </c>
      <c r="AG31" s="28" t="str">
        <f>VLOOKUP(AF31,Imagens!$C$2:$D$42,2,FALSE)</f>
        <v>65e8cda0676b7</v>
      </c>
      <c r="AH31" t="str">
        <f>_xlfn.CONCAT(Imagens!$H$2,'registo_ativo-CDs (1)'!AG31)</f>
        <v>assets/imagens/products/65e8cda0676b7</v>
      </c>
      <c r="AI31" s="67">
        <v>45366</v>
      </c>
      <c r="AK31" s="32"/>
    </row>
    <row r="32" spans="1:37" ht="16.8" customHeight="1" x14ac:dyDescent="0.3">
      <c r="A32">
        <f t="shared" si="14"/>
        <v>15</v>
      </c>
      <c r="B32" t="str">
        <f t="shared" si="10"/>
        <v>CD28BBG131VDE08</v>
      </c>
      <c r="C32" t="str">
        <f t="shared" si="11"/>
        <v>CD-CHA-BBG-EBC-VDE-08</v>
      </c>
      <c r="E32" t="s">
        <v>37</v>
      </c>
      <c r="F32" t="str">
        <f>VLOOKUP(E32,Localizacoes!$A$3:$B$100,2,FALSE)</f>
        <v>CD</v>
      </c>
      <c r="G32" t="str">
        <f>VLOOKUP(E32,ID!$A$3:$B$100,2,FALSE)</f>
        <v>CD</v>
      </c>
      <c r="H32" s="14" t="s">
        <v>31</v>
      </c>
      <c r="I32" t="str">
        <f>VLOOKUP(H32,Localizacoes!$C$3:$D$100,2,FALSE)</f>
        <v>CHA</v>
      </c>
      <c r="J32">
        <f>VLOOKUP(H32,ID!$C$3:$D$100,2,FALSE)</f>
        <v>28</v>
      </c>
      <c r="K32" t="s">
        <v>274</v>
      </c>
      <c r="L32" t="str">
        <f>VLOOKUP(K32,Localizacoes!$E$3:$F$100,2,FALSE)</f>
        <v>BBG</v>
      </c>
      <c r="M32" t="str">
        <f>VLOOKUP(K32,ID!$E$3:$F$100,2,FALSE)</f>
        <v>BBG</v>
      </c>
      <c r="N32" t="s">
        <v>704</v>
      </c>
      <c r="O32" t="str">
        <f>VLOOKUP(N32,Localizacoes!$G$3:$H$100,2,FALSE)</f>
        <v>EBC</v>
      </c>
      <c r="P32">
        <f>VLOOKUP(N32,ID!$G$3:$H$100,2,FALSE)</f>
        <v>131</v>
      </c>
      <c r="Q32" t="s">
        <v>279</v>
      </c>
      <c r="R32" t="str">
        <f>VLOOKUP(Q32,Localizacoes!$I$3:$J$100,2,FALSE)</f>
        <v>VDE</v>
      </c>
      <c r="S32" t="str">
        <f>VLOOKUP(Q32,ID!$I$3:$J$100,2,FALSE)</f>
        <v>VDE</v>
      </c>
      <c r="T32" s="4" t="s">
        <v>184</v>
      </c>
      <c r="U32" t="s">
        <v>264</v>
      </c>
      <c r="Y32" t="s">
        <v>270</v>
      </c>
      <c r="Z32" t="str">
        <f t="shared" si="9"/>
        <v>Válvula Descarga 08</v>
      </c>
      <c r="AA32"/>
      <c r="AD32" s="23" t="s">
        <v>267</v>
      </c>
      <c r="AF32" t="str">
        <f t="shared" si="12"/>
        <v>Electrobomba centrífugaVálvula Descarga</v>
      </c>
      <c r="AG32" s="28" t="str">
        <f>VLOOKUP(AF32,Imagens!$C$2:$D$42,2,FALSE)</f>
        <v>65e8cda0676b7</v>
      </c>
      <c r="AH32" t="str">
        <f>_xlfn.CONCAT(Imagens!$H$2,'registo_ativo-CDs (1)'!AG32)</f>
        <v>assets/imagens/products/65e8cda0676b7</v>
      </c>
      <c r="AI32" s="67">
        <v>45366</v>
      </c>
      <c r="AK32" s="32"/>
    </row>
    <row r="33" spans="1:37" ht="16.8" customHeight="1" x14ac:dyDescent="0.3">
      <c r="A33">
        <f t="shared" si="14"/>
        <v>15</v>
      </c>
      <c r="B33" t="str">
        <f t="shared" si="10"/>
        <v>CD28BBG131BOM09</v>
      </c>
      <c r="C33" t="str">
        <f t="shared" si="11"/>
        <v>CD-CHA-BBG-EBC-BOM-09</v>
      </c>
      <c r="E33" t="s">
        <v>37</v>
      </c>
      <c r="F33" t="str">
        <f>VLOOKUP(E33,Localizacoes!$A$3:$B$100,2,FALSE)</f>
        <v>CD</v>
      </c>
      <c r="G33" t="str">
        <f>VLOOKUP(E33,ID!$A$3:$B$100,2,FALSE)</f>
        <v>CD</v>
      </c>
      <c r="H33" s="14" t="s">
        <v>31</v>
      </c>
      <c r="I33" t="str">
        <f>VLOOKUP(H33,Localizacoes!$C$3:$D$100,2,FALSE)</f>
        <v>CHA</v>
      </c>
      <c r="J33">
        <f>VLOOKUP(H33,ID!$C$3:$D$100,2,FALSE)</f>
        <v>28</v>
      </c>
      <c r="K33" t="s">
        <v>274</v>
      </c>
      <c r="L33" t="str">
        <f>VLOOKUP(K33,Localizacoes!$E$3:$F$100,2,FALSE)</f>
        <v>BBG</v>
      </c>
      <c r="M33" t="str">
        <f>VLOOKUP(K33,ID!$E$3:$F$100,2,FALSE)</f>
        <v>BBG</v>
      </c>
      <c r="N33" t="s">
        <v>704</v>
      </c>
      <c r="O33" t="str">
        <f>VLOOKUP(N33,Localizacoes!$G$3:$H$100,2,FALSE)</f>
        <v>EBC</v>
      </c>
      <c r="P33">
        <f>VLOOKUP(N33,ID!$G$3:$H$100,2,FALSE)</f>
        <v>131</v>
      </c>
      <c r="Q33" t="s">
        <v>150</v>
      </c>
      <c r="R33" t="str">
        <f>VLOOKUP(Q33,Localizacoes!$I$3:$J$100,2,FALSE)</f>
        <v>BOM</v>
      </c>
      <c r="S33" t="str">
        <f>VLOOKUP(Q33,ID!$I$3:$J$100,2,FALSE)</f>
        <v>BOM</v>
      </c>
      <c r="T33" s="4" t="s">
        <v>185</v>
      </c>
      <c r="U33" t="s">
        <v>264</v>
      </c>
      <c r="V33" t="s">
        <v>392</v>
      </c>
      <c r="W33" t="s">
        <v>393</v>
      </c>
      <c r="Y33" t="s">
        <v>270</v>
      </c>
      <c r="Z33" t="str">
        <f t="shared" si="9"/>
        <v>Bomba 09</v>
      </c>
      <c r="AA33">
        <v>2007</v>
      </c>
      <c r="AD33" s="23" t="s">
        <v>7</v>
      </c>
      <c r="AF33" t="str">
        <f t="shared" si="12"/>
        <v>Electrobomba centrífugaBomba</v>
      </c>
      <c r="AG33" s="28" t="str">
        <f>VLOOKUP(AF33,Imagens!$C$2:$D$42,2,FALSE)</f>
        <v>65e96125c1d11</v>
      </c>
      <c r="AH33" t="str">
        <f>_xlfn.CONCAT(Imagens!$H$2,'registo_ativo-CDs (1)'!AG33)</f>
        <v>assets/imagens/products/65e96125c1d11</v>
      </c>
      <c r="AI33" s="67">
        <v>45310</v>
      </c>
      <c r="AK33" s="32"/>
    </row>
    <row r="34" spans="1:37" ht="16.8" customHeight="1" x14ac:dyDescent="0.3">
      <c r="A34">
        <f t="shared" si="14"/>
        <v>15</v>
      </c>
      <c r="B34" t="str">
        <f t="shared" si="10"/>
        <v>CD28BBG131MOT09</v>
      </c>
      <c r="C34" t="str">
        <f t="shared" si="11"/>
        <v>CD-CHA-BBG-EBC-MOT-09</v>
      </c>
      <c r="E34" t="s">
        <v>37</v>
      </c>
      <c r="F34" t="str">
        <f>VLOOKUP(E34,Localizacoes!$A$3:$B$100,2,FALSE)</f>
        <v>CD</v>
      </c>
      <c r="G34" t="str">
        <f>VLOOKUP(E34,ID!$A$3:$B$100,2,FALSE)</f>
        <v>CD</v>
      </c>
      <c r="H34" s="14" t="s">
        <v>31</v>
      </c>
      <c r="I34" t="str">
        <f>VLOOKUP(H34,Localizacoes!$C$3:$D$100,2,FALSE)</f>
        <v>CHA</v>
      </c>
      <c r="J34">
        <f>VLOOKUP(H34,ID!$C$3:$D$100,2,FALSE)</f>
        <v>28</v>
      </c>
      <c r="K34" t="s">
        <v>274</v>
      </c>
      <c r="L34" t="str">
        <f>VLOOKUP(K34,Localizacoes!$E$3:$F$100,2,FALSE)</f>
        <v>BBG</v>
      </c>
      <c r="M34" t="str">
        <f>VLOOKUP(K34,ID!$E$3:$F$100,2,FALSE)</f>
        <v>BBG</v>
      </c>
      <c r="N34" t="s">
        <v>704</v>
      </c>
      <c r="O34" t="str">
        <f>VLOOKUP(N34,Localizacoes!$G$3:$H$100,2,FALSE)</f>
        <v>EBC</v>
      </c>
      <c r="P34">
        <f>VLOOKUP(N34,ID!$G$3:$H$100,2,FALSE)</f>
        <v>131</v>
      </c>
      <c r="Q34" t="s">
        <v>21</v>
      </c>
      <c r="R34" t="str">
        <f>VLOOKUP(Q34,Localizacoes!$I$3:$J$100,2,FALSE)</f>
        <v>MOT</v>
      </c>
      <c r="S34" t="str">
        <f>VLOOKUP(Q34,ID!$I$3:$J$100,2,FALSE)</f>
        <v>MOT</v>
      </c>
      <c r="T34" s="4" t="s">
        <v>185</v>
      </c>
      <c r="U34" t="s">
        <v>265</v>
      </c>
      <c r="V34" t="s">
        <v>394</v>
      </c>
      <c r="W34" t="s">
        <v>395</v>
      </c>
      <c r="Y34" t="s">
        <v>270</v>
      </c>
      <c r="Z34" t="str">
        <f t="shared" si="9"/>
        <v>Motor 09</v>
      </c>
      <c r="AA34">
        <v>2007</v>
      </c>
      <c r="AD34" s="23" t="s">
        <v>7</v>
      </c>
      <c r="AF34" t="str">
        <f t="shared" si="12"/>
        <v>Electrobomba centrífugaMotor</v>
      </c>
      <c r="AG34" s="28" t="str">
        <f>VLOOKUP(AF34,Imagens!$C$2:$D$42,2,FALSE)</f>
        <v>65d04210323a4</v>
      </c>
      <c r="AH34" t="str">
        <f>_xlfn.CONCAT(Imagens!$H$2,'registo_ativo-CDs (1)'!AG34)</f>
        <v>assets/imagens/products/65d04210323a4</v>
      </c>
      <c r="AI34" s="67">
        <v>45310</v>
      </c>
      <c r="AK34" s="32"/>
    </row>
    <row r="35" spans="1:37" ht="16.8" customHeight="1" x14ac:dyDescent="0.3">
      <c r="A35">
        <f t="shared" si="14"/>
        <v>15</v>
      </c>
      <c r="B35" t="str">
        <f t="shared" si="10"/>
        <v>CD28BBG131QEA09</v>
      </c>
      <c r="C35" t="str">
        <f t="shared" si="11"/>
        <v>CD-CHA-BBG-EBC-QEA-09</v>
      </c>
      <c r="E35" t="s">
        <v>37</v>
      </c>
      <c r="F35" t="str">
        <f>VLOOKUP(E35,Localizacoes!$A$3:$B$100,2,FALSE)</f>
        <v>CD</v>
      </c>
      <c r="G35" t="str">
        <f>VLOOKUP(E35,ID!$A$3:$B$100,2,FALSE)</f>
        <v>CD</v>
      </c>
      <c r="H35" s="14" t="s">
        <v>31</v>
      </c>
      <c r="I35" t="str">
        <f>VLOOKUP(H35,Localizacoes!$C$3:$D$100,2,FALSE)</f>
        <v>CHA</v>
      </c>
      <c r="J35">
        <f>VLOOKUP(H35,ID!$C$3:$D$100,2,FALSE)</f>
        <v>28</v>
      </c>
      <c r="K35" t="s">
        <v>274</v>
      </c>
      <c r="L35" t="str">
        <f>VLOOKUP(K35,Localizacoes!$E$3:$F$100,2,FALSE)</f>
        <v>BBG</v>
      </c>
      <c r="M35" t="str">
        <f>VLOOKUP(K35,ID!$E$3:$F$100,2,FALSE)</f>
        <v>BBG</v>
      </c>
      <c r="N35" t="s">
        <v>704</v>
      </c>
      <c r="O35" t="str">
        <f>VLOOKUP(N35,Localizacoes!$G$3:$H$100,2,FALSE)</f>
        <v>EBC</v>
      </c>
      <c r="P35">
        <f>VLOOKUP(N35,ID!$G$3:$H$100,2,FALSE)</f>
        <v>131</v>
      </c>
      <c r="Q35" t="s">
        <v>154</v>
      </c>
      <c r="R35" t="str">
        <f>VLOOKUP(Q35,Localizacoes!$I$3:$J$100,2,FALSE)</f>
        <v>QEA</v>
      </c>
      <c r="S35" t="str">
        <f>VLOOKUP(Q35,ID!$I$3:$J$100,2,FALSE)</f>
        <v>QEA</v>
      </c>
      <c r="T35" s="4" t="s">
        <v>185</v>
      </c>
      <c r="U35" t="s">
        <v>265</v>
      </c>
      <c r="Y35" t="s">
        <v>270</v>
      </c>
      <c r="Z35" t="str">
        <f t="shared" si="9"/>
        <v>Quadros Eléctricos de Arranque 09</v>
      </c>
      <c r="AA35">
        <v>2007</v>
      </c>
      <c r="AD35" s="23" t="s">
        <v>267</v>
      </c>
      <c r="AF35" t="str">
        <f t="shared" si="12"/>
        <v>Electrobomba centrífugaQuadros Eléctricos de Arranque</v>
      </c>
      <c r="AG35" s="28" t="str">
        <f>VLOOKUP(AF35,Imagens!$C$2:$D$42,2,FALSE)</f>
        <v>65e8d2fa35c12</v>
      </c>
      <c r="AH35" t="str">
        <f>_xlfn.CONCAT(Imagens!$H$2,'registo_ativo-CDs (1)'!AG35)</f>
        <v>assets/imagens/products/65e8d2fa35c12</v>
      </c>
      <c r="AI35" s="67">
        <v>45366</v>
      </c>
      <c r="AK35" s="32"/>
    </row>
    <row r="36" spans="1:37" ht="16.8" customHeight="1" x14ac:dyDescent="0.3">
      <c r="A36">
        <f t="shared" si="14"/>
        <v>15</v>
      </c>
      <c r="B36" t="str">
        <f t="shared" si="10"/>
        <v>CD28BBG131VSU09</v>
      </c>
      <c r="C36" t="str">
        <f t="shared" si="11"/>
        <v>CD-CHA-BBG-EBC-VSU-09</v>
      </c>
      <c r="E36" t="s">
        <v>37</v>
      </c>
      <c r="F36" t="str">
        <f>VLOOKUP(E36,Localizacoes!$A$3:$B$100,2,FALSE)</f>
        <v>CD</v>
      </c>
      <c r="G36" t="str">
        <f>VLOOKUP(E36,ID!$A$3:$B$100,2,FALSE)</f>
        <v>CD</v>
      </c>
      <c r="H36" s="14" t="s">
        <v>31</v>
      </c>
      <c r="I36" t="str">
        <f>VLOOKUP(H36,Localizacoes!$C$3:$D$100,2,FALSE)</f>
        <v>CHA</v>
      </c>
      <c r="J36">
        <f>VLOOKUP(H36,ID!$C$3:$D$100,2,FALSE)</f>
        <v>28</v>
      </c>
      <c r="K36" t="s">
        <v>274</v>
      </c>
      <c r="L36" t="str">
        <f>VLOOKUP(K36,Localizacoes!$E$3:$F$100,2,FALSE)</f>
        <v>BBG</v>
      </c>
      <c r="M36" t="str">
        <f>VLOOKUP(K36,ID!$E$3:$F$100,2,FALSE)</f>
        <v>BBG</v>
      </c>
      <c r="N36" t="s">
        <v>704</v>
      </c>
      <c r="O36" t="str">
        <f>VLOOKUP(N36,Localizacoes!$G$3:$H$100,2,FALSE)</f>
        <v>EBC</v>
      </c>
      <c r="P36">
        <f>VLOOKUP(N36,ID!$G$3:$H$100,2,FALSE)</f>
        <v>131</v>
      </c>
      <c r="Q36" t="s">
        <v>276</v>
      </c>
      <c r="R36" t="str">
        <f>VLOOKUP(Q36,Localizacoes!$I$3:$J$100,2,FALSE)</f>
        <v>VSU</v>
      </c>
      <c r="S36" t="str">
        <f>VLOOKUP(Q36,ID!$I$3:$J$100,2,FALSE)</f>
        <v>VSU</v>
      </c>
      <c r="T36" s="4" t="s">
        <v>185</v>
      </c>
      <c r="U36" t="s">
        <v>264</v>
      </c>
      <c r="W36" t="s">
        <v>396</v>
      </c>
      <c r="Y36" t="s">
        <v>270</v>
      </c>
      <c r="Z36" t="str">
        <f t="shared" si="9"/>
        <v>Válvula Sucção 09</v>
      </c>
      <c r="AA36">
        <v>2007</v>
      </c>
      <c r="AD36" s="23" t="s">
        <v>267</v>
      </c>
      <c r="AF36" t="str">
        <f t="shared" si="12"/>
        <v>Electrobomba centrífugaVálvula Sucção</v>
      </c>
      <c r="AG36" s="28" t="str">
        <f>VLOOKUP(AF36,Imagens!$C$2:$D$42,2,FALSE)</f>
        <v>65e8cda0676b7</v>
      </c>
      <c r="AH36" t="str">
        <f>_xlfn.CONCAT(Imagens!$H$2,'registo_ativo-CDs (1)'!AG36)</f>
        <v>assets/imagens/products/65e8cda0676b7</v>
      </c>
      <c r="AI36" s="67">
        <v>45366</v>
      </c>
      <c r="AK36" s="32"/>
    </row>
    <row r="37" spans="1:37" ht="16.8" customHeight="1" x14ac:dyDescent="0.3">
      <c r="A37">
        <f t="shared" si="14"/>
        <v>15</v>
      </c>
      <c r="B37" t="str">
        <f t="shared" si="10"/>
        <v>CD28BBG131VDE09</v>
      </c>
      <c r="C37" t="str">
        <f t="shared" si="11"/>
        <v>CD-CHA-BBG-EBC-VDE-09</v>
      </c>
      <c r="E37" t="s">
        <v>37</v>
      </c>
      <c r="F37" t="str">
        <f>VLOOKUP(E37,Localizacoes!$A$3:$B$100,2,FALSE)</f>
        <v>CD</v>
      </c>
      <c r="G37" t="str">
        <f>VLOOKUP(E37,ID!$A$3:$B$100,2,FALSE)</f>
        <v>CD</v>
      </c>
      <c r="H37" s="14" t="s">
        <v>31</v>
      </c>
      <c r="I37" t="str">
        <f>VLOOKUP(H37,Localizacoes!$C$3:$D$100,2,FALSE)</f>
        <v>CHA</v>
      </c>
      <c r="J37">
        <f>VLOOKUP(H37,ID!$C$3:$D$100,2,FALSE)</f>
        <v>28</v>
      </c>
      <c r="K37" t="s">
        <v>274</v>
      </c>
      <c r="L37" t="str">
        <f>VLOOKUP(K37,Localizacoes!$E$3:$F$100,2,FALSE)</f>
        <v>BBG</v>
      </c>
      <c r="M37" t="str">
        <f>VLOOKUP(K37,ID!$E$3:$F$100,2,FALSE)</f>
        <v>BBG</v>
      </c>
      <c r="N37" t="s">
        <v>704</v>
      </c>
      <c r="O37" t="str">
        <f>VLOOKUP(N37,Localizacoes!$G$3:$H$100,2,FALSE)</f>
        <v>EBC</v>
      </c>
      <c r="P37">
        <f>VLOOKUP(N37,ID!$G$3:$H$100,2,FALSE)</f>
        <v>131</v>
      </c>
      <c r="Q37" t="s">
        <v>279</v>
      </c>
      <c r="R37" t="str">
        <f>VLOOKUP(Q37,Localizacoes!$I$3:$J$100,2,FALSE)</f>
        <v>VDE</v>
      </c>
      <c r="S37" t="str">
        <f>VLOOKUP(Q37,ID!$I$3:$J$100,2,FALSE)</f>
        <v>VDE</v>
      </c>
      <c r="T37" s="4" t="s">
        <v>185</v>
      </c>
      <c r="U37" t="s">
        <v>264</v>
      </c>
      <c r="W37" t="s">
        <v>397</v>
      </c>
      <c r="Y37" t="s">
        <v>270</v>
      </c>
      <c r="Z37" t="str">
        <f t="shared" si="9"/>
        <v>Válvula Descarga 09</v>
      </c>
      <c r="AA37">
        <v>2007</v>
      </c>
      <c r="AD37" s="23" t="s">
        <v>267</v>
      </c>
      <c r="AF37" t="str">
        <f t="shared" si="12"/>
        <v>Electrobomba centrífugaVálvula Descarga</v>
      </c>
      <c r="AG37" s="28" t="str">
        <f>VLOOKUP(AF37,Imagens!$C$2:$D$42,2,FALSE)</f>
        <v>65e8cda0676b7</v>
      </c>
      <c r="AH37" t="str">
        <f>_xlfn.CONCAT(Imagens!$H$2,'registo_ativo-CDs (1)'!AG37)</f>
        <v>assets/imagens/products/65e8cda0676b7</v>
      </c>
      <c r="AI37" s="67">
        <v>45366</v>
      </c>
      <c r="AK37" s="32"/>
    </row>
    <row r="38" spans="1:37" ht="16.8" customHeight="1" x14ac:dyDescent="0.3">
      <c r="A38">
        <f t="shared" si="14"/>
        <v>15</v>
      </c>
      <c r="B38" t="str">
        <f t="shared" si="10"/>
        <v>CD28BBG131BOM10</v>
      </c>
      <c r="C38" t="str">
        <f t="shared" si="11"/>
        <v>CD-CHA-BBG-EBC-BOM-10</v>
      </c>
      <c r="E38" t="s">
        <v>37</v>
      </c>
      <c r="F38" t="str">
        <f>VLOOKUP(E38,Localizacoes!$A$3:$B$100,2,FALSE)</f>
        <v>CD</v>
      </c>
      <c r="G38" t="str">
        <f>VLOOKUP(E38,ID!$A$3:$B$100,2,FALSE)</f>
        <v>CD</v>
      </c>
      <c r="H38" s="14" t="s">
        <v>31</v>
      </c>
      <c r="I38" t="str">
        <f>VLOOKUP(H38,Localizacoes!$C$3:$D$100,2,FALSE)</f>
        <v>CHA</v>
      </c>
      <c r="J38">
        <f>VLOOKUP(H38,ID!$C$3:$D$100,2,FALSE)</f>
        <v>28</v>
      </c>
      <c r="K38" t="s">
        <v>274</v>
      </c>
      <c r="L38" t="str">
        <f>VLOOKUP(K38,Localizacoes!$E$3:$F$100,2,FALSE)</f>
        <v>BBG</v>
      </c>
      <c r="M38" t="str">
        <f>VLOOKUP(K38,ID!$E$3:$F$100,2,FALSE)</f>
        <v>BBG</v>
      </c>
      <c r="N38" t="s">
        <v>704</v>
      </c>
      <c r="O38" t="str">
        <f>VLOOKUP(N38,Localizacoes!$G$3:$H$100,2,FALSE)</f>
        <v>EBC</v>
      </c>
      <c r="P38">
        <f>VLOOKUP(N38,ID!$G$3:$H$100,2,FALSE)</f>
        <v>131</v>
      </c>
      <c r="Q38" t="s">
        <v>150</v>
      </c>
      <c r="R38" t="str">
        <f>VLOOKUP(Q38,Localizacoes!$I$3:$J$100,2,FALSE)</f>
        <v>BOM</v>
      </c>
      <c r="S38" t="str">
        <f>VLOOKUP(Q38,ID!$I$3:$J$100,2,FALSE)</f>
        <v>BOM</v>
      </c>
      <c r="T38" s="4" t="s">
        <v>192</v>
      </c>
      <c r="U38" t="s">
        <v>264</v>
      </c>
      <c r="V38" t="s">
        <v>392</v>
      </c>
      <c r="W38" t="s">
        <v>393</v>
      </c>
      <c r="Y38" t="s">
        <v>270</v>
      </c>
      <c r="Z38" t="str">
        <f t="shared" si="9"/>
        <v>Bomba 10</v>
      </c>
      <c r="AA38">
        <v>2007</v>
      </c>
      <c r="AD38" s="23" t="s">
        <v>7</v>
      </c>
      <c r="AF38" t="str">
        <f t="shared" si="12"/>
        <v>Electrobomba centrífugaBomba</v>
      </c>
      <c r="AG38" s="28" t="str">
        <f>VLOOKUP(AF38,Imagens!$C$2:$D$42,2,FALSE)</f>
        <v>65e96125c1d11</v>
      </c>
      <c r="AH38" t="str">
        <f>_xlfn.CONCAT(Imagens!$H$2,'registo_ativo-CDs (1)'!AG38)</f>
        <v>assets/imagens/products/65e96125c1d11</v>
      </c>
      <c r="AI38" s="67">
        <v>45310</v>
      </c>
      <c r="AK38" s="32"/>
    </row>
    <row r="39" spans="1:37" ht="16.8" customHeight="1" x14ac:dyDescent="0.3">
      <c r="A39">
        <f t="shared" si="14"/>
        <v>15</v>
      </c>
      <c r="B39" t="str">
        <f t="shared" si="10"/>
        <v>CD28BBG131MOT10</v>
      </c>
      <c r="C39" t="str">
        <f t="shared" si="11"/>
        <v>CD-CHA-BBG-EBC-MOT-10</v>
      </c>
      <c r="E39" t="s">
        <v>37</v>
      </c>
      <c r="F39" t="str">
        <f>VLOOKUP(E39,Localizacoes!$A$3:$B$100,2,FALSE)</f>
        <v>CD</v>
      </c>
      <c r="G39" t="str">
        <f>VLOOKUP(E39,ID!$A$3:$B$100,2,FALSE)</f>
        <v>CD</v>
      </c>
      <c r="H39" s="14" t="s">
        <v>31</v>
      </c>
      <c r="I39" t="str">
        <f>VLOOKUP(H39,Localizacoes!$C$3:$D$100,2,FALSE)</f>
        <v>CHA</v>
      </c>
      <c r="J39">
        <f>VLOOKUP(H39,ID!$C$3:$D$100,2,FALSE)</f>
        <v>28</v>
      </c>
      <c r="K39" t="s">
        <v>274</v>
      </c>
      <c r="L39" t="str">
        <f>VLOOKUP(K39,Localizacoes!$E$3:$F$100,2,FALSE)</f>
        <v>BBG</v>
      </c>
      <c r="M39" t="str">
        <f>VLOOKUP(K39,ID!$E$3:$F$100,2,FALSE)</f>
        <v>BBG</v>
      </c>
      <c r="N39" t="s">
        <v>704</v>
      </c>
      <c r="O39" t="str">
        <f>VLOOKUP(N39,Localizacoes!$G$3:$H$100,2,FALSE)</f>
        <v>EBC</v>
      </c>
      <c r="P39">
        <f>VLOOKUP(N39,ID!$G$3:$H$100,2,FALSE)</f>
        <v>131</v>
      </c>
      <c r="Q39" t="s">
        <v>21</v>
      </c>
      <c r="R39" t="str">
        <f>VLOOKUP(Q39,Localizacoes!$I$3:$J$100,2,FALSE)</f>
        <v>MOT</v>
      </c>
      <c r="S39" t="str">
        <f>VLOOKUP(Q39,ID!$I$3:$J$100,2,FALSE)</f>
        <v>MOT</v>
      </c>
      <c r="T39" s="4" t="s">
        <v>192</v>
      </c>
      <c r="U39" t="s">
        <v>265</v>
      </c>
      <c r="V39" t="s">
        <v>394</v>
      </c>
      <c r="W39" t="s">
        <v>395</v>
      </c>
      <c r="X39" t="s">
        <v>6</v>
      </c>
      <c r="Y39" t="s">
        <v>270</v>
      </c>
      <c r="Z39" t="str">
        <f t="shared" si="9"/>
        <v>Motor 10</v>
      </c>
      <c r="AA39">
        <v>2007</v>
      </c>
      <c r="AD39" s="23" t="s">
        <v>7</v>
      </c>
      <c r="AF39" t="str">
        <f t="shared" si="12"/>
        <v>Electrobomba centrífugaMotor</v>
      </c>
      <c r="AG39" s="28" t="str">
        <f>VLOOKUP(AF39,Imagens!$C$2:$D$42,2,FALSE)</f>
        <v>65d04210323a4</v>
      </c>
      <c r="AH39" t="str">
        <f>_xlfn.CONCAT(Imagens!$H$2,'registo_ativo-CDs (1)'!AG39)</f>
        <v>assets/imagens/products/65d04210323a4</v>
      </c>
      <c r="AI39" s="67">
        <v>45310</v>
      </c>
      <c r="AK39" s="32"/>
    </row>
    <row r="40" spans="1:37" ht="16.8" customHeight="1" x14ac:dyDescent="0.3">
      <c r="A40">
        <f t="shared" si="14"/>
        <v>15</v>
      </c>
      <c r="B40" t="str">
        <f t="shared" si="10"/>
        <v>CD28BBG131QEA10</v>
      </c>
      <c r="C40" t="str">
        <f t="shared" si="11"/>
        <v>CD-CHA-BBG-EBC-QEA-10</v>
      </c>
      <c r="E40" t="s">
        <v>37</v>
      </c>
      <c r="F40" t="str">
        <f>VLOOKUP(E40,Localizacoes!$A$3:$B$100,2,FALSE)</f>
        <v>CD</v>
      </c>
      <c r="G40" t="str">
        <f>VLOOKUP(E40,ID!$A$3:$B$100,2,FALSE)</f>
        <v>CD</v>
      </c>
      <c r="H40" s="14" t="s">
        <v>31</v>
      </c>
      <c r="I40" t="str">
        <f>VLOOKUP(H40,Localizacoes!$C$3:$D$100,2,FALSE)</f>
        <v>CHA</v>
      </c>
      <c r="J40">
        <f>VLOOKUP(H40,ID!$C$3:$D$100,2,FALSE)</f>
        <v>28</v>
      </c>
      <c r="K40" t="s">
        <v>274</v>
      </c>
      <c r="L40" t="str">
        <f>VLOOKUP(K40,Localizacoes!$E$3:$F$100,2,FALSE)</f>
        <v>BBG</v>
      </c>
      <c r="M40" t="str">
        <f>VLOOKUP(K40,ID!$E$3:$F$100,2,FALSE)</f>
        <v>BBG</v>
      </c>
      <c r="N40" t="s">
        <v>704</v>
      </c>
      <c r="O40" t="str">
        <f>VLOOKUP(N40,Localizacoes!$G$3:$H$100,2,FALSE)</f>
        <v>EBC</v>
      </c>
      <c r="P40">
        <f>VLOOKUP(N40,ID!$G$3:$H$100,2,FALSE)</f>
        <v>131</v>
      </c>
      <c r="Q40" t="s">
        <v>154</v>
      </c>
      <c r="R40" t="str">
        <f>VLOOKUP(Q40,Localizacoes!$I$3:$J$100,2,FALSE)</f>
        <v>QEA</v>
      </c>
      <c r="S40" t="str">
        <f>VLOOKUP(Q40,ID!$I$3:$J$100,2,FALSE)</f>
        <v>QEA</v>
      </c>
      <c r="T40" s="4" t="s">
        <v>192</v>
      </c>
      <c r="U40" t="s">
        <v>265</v>
      </c>
      <c r="Y40" t="s">
        <v>270</v>
      </c>
      <c r="Z40" t="str">
        <f t="shared" si="9"/>
        <v>Quadros Eléctricos de Arranque 10</v>
      </c>
      <c r="AA40">
        <v>2007</v>
      </c>
      <c r="AD40" s="23" t="s">
        <v>267</v>
      </c>
      <c r="AF40" t="str">
        <f t="shared" si="12"/>
        <v>Electrobomba centrífugaQuadros Eléctricos de Arranque</v>
      </c>
      <c r="AG40" s="28" t="str">
        <f>VLOOKUP(AF40,Imagens!$C$2:$D$42,2,FALSE)</f>
        <v>65e8d2fa35c12</v>
      </c>
      <c r="AH40" t="str">
        <f>_xlfn.CONCAT(Imagens!$H$2,'registo_ativo-CDs (1)'!AG40)</f>
        <v>assets/imagens/products/65e8d2fa35c12</v>
      </c>
      <c r="AI40" s="67">
        <v>45366</v>
      </c>
      <c r="AK40" s="32"/>
    </row>
    <row r="41" spans="1:37" ht="16.8" customHeight="1" x14ac:dyDescent="0.3">
      <c r="A41">
        <f t="shared" si="14"/>
        <v>15</v>
      </c>
      <c r="B41" t="str">
        <f t="shared" si="10"/>
        <v>CD28BBG131VSU10</v>
      </c>
      <c r="C41" t="str">
        <f t="shared" si="11"/>
        <v>CD-CHA-BBG-EBC-VSU-10</v>
      </c>
      <c r="E41" t="s">
        <v>37</v>
      </c>
      <c r="F41" t="str">
        <f>VLOOKUP(E41,Localizacoes!$A$3:$B$100,2,FALSE)</f>
        <v>CD</v>
      </c>
      <c r="G41" t="str">
        <f>VLOOKUP(E41,ID!$A$3:$B$100,2,FALSE)</f>
        <v>CD</v>
      </c>
      <c r="H41" s="14" t="s">
        <v>31</v>
      </c>
      <c r="I41" t="str">
        <f>VLOOKUP(H41,Localizacoes!$C$3:$D$100,2,FALSE)</f>
        <v>CHA</v>
      </c>
      <c r="J41">
        <f>VLOOKUP(H41,ID!$C$3:$D$100,2,FALSE)</f>
        <v>28</v>
      </c>
      <c r="K41" t="s">
        <v>274</v>
      </c>
      <c r="L41" t="str">
        <f>VLOOKUP(K41,Localizacoes!$E$3:$F$100,2,FALSE)</f>
        <v>BBG</v>
      </c>
      <c r="M41" t="str">
        <f>VLOOKUP(K41,ID!$E$3:$F$100,2,FALSE)</f>
        <v>BBG</v>
      </c>
      <c r="N41" t="s">
        <v>704</v>
      </c>
      <c r="O41" t="str">
        <f>VLOOKUP(N41,Localizacoes!$G$3:$H$100,2,FALSE)</f>
        <v>EBC</v>
      </c>
      <c r="P41">
        <f>VLOOKUP(N41,ID!$G$3:$H$100,2,FALSE)</f>
        <v>131</v>
      </c>
      <c r="Q41" t="s">
        <v>276</v>
      </c>
      <c r="R41" t="str">
        <f>VLOOKUP(Q41,Localizacoes!$I$3:$J$100,2,FALSE)</f>
        <v>VSU</v>
      </c>
      <c r="S41" t="str">
        <f>VLOOKUP(Q41,ID!$I$3:$J$100,2,FALSE)</f>
        <v>VSU</v>
      </c>
      <c r="T41" s="4" t="s">
        <v>192</v>
      </c>
      <c r="U41" t="s">
        <v>264</v>
      </c>
      <c r="W41" t="s">
        <v>398</v>
      </c>
      <c r="Y41" t="s">
        <v>270</v>
      </c>
      <c r="Z41" t="str">
        <f t="shared" si="9"/>
        <v>Válvula Sucção 10</v>
      </c>
      <c r="AA41">
        <v>2007</v>
      </c>
      <c r="AD41" s="23" t="s">
        <v>267</v>
      </c>
      <c r="AF41" t="str">
        <f t="shared" si="12"/>
        <v>Electrobomba centrífugaVálvula Sucção</v>
      </c>
      <c r="AG41" s="28" t="str">
        <f>VLOOKUP(AF41,Imagens!$C$2:$D$42,2,FALSE)</f>
        <v>65e8cda0676b7</v>
      </c>
      <c r="AH41" t="str">
        <f>_xlfn.CONCAT(Imagens!$H$2,'registo_ativo-CDs (1)'!AG41)</f>
        <v>assets/imagens/products/65e8cda0676b7</v>
      </c>
      <c r="AI41" s="67">
        <v>45366</v>
      </c>
      <c r="AK41" s="32"/>
    </row>
    <row r="42" spans="1:37" ht="16.8" customHeight="1" x14ac:dyDescent="0.3">
      <c r="A42">
        <f t="shared" si="14"/>
        <v>15</v>
      </c>
      <c r="B42" t="str">
        <f t="shared" si="10"/>
        <v>CD28BBG131VDE10</v>
      </c>
      <c r="C42" t="str">
        <f t="shared" si="11"/>
        <v>CD-CHA-BBG-EBC-VDE-10</v>
      </c>
      <c r="E42" t="s">
        <v>37</v>
      </c>
      <c r="F42" t="str">
        <f>VLOOKUP(E42,Localizacoes!$A$3:$B$100,2,FALSE)</f>
        <v>CD</v>
      </c>
      <c r="G42" t="str">
        <f>VLOOKUP(E42,ID!$A$3:$B$100,2,FALSE)</f>
        <v>CD</v>
      </c>
      <c r="H42" s="14" t="s">
        <v>31</v>
      </c>
      <c r="I42" t="str">
        <f>VLOOKUP(H42,Localizacoes!$C$3:$D$100,2,FALSE)</f>
        <v>CHA</v>
      </c>
      <c r="J42">
        <f>VLOOKUP(H42,ID!$C$3:$D$100,2,FALSE)</f>
        <v>28</v>
      </c>
      <c r="K42" t="s">
        <v>274</v>
      </c>
      <c r="L42" t="str">
        <f>VLOOKUP(K42,Localizacoes!$E$3:$F$100,2,FALSE)</f>
        <v>BBG</v>
      </c>
      <c r="M42" t="str">
        <f>VLOOKUP(K42,ID!$E$3:$F$100,2,FALSE)</f>
        <v>BBG</v>
      </c>
      <c r="N42" t="s">
        <v>704</v>
      </c>
      <c r="O42" t="str">
        <f>VLOOKUP(N42,Localizacoes!$G$3:$H$100,2,FALSE)</f>
        <v>EBC</v>
      </c>
      <c r="P42">
        <f>VLOOKUP(N42,ID!$G$3:$H$100,2,FALSE)</f>
        <v>131</v>
      </c>
      <c r="Q42" t="s">
        <v>279</v>
      </c>
      <c r="R42" t="str">
        <f>VLOOKUP(Q42,Localizacoes!$I$3:$J$100,2,FALSE)</f>
        <v>VDE</v>
      </c>
      <c r="S42" t="str">
        <f>VLOOKUP(Q42,ID!$I$3:$J$100,2,FALSE)</f>
        <v>VDE</v>
      </c>
      <c r="T42" s="4" t="s">
        <v>192</v>
      </c>
      <c r="U42" t="s">
        <v>264</v>
      </c>
      <c r="Y42" t="s">
        <v>270</v>
      </c>
      <c r="Z42" t="str">
        <f t="shared" si="9"/>
        <v>Válvula Descarga 10</v>
      </c>
      <c r="AA42">
        <v>2007</v>
      </c>
      <c r="AD42" s="23" t="s">
        <v>267</v>
      </c>
      <c r="AF42" t="str">
        <f t="shared" si="12"/>
        <v>Electrobomba centrífugaVálvula Descarga</v>
      </c>
      <c r="AG42" s="28" t="str">
        <f>VLOOKUP(AF42,Imagens!$C$2:$D$42,2,FALSE)</f>
        <v>65e8cda0676b7</v>
      </c>
      <c r="AH42" t="str">
        <f>_xlfn.CONCAT(Imagens!$H$2,'registo_ativo-CDs (1)'!AG42)</f>
        <v>assets/imagens/products/65e8cda0676b7</v>
      </c>
      <c r="AI42" s="67">
        <v>45366</v>
      </c>
      <c r="AK42" s="32"/>
    </row>
    <row r="43" spans="1:37" ht="16.8" customHeight="1" x14ac:dyDescent="0.3">
      <c r="A43">
        <f t="shared" si="14"/>
        <v>15</v>
      </c>
      <c r="B43" t="str">
        <f t="shared" si="10"/>
        <v>CD28BBG131BOM11</v>
      </c>
      <c r="C43" t="str">
        <f t="shared" si="11"/>
        <v>CD-CHA-BBG-EBC-BOM-11</v>
      </c>
      <c r="E43" t="s">
        <v>37</v>
      </c>
      <c r="F43" t="str">
        <f>VLOOKUP(E43,Localizacoes!$A$3:$B$100,2,FALSE)</f>
        <v>CD</v>
      </c>
      <c r="G43" t="str">
        <f>VLOOKUP(E43,ID!$A$3:$B$100,2,FALSE)</f>
        <v>CD</v>
      </c>
      <c r="H43" s="14" t="s">
        <v>31</v>
      </c>
      <c r="I43" t="str">
        <f>VLOOKUP(H43,Localizacoes!$C$3:$D$100,2,FALSE)</f>
        <v>CHA</v>
      </c>
      <c r="J43">
        <f>VLOOKUP(H43,ID!$C$3:$D$100,2,FALSE)</f>
        <v>28</v>
      </c>
      <c r="K43" t="s">
        <v>274</v>
      </c>
      <c r="L43" t="str">
        <f>VLOOKUP(K43,Localizacoes!$E$3:$F$100,2,FALSE)</f>
        <v>BBG</v>
      </c>
      <c r="M43" t="str">
        <f>VLOOKUP(K43,ID!$E$3:$F$100,2,FALSE)</f>
        <v>BBG</v>
      </c>
      <c r="N43" t="s">
        <v>704</v>
      </c>
      <c r="O43" t="str">
        <f>VLOOKUP(N43,Localizacoes!$G$3:$H$100,2,FALSE)</f>
        <v>EBC</v>
      </c>
      <c r="P43">
        <f>VLOOKUP(N43,ID!$G$3:$H$100,2,FALSE)</f>
        <v>131</v>
      </c>
      <c r="Q43" t="s">
        <v>150</v>
      </c>
      <c r="R43" t="str">
        <f>VLOOKUP(Q43,Localizacoes!$I$3:$J$100,2,FALSE)</f>
        <v>BOM</v>
      </c>
      <c r="S43" t="str">
        <f>VLOOKUP(Q43,ID!$I$3:$J$100,2,FALSE)</f>
        <v>BOM</v>
      </c>
      <c r="T43" s="4" t="s">
        <v>193</v>
      </c>
      <c r="U43" t="s">
        <v>264</v>
      </c>
      <c r="V43" t="s">
        <v>392</v>
      </c>
      <c r="W43" t="s">
        <v>393</v>
      </c>
      <c r="Y43" t="s">
        <v>270</v>
      </c>
      <c r="Z43" t="str">
        <f t="shared" si="9"/>
        <v>Bomba 11</v>
      </c>
      <c r="AA43">
        <v>2007</v>
      </c>
      <c r="AD43" s="23" t="s">
        <v>7</v>
      </c>
      <c r="AF43" t="str">
        <f t="shared" si="12"/>
        <v>Electrobomba centrífugaBomba</v>
      </c>
      <c r="AG43" s="28" t="str">
        <f>VLOOKUP(AF43,Imagens!$C$2:$D$42,2,FALSE)</f>
        <v>65e96125c1d11</v>
      </c>
      <c r="AH43" t="str">
        <f>_xlfn.CONCAT(Imagens!$H$2,'registo_ativo-CDs (1)'!AG43)</f>
        <v>assets/imagens/products/65e96125c1d11</v>
      </c>
      <c r="AI43" s="67">
        <v>45310</v>
      </c>
      <c r="AK43" s="32"/>
    </row>
    <row r="44" spans="1:37" ht="16.8" customHeight="1" x14ac:dyDescent="0.3">
      <c r="A44">
        <f t="shared" si="14"/>
        <v>15</v>
      </c>
      <c r="B44" t="str">
        <f t="shared" si="10"/>
        <v>CD28BBG131MOT11</v>
      </c>
      <c r="C44" t="str">
        <f t="shared" si="11"/>
        <v>CD-CHA-BBG-EBC-MOT-11</v>
      </c>
      <c r="E44" t="s">
        <v>37</v>
      </c>
      <c r="F44" t="str">
        <f>VLOOKUP(E44,Localizacoes!$A$3:$B$100,2,FALSE)</f>
        <v>CD</v>
      </c>
      <c r="G44" t="str">
        <f>VLOOKUP(E44,ID!$A$3:$B$100,2,FALSE)</f>
        <v>CD</v>
      </c>
      <c r="H44" s="14" t="s">
        <v>31</v>
      </c>
      <c r="I44" t="str">
        <f>VLOOKUP(H44,Localizacoes!$C$3:$D$100,2,FALSE)</f>
        <v>CHA</v>
      </c>
      <c r="J44">
        <f>VLOOKUP(H44,ID!$C$3:$D$100,2,FALSE)</f>
        <v>28</v>
      </c>
      <c r="K44" t="s">
        <v>274</v>
      </c>
      <c r="L44" t="str">
        <f>VLOOKUP(K44,Localizacoes!$E$3:$F$100,2,FALSE)</f>
        <v>BBG</v>
      </c>
      <c r="M44" t="str">
        <f>VLOOKUP(K44,ID!$E$3:$F$100,2,FALSE)</f>
        <v>BBG</v>
      </c>
      <c r="N44" t="s">
        <v>704</v>
      </c>
      <c r="O44" t="str">
        <f>VLOOKUP(N44,Localizacoes!$G$3:$H$100,2,FALSE)</f>
        <v>EBC</v>
      </c>
      <c r="P44">
        <f>VLOOKUP(N44,ID!$G$3:$H$100,2,FALSE)</f>
        <v>131</v>
      </c>
      <c r="Q44" t="s">
        <v>21</v>
      </c>
      <c r="R44" t="str">
        <f>VLOOKUP(Q44,Localizacoes!$I$3:$J$100,2,FALSE)</f>
        <v>MOT</v>
      </c>
      <c r="S44" t="str">
        <f>VLOOKUP(Q44,ID!$I$3:$J$100,2,FALSE)</f>
        <v>MOT</v>
      </c>
      <c r="T44" s="4" t="s">
        <v>193</v>
      </c>
      <c r="U44" t="s">
        <v>265</v>
      </c>
      <c r="V44" t="s">
        <v>394</v>
      </c>
      <c r="W44" t="s">
        <v>395</v>
      </c>
      <c r="Y44" t="s">
        <v>270</v>
      </c>
      <c r="Z44" t="str">
        <f t="shared" si="9"/>
        <v>Motor 11</v>
      </c>
      <c r="AA44">
        <v>2007</v>
      </c>
      <c r="AD44" s="23" t="s">
        <v>7</v>
      </c>
      <c r="AF44" t="str">
        <f t="shared" si="12"/>
        <v>Electrobomba centrífugaMotor</v>
      </c>
      <c r="AG44" s="28" t="str">
        <f>VLOOKUP(AF44,Imagens!$C$2:$D$42,2,FALSE)</f>
        <v>65d04210323a4</v>
      </c>
      <c r="AH44" t="str">
        <f>_xlfn.CONCAT(Imagens!$H$2,'registo_ativo-CDs (1)'!AG44)</f>
        <v>assets/imagens/products/65d04210323a4</v>
      </c>
      <c r="AI44" s="67">
        <v>45310</v>
      </c>
      <c r="AK44" s="32"/>
    </row>
    <row r="45" spans="1:37" ht="16.8" customHeight="1" x14ac:dyDescent="0.3">
      <c r="A45">
        <f t="shared" si="14"/>
        <v>15</v>
      </c>
      <c r="B45" t="str">
        <f t="shared" si="10"/>
        <v>CD28BBG131QEA11</v>
      </c>
      <c r="C45" t="str">
        <f t="shared" si="11"/>
        <v>CD-CHA-BBG-EBC-QEA-11</v>
      </c>
      <c r="E45" t="s">
        <v>37</v>
      </c>
      <c r="F45" t="str">
        <f>VLOOKUP(E45,Localizacoes!$A$3:$B$100,2,FALSE)</f>
        <v>CD</v>
      </c>
      <c r="G45" t="str">
        <f>VLOOKUP(E45,ID!$A$3:$B$100,2,FALSE)</f>
        <v>CD</v>
      </c>
      <c r="H45" s="14" t="s">
        <v>31</v>
      </c>
      <c r="I45" t="str">
        <f>VLOOKUP(H45,Localizacoes!$C$3:$D$100,2,FALSE)</f>
        <v>CHA</v>
      </c>
      <c r="J45">
        <f>VLOOKUP(H45,ID!$C$3:$D$100,2,FALSE)</f>
        <v>28</v>
      </c>
      <c r="K45" t="s">
        <v>274</v>
      </c>
      <c r="L45" t="str">
        <f>VLOOKUP(K45,Localizacoes!$E$3:$F$100,2,FALSE)</f>
        <v>BBG</v>
      </c>
      <c r="M45" t="str">
        <f>VLOOKUP(K45,ID!$E$3:$F$100,2,FALSE)</f>
        <v>BBG</v>
      </c>
      <c r="N45" t="s">
        <v>704</v>
      </c>
      <c r="O45" t="str">
        <f>VLOOKUP(N45,Localizacoes!$G$3:$H$100,2,FALSE)</f>
        <v>EBC</v>
      </c>
      <c r="P45">
        <f>VLOOKUP(N45,ID!$G$3:$H$100,2,FALSE)</f>
        <v>131</v>
      </c>
      <c r="Q45" t="s">
        <v>154</v>
      </c>
      <c r="R45" t="str">
        <f>VLOOKUP(Q45,Localizacoes!$I$3:$J$100,2,FALSE)</f>
        <v>QEA</v>
      </c>
      <c r="S45" t="str">
        <f>VLOOKUP(Q45,ID!$I$3:$J$100,2,FALSE)</f>
        <v>QEA</v>
      </c>
      <c r="T45" s="4" t="s">
        <v>193</v>
      </c>
      <c r="U45" t="s">
        <v>265</v>
      </c>
      <c r="Y45" t="s">
        <v>270</v>
      </c>
      <c r="Z45" t="str">
        <f t="shared" si="9"/>
        <v>Quadros Eléctricos de Arranque 11</v>
      </c>
      <c r="AA45">
        <v>2007</v>
      </c>
      <c r="AD45" s="23" t="s">
        <v>267</v>
      </c>
      <c r="AF45" t="str">
        <f t="shared" si="12"/>
        <v>Electrobomba centrífugaQuadros Eléctricos de Arranque</v>
      </c>
      <c r="AG45" s="28" t="str">
        <f>VLOOKUP(AF45,Imagens!$C$2:$D$42,2,FALSE)</f>
        <v>65e8d2fa35c12</v>
      </c>
      <c r="AH45" t="str">
        <f>_xlfn.CONCAT(Imagens!$H$2,'registo_ativo-CDs (1)'!AG45)</f>
        <v>assets/imagens/products/65e8d2fa35c12</v>
      </c>
      <c r="AI45" s="67">
        <v>45366</v>
      </c>
      <c r="AK45" s="32"/>
    </row>
    <row r="46" spans="1:37" ht="16.8" customHeight="1" x14ac:dyDescent="0.3">
      <c r="A46">
        <f t="shared" si="14"/>
        <v>15</v>
      </c>
      <c r="B46" t="str">
        <f t="shared" si="10"/>
        <v>CD28BBG131VSU11</v>
      </c>
      <c r="C46" t="str">
        <f t="shared" si="11"/>
        <v>CD-CHA-BBG-EBC-VSU-11</v>
      </c>
      <c r="E46" t="s">
        <v>37</v>
      </c>
      <c r="F46" t="str">
        <f>VLOOKUP(E46,Localizacoes!$A$3:$B$100,2,FALSE)</f>
        <v>CD</v>
      </c>
      <c r="G46" t="str">
        <f>VLOOKUP(E46,ID!$A$3:$B$100,2,FALSE)</f>
        <v>CD</v>
      </c>
      <c r="H46" s="14" t="s">
        <v>31</v>
      </c>
      <c r="I46" t="str">
        <f>VLOOKUP(H46,Localizacoes!$C$3:$D$100,2,FALSE)</f>
        <v>CHA</v>
      </c>
      <c r="J46">
        <f>VLOOKUP(H46,ID!$C$3:$D$100,2,FALSE)</f>
        <v>28</v>
      </c>
      <c r="K46" t="s">
        <v>274</v>
      </c>
      <c r="L46" t="str">
        <f>VLOOKUP(K46,Localizacoes!$E$3:$F$100,2,FALSE)</f>
        <v>BBG</v>
      </c>
      <c r="M46" t="str">
        <f>VLOOKUP(K46,ID!$E$3:$F$100,2,FALSE)</f>
        <v>BBG</v>
      </c>
      <c r="N46" t="s">
        <v>704</v>
      </c>
      <c r="O46" t="str">
        <f>VLOOKUP(N46,Localizacoes!$G$3:$H$100,2,FALSE)</f>
        <v>EBC</v>
      </c>
      <c r="P46">
        <f>VLOOKUP(N46,ID!$G$3:$H$100,2,FALSE)</f>
        <v>131</v>
      </c>
      <c r="Q46" t="s">
        <v>276</v>
      </c>
      <c r="R46" t="str">
        <f>VLOOKUP(Q46,Localizacoes!$I$3:$J$100,2,FALSE)</f>
        <v>VSU</v>
      </c>
      <c r="S46" t="str">
        <f>VLOOKUP(Q46,ID!$I$3:$J$100,2,FALSE)</f>
        <v>VSU</v>
      </c>
      <c r="T46" s="4" t="s">
        <v>193</v>
      </c>
      <c r="U46" t="s">
        <v>264</v>
      </c>
      <c r="W46" t="s">
        <v>399</v>
      </c>
      <c r="Y46" t="s">
        <v>270</v>
      </c>
      <c r="Z46" t="str">
        <f t="shared" si="9"/>
        <v>Válvula Sucção 11</v>
      </c>
      <c r="AA46">
        <v>2007</v>
      </c>
      <c r="AD46" s="23" t="s">
        <v>267</v>
      </c>
      <c r="AF46" t="str">
        <f t="shared" si="12"/>
        <v>Electrobomba centrífugaVálvula Sucção</v>
      </c>
      <c r="AG46" s="28" t="str">
        <f>VLOOKUP(AF46,Imagens!$C$2:$D$42,2,FALSE)</f>
        <v>65e8cda0676b7</v>
      </c>
      <c r="AH46" t="str">
        <f>_xlfn.CONCAT(Imagens!$H$2,'registo_ativo-CDs (1)'!AG46)</f>
        <v>assets/imagens/products/65e8cda0676b7</v>
      </c>
      <c r="AI46" s="67">
        <v>45366</v>
      </c>
      <c r="AK46" s="32"/>
    </row>
    <row r="47" spans="1:37" ht="16.8" customHeight="1" x14ac:dyDescent="0.3">
      <c r="A47">
        <f t="shared" si="14"/>
        <v>15</v>
      </c>
      <c r="B47" t="str">
        <f t="shared" si="10"/>
        <v>CD28BBG131VDE11</v>
      </c>
      <c r="C47" t="str">
        <f t="shared" si="11"/>
        <v>CD-CHA-BBG-EBC-VDE-11</v>
      </c>
      <c r="E47" t="s">
        <v>37</v>
      </c>
      <c r="F47" t="str">
        <f>VLOOKUP(E47,Localizacoes!$A$3:$B$100,2,FALSE)</f>
        <v>CD</v>
      </c>
      <c r="G47" t="str">
        <f>VLOOKUP(E47,ID!$A$3:$B$100,2,FALSE)</f>
        <v>CD</v>
      </c>
      <c r="H47" s="14" t="s">
        <v>31</v>
      </c>
      <c r="I47" t="str">
        <f>VLOOKUP(H47,Localizacoes!$C$3:$D$100,2,FALSE)</f>
        <v>CHA</v>
      </c>
      <c r="J47">
        <f>VLOOKUP(H47,ID!$C$3:$D$100,2,FALSE)</f>
        <v>28</v>
      </c>
      <c r="K47" t="s">
        <v>274</v>
      </c>
      <c r="L47" t="str">
        <f>VLOOKUP(K47,Localizacoes!$E$3:$F$100,2,FALSE)</f>
        <v>BBG</v>
      </c>
      <c r="M47" t="str">
        <f>VLOOKUP(K47,ID!$E$3:$F$100,2,FALSE)</f>
        <v>BBG</v>
      </c>
      <c r="N47" t="s">
        <v>704</v>
      </c>
      <c r="O47" t="str">
        <f>VLOOKUP(N47,Localizacoes!$G$3:$H$100,2,FALSE)</f>
        <v>EBC</v>
      </c>
      <c r="P47">
        <f>VLOOKUP(N47,ID!$G$3:$H$100,2,FALSE)</f>
        <v>131</v>
      </c>
      <c r="Q47" t="s">
        <v>279</v>
      </c>
      <c r="R47" t="str">
        <f>VLOOKUP(Q47,Localizacoes!$I$3:$J$100,2,FALSE)</f>
        <v>VDE</v>
      </c>
      <c r="S47" t="str">
        <f>VLOOKUP(Q47,ID!$I$3:$J$100,2,FALSE)</f>
        <v>VDE</v>
      </c>
      <c r="T47" s="4" t="s">
        <v>193</v>
      </c>
      <c r="U47" t="s">
        <v>264</v>
      </c>
      <c r="W47" t="s">
        <v>400</v>
      </c>
      <c r="Y47" t="s">
        <v>270</v>
      </c>
      <c r="Z47" t="str">
        <f t="shared" si="9"/>
        <v>Válvula Descarga 11</v>
      </c>
      <c r="AA47">
        <v>2007</v>
      </c>
      <c r="AD47" s="23" t="s">
        <v>267</v>
      </c>
      <c r="AF47" t="str">
        <f t="shared" si="12"/>
        <v>Electrobomba centrífugaVálvula Descarga</v>
      </c>
      <c r="AG47" s="28" t="str">
        <f>VLOOKUP(AF47,Imagens!$C$2:$D$42,2,FALSE)</f>
        <v>65e8cda0676b7</v>
      </c>
      <c r="AH47" t="str">
        <f>_xlfn.CONCAT(Imagens!$H$2,'registo_ativo-CDs (1)'!AG47)</f>
        <v>assets/imagens/products/65e8cda0676b7</v>
      </c>
      <c r="AI47" s="67">
        <v>45366</v>
      </c>
      <c r="AK47" s="32"/>
    </row>
    <row r="48" spans="1:37" ht="16.8" customHeight="1" x14ac:dyDescent="0.3">
      <c r="A48">
        <f t="shared" si="14"/>
        <v>15</v>
      </c>
      <c r="B48" t="str">
        <f t="shared" si="10"/>
        <v>CD28ECA143PRO01</v>
      </c>
      <c r="C48" t="str">
        <f t="shared" si="11"/>
        <v>CD-CHA-ECA-GRU-PRO-01</v>
      </c>
      <c r="E48" t="s">
        <v>37</v>
      </c>
      <c r="F48" t="str">
        <f>VLOOKUP(E48,Localizacoes!$A$3:$B$100,2,FALSE)</f>
        <v>CD</v>
      </c>
      <c r="G48" t="str">
        <f>VLOOKUP(E48,ID!$A$3:$B$100,2,FALSE)</f>
        <v>CD</v>
      </c>
      <c r="H48" s="14" t="s">
        <v>31</v>
      </c>
      <c r="I48" t="str">
        <f>VLOOKUP(H48,Localizacoes!$C$3:$D$100,2,FALSE)</f>
        <v>CHA</v>
      </c>
      <c r="J48">
        <f>VLOOKUP(H48,ID!$C$3:$D$100,2,FALSE)</f>
        <v>28</v>
      </c>
      <c r="K48" t="s">
        <v>285</v>
      </c>
      <c r="L48" t="str">
        <f>VLOOKUP(K48,Localizacoes!$E$3:$F$100,2,FALSE)</f>
        <v>ECA</v>
      </c>
      <c r="M48" t="str">
        <f>VLOOKUP(K48,ID!$E$3:$F$100,2,FALSE)</f>
        <v>ECA</v>
      </c>
      <c r="N48" t="s">
        <v>104</v>
      </c>
      <c r="O48" t="str">
        <f>VLOOKUP(N48,Localizacoes!$G$3:$H$100,2,FALSE)</f>
        <v>GRU</v>
      </c>
      <c r="P48">
        <f>VLOOKUP(N48,ID!$G$3:$H$100,2,FALSE)</f>
        <v>143</v>
      </c>
      <c r="Q48" t="s">
        <v>153</v>
      </c>
      <c r="R48" t="str">
        <f>VLOOKUP(Q48,Localizacoes!$I$3:$J$100,2,FALSE)</f>
        <v>PRO</v>
      </c>
      <c r="S48" t="str">
        <f>VLOOKUP(Q48,ID!$I$3:$J$100,2,FALSE)</f>
        <v>PRO</v>
      </c>
      <c r="T48" s="4" t="s">
        <v>182</v>
      </c>
      <c r="U48" t="s">
        <v>264</v>
      </c>
      <c r="Y48" t="s">
        <v>270</v>
      </c>
      <c r="Z48" t="str">
        <f t="shared" si="9"/>
        <v>Ponte Rolante 01</v>
      </c>
      <c r="AA48"/>
      <c r="AD48" s="13" t="s">
        <v>266</v>
      </c>
      <c r="AF48" t="str">
        <f t="shared" si="12"/>
        <v>GruaPonte Rolante</v>
      </c>
      <c r="AG48" s="28" t="str">
        <f>VLOOKUP(AF48,Imagens!$C$2:$D$42,2,FALSE)</f>
        <v>65c75d2748c4a</v>
      </c>
      <c r="AH48" t="str">
        <f>_xlfn.CONCAT(Imagens!$H$2,'registo_ativo-CDs (1)'!AG48)</f>
        <v>assets/imagens/products/65c75d2748c4a</v>
      </c>
      <c r="AI48" s="67">
        <v>45450</v>
      </c>
      <c r="AK48" s="32"/>
    </row>
    <row r="49" spans="1:37" ht="16.8" customHeight="1" x14ac:dyDescent="0.3">
      <c r="A49">
        <f t="shared" ref="A49:A50" si="15">LEN(B49)</f>
        <v>15</v>
      </c>
      <c r="B49" t="str">
        <f t="shared" ref="B49:B50" si="16">CONCATENATE(G49,J49,M49,P49,S49,T49)</f>
        <v>CD28HTH133MOT02</v>
      </c>
      <c r="C49" t="str">
        <f t="shared" ref="C49:C50" si="17">CONCATENATE(F49, "-", I49, "-", L49, "-", O49, "-", R49, "-", T49)</f>
        <v>CD-CHA-HTH-EBD-MOT-02</v>
      </c>
      <c r="E49" t="s">
        <v>37</v>
      </c>
      <c r="F49" t="str">
        <f>VLOOKUP(E49,Localizacoes!$A$3:$B$100,2,FALSE)</f>
        <v>CD</v>
      </c>
      <c r="G49" t="str">
        <f>VLOOKUP(E49,ID!$A$3:$B$100,2,FALSE)</f>
        <v>CD</v>
      </c>
      <c r="H49" s="14" t="s">
        <v>31</v>
      </c>
      <c r="I49" t="str">
        <f>VLOOKUP(H49,Localizacoes!$C$3:$D$100,2,FALSE)</f>
        <v>CHA</v>
      </c>
      <c r="J49">
        <f>VLOOKUP(H49,ID!$C$3:$D$100,2,FALSE)</f>
        <v>28</v>
      </c>
      <c r="K49" t="s">
        <v>138</v>
      </c>
      <c r="L49" t="str">
        <f>VLOOKUP(K49,Localizacoes!$E$3:$F$100,2,FALSE)</f>
        <v>HTH</v>
      </c>
      <c r="M49" t="str">
        <f>VLOOKUP(K49,ID!$E$3:$F$100,2,FALSE)</f>
        <v>HTH</v>
      </c>
      <c r="N49" t="s">
        <v>662</v>
      </c>
      <c r="O49" t="str">
        <f>VLOOKUP(N49,Localizacoes!$G$3:$H$100,2,FALSE)</f>
        <v>EBD</v>
      </c>
      <c r="P49">
        <f>VLOOKUP(N49,ID!$G$3:$H$100,2,FALSE)</f>
        <v>133</v>
      </c>
      <c r="Q49" t="s">
        <v>21</v>
      </c>
      <c r="R49" t="str">
        <f>VLOOKUP(Q49,Localizacoes!$I$3:$J$100,2,FALSE)</f>
        <v>MOT</v>
      </c>
      <c r="S49" t="str">
        <f>VLOOKUP(Q49,ID!$I$3:$J$100,2,FALSE)</f>
        <v>MOT</v>
      </c>
      <c r="T49" s="4" t="s">
        <v>186</v>
      </c>
      <c r="U49" t="s">
        <v>265</v>
      </c>
      <c r="X49" t="s">
        <v>6</v>
      </c>
      <c r="Y49" t="s">
        <v>270</v>
      </c>
      <c r="Z49" t="str">
        <f t="shared" si="9"/>
        <v>Motor 02</v>
      </c>
      <c r="AA49">
        <v>2024</v>
      </c>
      <c r="AD49" s="13" t="s">
        <v>7</v>
      </c>
      <c r="AF49" t="str">
        <f t="shared" ref="AF49:AF50" si="18">_xlfn.CONCAT(N49,Q49)</f>
        <v>Electrobomba Doseadora de DiafragmaMotor</v>
      </c>
      <c r="AG49" s="28" t="str">
        <f>VLOOKUP(AF49,Imagens!$C$2:$D$42,2,FALSE)</f>
        <v>65e8d1ea50af1</v>
      </c>
      <c r="AH49" t="str">
        <f>_xlfn.CONCAT(Imagens!$H$2,'registo_ativo-CDs (1)'!AG49)</f>
        <v>assets/imagens/products/65e8d1ea50af1</v>
      </c>
      <c r="AI49" s="67">
        <v>45324</v>
      </c>
      <c r="AK49" s="32"/>
    </row>
    <row r="50" spans="1:37" ht="16.8" customHeight="1" x14ac:dyDescent="0.3">
      <c r="A50">
        <f t="shared" si="15"/>
        <v>15</v>
      </c>
      <c r="B50" t="str">
        <f t="shared" si="16"/>
        <v>CD28HTH133BOM02</v>
      </c>
      <c r="C50" t="str">
        <f t="shared" si="17"/>
        <v>CD-CHA-HTH-EBD-BOM-02</v>
      </c>
      <c r="E50" t="s">
        <v>37</v>
      </c>
      <c r="F50" t="str">
        <f>VLOOKUP(E50,Localizacoes!$A$3:$B$100,2,FALSE)</f>
        <v>CD</v>
      </c>
      <c r="G50" t="str">
        <f>VLOOKUP(E50,ID!$A$3:$B$100,2,FALSE)</f>
        <v>CD</v>
      </c>
      <c r="H50" s="14" t="s">
        <v>31</v>
      </c>
      <c r="I50" t="str">
        <f>VLOOKUP(H50,Localizacoes!$C$3:$D$100,2,FALSE)</f>
        <v>CHA</v>
      </c>
      <c r="J50">
        <f>VLOOKUP(H50,ID!$C$3:$D$100,2,FALSE)</f>
        <v>28</v>
      </c>
      <c r="K50" t="s">
        <v>138</v>
      </c>
      <c r="L50" t="str">
        <f>VLOOKUP(K50,Localizacoes!$E$3:$F$100,2,FALSE)</f>
        <v>HTH</v>
      </c>
      <c r="M50" t="str">
        <f>VLOOKUP(K50,ID!$E$3:$F$100,2,FALSE)</f>
        <v>HTH</v>
      </c>
      <c r="N50" t="s">
        <v>662</v>
      </c>
      <c r="O50" t="str">
        <f>VLOOKUP(N50,Localizacoes!$G$3:$H$100,2,FALSE)</f>
        <v>EBD</v>
      </c>
      <c r="P50">
        <f>VLOOKUP(N50,ID!$G$3:$H$100,2,FALSE)</f>
        <v>133</v>
      </c>
      <c r="Q50" t="s">
        <v>150</v>
      </c>
      <c r="R50" t="str">
        <f>VLOOKUP(Q50,Localizacoes!$I$3:$J$100,2,FALSE)</f>
        <v>BOM</v>
      </c>
      <c r="S50" t="str">
        <f>VLOOKUP(Q50,ID!$I$3:$J$100,2,FALSE)</f>
        <v>BOM</v>
      </c>
      <c r="T50" s="4" t="s">
        <v>186</v>
      </c>
      <c r="U50" t="s">
        <v>264</v>
      </c>
      <c r="Y50" t="s">
        <v>270</v>
      </c>
      <c r="Z50" t="str">
        <f t="shared" si="9"/>
        <v>Bomba 02</v>
      </c>
      <c r="AA50">
        <v>2024</v>
      </c>
      <c r="AD50" s="13" t="s">
        <v>7</v>
      </c>
      <c r="AF50" t="str">
        <f t="shared" si="18"/>
        <v>Electrobomba Doseadora de DiafragmaBomba</v>
      </c>
      <c r="AG50" s="28" t="str">
        <f>VLOOKUP(AF50,Imagens!$C$2:$D$42,2,FALSE)</f>
        <v>65e8d1ea50af1</v>
      </c>
      <c r="AH50" t="str">
        <f>_xlfn.CONCAT(Imagens!$H$2,'registo_ativo-CDs (1)'!AG50)</f>
        <v>assets/imagens/products/65e8d1ea50af1</v>
      </c>
      <c r="AI50" s="67">
        <v>45324</v>
      </c>
      <c r="AK50" s="32"/>
    </row>
    <row r="51" spans="1:37" ht="16.8" customHeight="1" x14ac:dyDescent="0.3">
      <c r="A51">
        <f t="shared" si="14"/>
        <v>15</v>
      </c>
      <c r="B51" t="str">
        <f t="shared" si="10"/>
        <v>CD28HTH133MOT03</v>
      </c>
      <c r="C51" t="str">
        <f t="shared" si="11"/>
        <v>CD-CHA-HTH-EBD-MOT-03</v>
      </c>
      <c r="E51" t="s">
        <v>37</v>
      </c>
      <c r="F51" t="str">
        <f>VLOOKUP(E51,Localizacoes!$A$3:$B$100,2,FALSE)</f>
        <v>CD</v>
      </c>
      <c r="G51" t="str">
        <f>VLOOKUP(E51,ID!$A$3:$B$100,2,FALSE)</f>
        <v>CD</v>
      </c>
      <c r="H51" s="14" t="s">
        <v>31</v>
      </c>
      <c r="I51" t="str">
        <f>VLOOKUP(H51,Localizacoes!$C$3:$D$100,2,FALSE)</f>
        <v>CHA</v>
      </c>
      <c r="J51">
        <f>VLOOKUP(H51,ID!$C$3:$D$100,2,FALSE)</f>
        <v>28</v>
      </c>
      <c r="K51" t="s">
        <v>138</v>
      </c>
      <c r="L51" t="str">
        <f>VLOOKUP(K51,Localizacoes!$E$3:$F$100,2,FALSE)</f>
        <v>HTH</v>
      </c>
      <c r="M51" t="str">
        <f>VLOOKUP(K51,ID!$E$3:$F$100,2,FALSE)</f>
        <v>HTH</v>
      </c>
      <c r="N51" t="s">
        <v>662</v>
      </c>
      <c r="O51" t="str">
        <f>VLOOKUP(N51,Localizacoes!$G$3:$H$100,2,FALSE)</f>
        <v>EBD</v>
      </c>
      <c r="P51">
        <f>VLOOKUP(N51,ID!$G$3:$H$100,2,FALSE)</f>
        <v>133</v>
      </c>
      <c r="Q51" t="s">
        <v>21</v>
      </c>
      <c r="R51" t="str">
        <f>VLOOKUP(Q51,Localizacoes!$I$3:$J$100,2,FALSE)</f>
        <v>MOT</v>
      </c>
      <c r="S51" t="str">
        <f>VLOOKUP(Q51,ID!$I$3:$J$100,2,FALSE)</f>
        <v>MOT</v>
      </c>
      <c r="T51" s="4" t="s">
        <v>187</v>
      </c>
      <c r="U51" t="s">
        <v>265</v>
      </c>
      <c r="X51" t="s">
        <v>6</v>
      </c>
      <c r="Y51" t="s">
        <v>270</v>
      </c>
      <c r="Z51" t="str">
        <f t="shared" si="9"/>
        <v>Motor 03</v>
      </c>
      <c r="AA51">
        <v>2008</v>
      </c>
      <c r="AD51" s="13" t="s">
        <v>7</v>
      </c>
      <c r="AF51" t="str">
        <f t="shared" si="12"/>
        <v>Electrobomba Doseadora de DiafragmaMotor</v>
      </c>
      <c r="AG51" s="28" t="str">
        <f>VLOOKUP(AF51,Imagens!$C$2:$D$42,2,FALSE)</f>
        <v>65e8d1ea50af1</v>
      </c>
      <c r="AH51" t="str">
        <f>_xlfn.CONCAT(Imagens!$H$2,'registo_ativo-CDs (1)'!AG51)</f>
        <v>assets/imagens/products/65e8d1ea50af1</v>
      </c>
      <c r="AI51" s="67">
        <v>45324</v>
      </c>
      <c r="AK51" s="32"/>
    </row>
    <row r="52" spans="1:37" ht="16.8" customHeight="1" x14ac:dyDescent="0.3">
      <c r="A52">
        <f t="shared" si="14"/>
        <v>15</v>
      </c>
      <c r="B52" t="str">
        <f t="shared" si="10"/>
        <v>CD28HTH133BOM03</v>
      </c>
      <c r="C52" t="str">
        <f t="shared" si="11"/>
        <v>CD-CHA-HTH-EBD-BOM-03</v>
      </c>
      <c r="E52" t="s">
        <v>37</v>
      </c>
      <c r="F52" t="str">
        <f>VLOOKUP(E52,Localizacoes!$A$3:$B$100,2,FALSE)</f>
        <v>CD</v>
      </c>
      <c r="G52" t="str">
        <f>VLOOKUP(E52,ID!$A$3:$B$100,2,FALSE)</f>
        <v>CD</v>
      </c>
      <c r="H52" s="14" t="s">
        <v>31</v>
      </c>
      <c r="I52" t="str">
        <f>VLOOKUP(H52,Localizacoes!$C$3:$D$100,2,FALSE)</f>
        <v>CHA</v>
      </c>
      <c r="J52">
        <f>VLOOKUP(H52,ID!$C$3:$D$100,2,FALSE)</f>
        <v>28</v>
      </c>
      <c r="K52" t="s">
        <v>138</v>
      </c>
      <c r="L52" t="str">
        <f>VLOOKUP(K52,Localizacoes!$E$3:$F$100,2,FALSE)</f>
        <v>HTH</v>
      </c>
      <c r="M52" t="str">
        <f>VLOOKUP(K52,ID!$E$3:$F$100,2,FALSE)</f>
        <v>HTH</v>
      </c>
      <c r="N52" t="s">
        <v>662</v>
      </c>
      <c r="O52" t="str">
        <f>VLOOKUP(N52,Localizacoes!$G$3:$H$100,2,FALSE)</f>
        <v>EBD</v>
      </c>
      <c r="P52">
        <f>VLOOKUP(N52,ID!$G$3:$H$100,2,FALSE)</f>
        <v>133</v>
      </c>
      <c r="Q52" t="s">
        <v>150</v>
      </c>
      <c r="R52" t="str">
        <f>VLOOKUP(Q52,Localizacoes!$I$3:$J$100,2,FALSE)</f>
        <v>BOM</v>
      </c>
      <c r="S52" t="str">
        <f>VLOOKUP(Q52,ID!$I$3:$J$100,2,FALSE)</f>
        <v>BOM</v>
      </c>
      <c r="T52" s="4" t="s">
        <v>187</v>
      </c>
      <c r="U52" t="s">
        <v>264</v>
      </c>
      <c r="Y52" t="s">
        <v>270</v>
      </c>
      <c r="Z52" t="str">
        <f t="shared" si="9"/>
        <v>Bomba 03</v>
      </c>
      <c r="AA52">
        <v>2008</v>
      </c>
      <c r="AD52" s="13" t="s">
        <v>7</v>
      </c>
      <c r="AF52" t="str">
        <f t="shared" si="12"/>
        <v>Electrobomba Doseadora de DiafragmaBomba</v>
      </c>
      <c r="AG52" s="28" t="str">
        <f>VLOOKUP(AF52,Imagens!$C$2:$D$42,2,FALSE)</f>
        <v>65e8d1ea50af1</v>
      </c>
      <c r="AH52" t="str">
        <f>_xlfn.CONCAT(Imagens!$H$2,'registo_ativo-CDs (1)'!AG52)</f>
        <v>assets/imagens/products/65e8d1ea50af1</v>
      </c>
      <c r="AI52" s="67">
        <v>45324</v>
      </c>
      <c r="AK52" s="32"/>
    </row>
    <row r="53" spans="1:37" ht="16.8" customHeight="1" x14ac:dyDescent="0.3">
      <c r="A53">
        <f t="shared" ref="A53:A54" si="19">LEN(B53)</f>
        <v>15</v>
      </c>
      <c r="B53" t="str">
        <f t="shared" ref="B53:B54" si="20">CONCATENATE(G53,J53,M53,P53,S53,T53)</f>
        <v>CD28HTH103CEN01</v>
      </c>
      <c r="C53" t="str">
        <f t="shared" si="11"/>
        <v>CD-CHA-HTH-AGI-CEN-01</v>
      </c>
      <c r="E53" t="s">
        <v>37</v>
      </c>
      <c r="F53" t="str">
        <f>VLOOKUP(E53,Localizacoes!$A$3:$B$100,2,FALSE)</f>
        <v>CD</v>
      </c>
      <c r="G53" t="str">
        <f>VLOOKUP(E53,ID!$A$3:$B$100,2,FALSE)</f>
        <v>CD</v>
      </c>
      <c r="H53" s="14" t="s">
        <v>31</v>
      </c>
      <c r="I53" t="str">
        <f>VLOOKUP(H53,Localizacoes!$C$3:$D$100,2,FALSE)</f>
        <v>CHA</v>
      </c>
      <c r="J53">
        <f>VLOOKUP(H53,ID!$C$3:$D$100,2,FALSE)</f>
        <v>28</v>
      </c>
      <c r="K53" t="s">
        <v>138</v>
      </c>
      <c r="L53" t="str">
        <f>VLOOKUP(K53,Localizacoes!$E$3:$F$100,2,FALSE)</f>
        <v>HTH</v>
      </c>
      <c r="M53" t="str">
        <f>VLOOKUP(K53,ID!$E$3:$F$100,2,FALSE)</f>
        <v>HTH</v>
      </c>
      <c r="N53" t="s">
        <v>131</v>
      </c>
      <c r="O53" t="str">
        <f>VLOOKUP(N53,Localizacoes!$G$3:$H$100,2,FALSE)</f>
        <v>AGI</v>
      </c>
      <c r="P53">
        <f>VLOOKUP(N53,ID!$G$3:$H$100,2,FALSE)</f>
        <v>103</v>
      </c>
      <c r="Q53" t="s">
        <v>333</v>
      </c>
      <c r="R53" t="str">
        <f>VLOOKUP(Q53,Localizacoes!$I$3:$J$100,2,FALSE)</f>
        <v>CEN</v>
      </c>
      <c r="S53" t="str">
        <f>VLOOKUP(Q53,ID!$I$3:$J$100,2,FALSE)</f>
        <v>CEN</v>
      </c>
      <c r="T53" s="4" t="s">
        <v>182</v>
      </c>
      <c r="U53" t="s">
        <v>264</v>
      </c>
      <c r="V53" t="s">
        <v>401</v>
      </c>
      <c r="W53" t="s">
        <v>402</v>
      </c>
      <c r="Y53" t="s">
        <v>270</v>
      </c>
      <c r="Z53" t="str">
        <f t="shared" si="9"/>
        <v>Caixa de Engrenagem 01</v>
      </c>
      <c r="AA53"/>
      <c r="AD53" s="13" t="s">
        <v>7</v>
      </c>
      <c r="AF53" t="str">
        <f t="shared" ref="AF53:AF54" si="21">_xlfn.CONCAT(N53,Q53)</f>
        <v>Agitador  Caixa de Engrenagem</v>
      </c>
      <c r="AG53" s="28" t="str">
        <f>VLOOKUP(AF53,Imagens!$C$2:$D$42,2,FALSE)</f>
        <v>65e8e1a7e4bd4</v>
      </c>
      <c r="AH53" t="str">
        <f>_xlfn.CONCAT(Imagens!$H$2,'registo_ativo-CDs (1)'!AG53)</f>
        <v>assets/imagens/products/65e8e1a7e4bd4</v>
      </c>
      <c r="AI53" s="67">
        <v>45324</v>
      </c>
      <c r="AK53" s="32"/>
    </row>
    <row r="54" spans="1:37" ht="16.8" customHeight="1" x14ac:dyDescent="0.3">
      <c r="A54">
        <f t="shared" si="19"/>
        <v>15</v>
      </c>
      <c r="B54" t="str">
        <f t="shared" si="20"/>
        <v>CD28HTH103MOT01</v>
      </c>
      <c r="C54" t="str">
        <f t="shared" ref="C54" si="22">CONCATENATE(F54, "-", I54, "-", L54, "-", O54, "-", R54, "-", T54)</f>
        <v>CD-CHA-HTH-AGI-MOT-01</v>
      </c>
      <c r="E54" t="s">
        <v>37</v>
      </c>
      <c r="F54" t="str">
        <f>VLOOKUP(E54,Localizacoes!$A$3:$B$100,2,FALSE)</f>
        <v>CD</v>
      </c>
      <c r="G54" t="str">
        <f>VLOOKUP(E54,ID!$A$3:$B$100,2,FALSE)</f>
        <v>CD</v>
      </c>
      <c r="H54" s="14" t="s">
        <v>31</v>
      </c>
      <c r="I54" t="str">
        <f>VLOOKUP(H54,Localizacoes!$C$3:$D$100,2,FALSE)</f>
        <v>CHA</v>
      </c>
      <c r="J54">
        <f>VLOOKUP(H54,ID!$C$3:$D$100,2,FALSE)</f>
        <v>28</v>
      </c>
      <c r="K54" t="s">
        <v>138</v>
      </c>
      <c r="L54" t="str">
        <f>VLOOKUP(K54,Localizacoes!$E$3:$F$100,2,FALSE)</f>
        <v>HTH</v>
      </c>
      <c r="M54" t="str">
        <f>VLOOKUP(K54,ID!$E$3:$F$100,2,FALSE)</f>
        <v>HTH</v>
      </c>
      <c r="N54" t="s">
        <v>131</v>
      </c>
      <c r="O54" t="str">
        <f>VLOOKUP(N54,Localizacoes!$G$3:$H$100,2,FALSE)</f>
        <v>AGI</v>
      </c>
      <c r="P54">
        <f>VLOOKUP(N54,ID!$G$3:$H$100,2,FALSE)</f>
        <v>103</v>
      </c>
      <c r="Q54" t="s">
        <v>21</v>
      </c>
      <c r="R54" t="str">
        <f>VLOOKUP(Q54,Localizacoes!$I$3:$J$100,2,FALSE)</f>
        <v>MOT</v>
      </c>
      <c r="S54" t="str">
        <f>VLOOKUP(Q54,ID!$I$3:$J$100,2,FALSE)</f>
        <v>MOT</v>
      </c>
      <c r="T54" s="4" t="s">
        <v>182</v>
      </c>
      <c r="U54" t="s">
        <v>265</v>
      </c>
      <c r="Y54" t="s">
        <v>270</v>
      </c>
      <c r="Z54" t="str">
        <f t="shared" si="9"/>
        <v>Motor 01</v>
      </c>
      <c r="AA54"/>
      <c r="AD54" s="13" t="s">
        <v>7</v>
      </c>
      <c r="AF54" t="str">
        <f t="shared" si="21"/>
        <v>Agitador  Motor</v>
      </c>
      <c r="AG54" s="28" t="str">
        <f>VLOOKUP(AF54,Imagens!$C$2:$D$42,2,FALSE)</f>
        <v>65e8e1a7e4bd4</v>
      </c>
      <c r="AH54" t="str">
        <f>_xlfn.CONCAT(Imagens!$H$2,'registo_ativo-CDs (1)'!AG54)</f>
        <v>assets/imagens/products/65e8e1a7e4bd4</v>
      </c>
      <c r="AI54" s="67">
        <v>45324</v>
      </c>
      <c r="AK54" s="32"/>
    </row>
    <row r="55" spans="1:37" ht="16.8" customHeight="1" x14ac:dyDescent="0.3">
      <c r="A55">
        <f t="shared" si="14"/>
        <v>15</v>
      </c>
      <c r="B55" t="str">
        <f t="shared" si="10"/>
        <v>CD28HTH103CEN02</v>
      </c>
      <c r="C55" t="str">
        <f t="shared" si="11"/>
        <v>CD-CHA-HTH-AGI-CEN-02</v>
      </c>
      <c r="E55" t="s">
        <v>37</v>
      </c>
      <c r="F55" t="str">
        <f>VLOOKUP(E55,Localizacoes!$A$3:$B$100,2,FALSE)</f>
        <v>CD</v>
      </c>
      <c r="G55" t="str">
        <f>VLOOKUP(E55,ID!$A$3:$B$100,2,FALSE)</f>
        <v>CD</v>
      </c>
      <c r="H55" s="14" t="s">
        <v>31</v>
      </c>
      <c r="I55" t="str">
        <f>VLOOKUP(H55,Localizacoes!$C$3:$D$100,2,FALSE)</f>
        <v>CHA</v>
      </c>
      <c r="J55">
        <f>VLOOKUP(H55,ID!$C$3:$D$100,2,FALSE)</f>
        <v>28</v>
      </c>
      <c r="K55" t="s">
        <v>138</v>
      </c>
      <c r="L55" t="str">
        <f>VLOOKUP(K55,Localizacoes!$E$3:$F$100,2,FALSE)</f>
        <v>HTH</v>
      </c>
      <c r="M55" t="str">
        <f>VLOOKUP(K55,ID!$E$3:$F$100,2,FALSE)</f>
        <v>HTH</v>
      </c>
      <c r="N55" t="s">
        <v>131</v>
      </c>
      <c r="O55" t="str">
        <f>VLOOKUP(N55,Localizacoes!$G$3:$H$100,2,FALSE)</f>
        <v>AGI</v>
      </c>
      <c r="P55">
        <f>VLOOKUP(N55,ID!$G$3:$H$100,2,FALSE)</f>
        <v>103</v>
      </c>
      <c r="Q55" t="s">
        <v>333</v>
      </c>
      <c r="R55" t="str">
        <f>VLOOKUP(Q55,Localizacoes!$I$3:$J$100,2,FALSE)</f>
        <v>CEN</v>
      </c>
      <c r="S55" t="str">
        <f>VLOOKUP(Q55,ID!$I$3:$J$100,2,FALSE)</f>
        <v>CEN</v>
      </c>
      <c r="T55" s="4" t="s">
        <v>186</v>
      </c>
      <c r="U55" t="s">
        <v>264</v>
      </c>
      <c r="V55" t="s">
        <v>401</v>
      </c>
      <c r="W55" t="s">
        <v>402</v>
      </c>
      <c r="Y55" t="s">
        <v>270</v>
      </c>
      <c r="Z55" t="str">
        <f t="shared" si="9"/>
        <v>Caixa de Engrenagem 02</v>
      </c>
      <c r="AA55"/>
      <c r="AD55" s="13" t="s">
        <v>7</v>
      </c>
      <c r="AF55" t="str">
        <f t="shared" si="12"/>
        <v>Agitador  Caixa de Engrenagem</v>
      </c>
      <c r="AG55" s="28" t="str">
        <f>VLOOKUP(AF55,Imagens!$C$2:$D$42,2,FALSE)</f>
        <v>65e8e1a7e4bd4</v>
      </c>
      <c r="AH55" t="str">
        <f>_xlfn.CONCAT(Imagens!$H$2,'registo_ativo-CDs (1)'!AG55)</f>
        <v>assets/imagens/products/65e8e1a7e4bd4</v>
      </c>
      <c r="AI55" s="67">
        <v>45324</v>
      </c>
      <c r="AK55" s="32"/>
    </row>
    <row r="56" spans="1:37" ht="16.8" customHeight="1" x14ac:dyDescent="0.3">
      <c r="A56">
        <f t="shared" si="14"/>
        <v>15</v>
      </c>
      <c r="B56" t="str">
        <f t="shared" si="10"/>
        <v>CD28HTH103MOT02</v>
      </c>
      <c r="C56" t="str">
        <f t="shared" si="11"/>
        <v>CD-CHA-HTH-AGI-MOT-02</v>
      </c>
      <c r="E56" t="s">
        <v>37</v>
      </c>
      <c r="F56" t="str">
        <f>VLOOKUP(E56,Localizacoes!$A$3:$B$100,2,FALSE)</f>
        <v>CD</v>
      </c>
      <c r="G56" t="str">
        <f>VLOOKUP(E56,ID!$A$3:$B$100,2,FALSE)</f>
        <v>CD</v>
      </c>
      <c r="H56" s="14" t="s">
        <v>31</v>
      </c>
      <c r="I56" t="str">
        <f>VLOOKUP(H56,Localizacoes!$C$3:$D$100,2,FALSE)</f>
        <v>CHA</v>
      </c>
      <c r="J56">
        <f>VLOOKUP(H56,ID!$C$3:$D$100,2,FALSE)</f>
        <v>28</v>
      </c>
      <c r="K56" t="s">
        <v>138</v>
      </c>
      <c r="L56" t="str">
        <f>VLOOKUP(K56,Localizacoes!$E$3:$F$100,2,FALSE)</f>
        <v>HTH</v>
      </c>
      <c r="M56" t="str">
        <f>VLOOKUP(K56,ID!$E$3:$F$100,2,FALSE)</f>
        <v>HTH</v>
      </c>
      <c r="N56" t="s">
        <v>131</v>
      </c>
      <c r="O56" t="str">
        <f>VLOOKUP(N56,Localizacoes!$G$3:$H$100,2,FALSE)</f>
        <v>AGI</v>
      </c>
      <c r="P56">
        <f>VLOOKUP(N56,ID!$G$3:$H$100,2,FALSE)</f>
        <v>103</v>
      </c>
      <c r="Q56" t="s">
        <v>21</v>
      </c>
      <c r="R56" t="str">
        <f>VLOOKUP(Q56,Localizacoes!$I$3:$J$100,2,FALSE)</f>
        <v>MOT</v>
      </c>
      <c r="S56" t="str">
        <f>VLOOKUP(Q56,ID!$I$3:$J$100,2,FALSE)</f>
        <v>MOT</v>
      </c>
      <c r="T56" s="4" t="s">
        <v>186</v>
      </c>
      <c r="U56" t="s">
        <v>265</v>
      </c>
      <c r="Y56" t="s">
        <v>270</v>
      </c>
      <c r="Z56" t="str">
        <f t="shared" si="9"/>
        <v>Motor 02</v>
      </c>
      <c r="AA56"/>
      <c r="AD56" s="13" t="s">
        <v>7</v>
      </c>
      <c r="AF56" t="str">
        <f t="shared" si="12"/>
        <v>Agitador  Motor</v>
      </c>
      <c r="AG56" s="28" t="str">
        <f>VLOOKUP(AF56,Imagens!$C$2:$D$42,2,FALSE)</f>
        <v>65e8e1a7e4bd4</v>
      </c>
      <c r="AH56" t="str">
        <f>_xlfn.CONCAT(Imagens!$H$2,'registo_ativo-CDs (1)'!AG56)</f>
        <v>assets/imagens/products/65e8e1a7e4bd4</v>
      </c>
      <c r="AI56" s="67">
        <v>45324</v>
      </c>
      <c r="AK56" s="32"/>
    </row>
    <row r="57" spans="1:37" ht="16.8" customHeight="1" x14ac:dyDescent="0.3">
      <c r="A57">
        <f t="shared" si="14"/>
        <v>15</v>
      </c>
      <c r="B57" t="str">
        <f t="shared" si="10"/>
        <v>CD28HTH152QEA01</v>
      </c>
      <c r="C57" t="str">
        <f t="shared" si="11"/>
        <v>CD-CHA-HTH-QEL-QEA-01</v>
      </c>
      <c r="E57" t="s">
        <v>37</v>
      </c>
      <c r="F57" t="str">
        <f>VLOOKUP(E57,Localizacoes!$A$3:$B$100,2,FALSE)</f>
        <v>CD</v>
      </c>
      <c r="G57" t="str">
        <f>VLOOKUP(E57,ID!$A$3:$B$100,2,FALSE)</f>
        <v>CD</v>
      </c>
      <c r="H57" s="14" t="s">
        <v>31</v>
      </c>
      <c r="I57" t="str">
        <f>VLOOKUP(H57,Localizacoes!$C$3:$D$100,2,FALSE)</f>
        <v>CHA</v>
      </c>
      <c r="J57">
        <f>VLOOKUP(H57,ID!$C$3:$D$100,2,FALSE)</f>
        <v>28</v>
      </c>
      <c r="K57" t="s">
        <v>138</v>
      </c>
      <c r="L57" t="str">
        <f>VLOOKUP(K57,Localizacoes!$E$3:$F$100,2,FALSE)</f>
        <v>HTH</v>
      </c>
      <c r="M57" t="str">
        <f>VLOOKUP(K57,ID!$E$3:$F$100,2,FALSE)</f>
        <v>HTH</v>
      </c>
      <c r="N57" t="s">
        <v>286</v>
      </c>
      <c r="O57" t="str">
        <f>VLOOKUP(N57,Localizacoes!$G$3:$H$100,2,FALSE)</f>
        <v>QEL</v>
      </c>
      <c r="P57">
        <f>VLOOKUP(N57,ID!$G$3:$H$100,2,FALSE)</f>
        <v>152</v>
      </c>
      <c r="Q57" t="s">
        <v>154</v>
      </c>
      <c r="R57" t="str">
        <f>VLOOKUP(Q57,Localizacoes!$I$3:$J$100,2,FALSE)</f>
        <v>QEA</v>
      </c>
      <c r="S57" t="str">
        <f>VLOOKUP(Q57,ID!$I$3:$J$100,2,FALSE)</f>
        <v>QEA</v>
      </c>
      <c r="T57" s="4" t="s">
        <v>182</v>
      </c>
      <c r="U57" t="s">
        <v>265</v>
      </c>
      <c r="Y57" t="s">
        <v>270</v>
      </c>
      <c r="Z57" t="str">
        <f t="shared" si="9"/>
        <v>Quadros Eléctricos de Arranque 01</v>
      </c>
      <c r="AA57"/>
      <c r="AD57" s="23" t="s">
        <v>267</v>
      </c>
      <c r="AF57" t="str">
        <f t="shared" si="12"/>
        <v>Quadro EléctricoQuadros Eléctricos de Arranque</v>
      </c>
      <c r="AG57" s="28" t="str">
        <f>VLOOKUP(AF57,Imagens!$C$2:$D$42,2,FALSE)</f>
        <v>65e8d2fa35c12</v>
      </c>
      <c r="AH57" t="str">
        <f>_xlfn.CONCAT(Imagens!$H$2,'registo_ativo-CDs (1)'!AG57)</f>
        <v>assets/imagens/products/65e8d2fa35c12</v>
      </c>
      <c r="AI57" s="67">
        <v>45366</v>
      </c>
      <c r="AK57" s="32"/>
    </row>
    <row r="58" spans="1:37" ht="16.8" customHeight="1" x14ac:dyDescent="0.3">
      <c r="A58">
        <f t="shared" si="14"/>
        <v>15</v>
      </c>
      <c r="B58" t="str">
        <f t="shared" si="10"/>
        <v>CD28ACH158CHO01</v>
      </c>
      <c r="C58" t="str">
        <f t="shared" si="11"/>
        <v>CD-CHA-ACH-RES-CHO-01</v>
      </c>
      <c r="E58" t="s">
        <v>37</v>
      </c>
      <c r="F58" t="str">
        <f>VLOOKUP(E58,Localizacoes!$A$3:$B$100,2,FALSE)</f>
        <v>CD</v>
      </c>
      <c r="G58" t="str">
        <f>VLOOKUP(E58,ID!$A$3:$B$100,2,FALSE)</f>
        <v>CD</v>
      </c>
      <c r="H58" s="14" t="s">
        <v>31</v>
      </c>
      <c r="I58" t="str">
        <f>VLOOKUP(H58,Localizacoes!$C$3:$D$100,2,FALSE)</f>
        <v>CHA</v>
      </c>
      <c r="J58">
        <f>VLOOKUP(H58,ID!$C$3:$D$100,2,FALSE)</f>
        <v>28</v>
      </c>
      <c r="K58" t="s">
        <v>99</v>
      </c>
      <c r="L58" t="str">
        <f>VLOOKUP(K58,Localizacoes!$E$3:$F$100,2,FALSE)</f>
        <v>ACH</v>
      </c>
      <c r="M58" t="str">
        <f>VLOOKUP(K58,ID!$E$3:$F$100,2,FALSE)</f>
        <v>ACH</v>
      </c>
      <c r="N58" t="s">
        <v>155</v>
      </c>
      <c r="O58" t="str">
        <f>VLOOKUP(N58,Localizacoes!$G$3:$H$100,2,FALSE)</f>
        <v>RES</v>
      </c>
      <c r="P58">
        <f>VLOOKUP(N58,ID!$G$3:$H$100,2,FALSE)</f>
        <v>158</v>
      </c>
      <c r="Q58" t="s">
        <v>432</v>
      </c>
      <c r="R58" t="str">
        <f>VLOOKUP(Q58,Localizacoes!$I$3:$J$100,2,FALSE)</f>
        <v>CHO</v>
      </c>
      <c r="S58" t="str">
        <f>VLOOKUP(Q58,ID!$I$3:$J$100,2,FALSE)</f>
        <v>CHO</v>
      </c>
      <c r="T58" s="4" t="s">
        <v>182</v>
      </c>
      <c r="U58" t="s">
        <v>264</v>
      </c>
      <c r="V58" t="s">
        <v>403</v>
      </c>
      <c r="W58" t="s">
        <v>404</v>
      </c>
      <c r="Y58" t="s">
        <v>270</v>
      </c>
      <c r="Z58" t="str">
        <f t="shared" si="9"/>
        <v>Choque Hidráulico 01</v>
      </c>
      <c r="AA58">
        <v>2007</v>
      </c>
      <c r="AD58" s="13" t="s">
        <v>7</v>
      </c>
      <c r="AF58" t="str">
        <f t="shared" si="12"/>
        <v>ReservatórioChoque Hidráulico</v>
      </c>
      <c r="AG58" s="28" t="str">
        <f>VLOOKUP(AF58,Imagens!$C$2:$D$42,2,FALSE)</f>
        <v>08679b4a</v>
      </c>
      <c r="AH58" t="str">
        <f>_xlfn.CONCAT(Imagens!$H$2,'registo_ativo-CDs (1)'!AG58)</f>
        <v>assets/imagens/products/08679b4a</v>
      </c>
      <c r="AI58" s="68">
        <v>45324</v>
      </c>
      <c r="AK58" s="32"/>
    </row>
    <row r="59" spans="1:37" ht="16.8" customHeight="1" x14ac:dyDescent="0.3">
      <c r="A59">
        <f t="shared" si="14"/>
        <v>15</v>
      </c>
      <c r="B59" t="str">
        <f t="shared" si="10"/>
        <v>CD28ACH158CHO02</v>
      </c>
      <c r="C59" t="str">
        <f t="shared" si="11"/>
        <v>CD-CHA-ACH-RES-CHO-02</v>
      </c>
      <c r="E59" t="s">
        <v>37</v>
      </c>
      <c r="F59" t="str">
        <f>VLOOKUP(E59,Localizacoes!$A$3:$B$100,2,FALSE)</f>
        <v>CD</v>
      </c>
      <c r="G59" t="str">
        <f>VLOOKUP(E59,ID!$A$3:$B$100,2,FALSE)</f>
        <v>CD</v>
      </c>
      <c r="H59" s="14" t="s">
        <v>31</v>
      </c>
      <c r="I59" t="str">
        <f>VLOOKUP(H59,Localizacoes!$C$3:$D$100,2,FALSE)</f>
        <v>CHA</v>
      </c>
      <c r="J59">
        <f>VLOOKUP(H59,ID!$C$3:$D$100,2,FALSE)</f>
        <v>28</v>
      </c>
      <c r="K59" t="s">
        <v>99</v>
      </c>
      <c r="L59" t="str">
        <f>VLOOKUP(K59,Localizacoes!$E$3:$F$100,2,FALSE)</f>
        <v>ACH</v>
      </c>
      <c r="M59" t="str">
        <f>VLOOKUP(K59,ID!$E$3:$F$100,2,FALSE)</f>
        <v>ACH</v>
      </c>
      <c r="N59" t="s">
        <v>155</v>
      </c>
      <c r="O59" t="str">
        <f>VLOOKUP(N59,Localizacoes!$G$3:$H$100,2,FALSE)</f>
        <v>RES</v>
      </c>
      <c r="P59">
        <f>VLOOKUP(N59,ID!$G$3:$H$100,2,FALSE)</f>
        <v>158</v>
      </c>
      <c r="Q59" t="s">
        <v>432</v>
      </c>
      <c r="R59" t="str">
        <f>VLOOKUP(Q59,Localizacoes!$I$3:$J$100,2,FALSE)</f>
        <v>CHO</v>
      </c>
      <c r="S59" t="str">
        <f>VLOOKUP(Q59,ID!$I$3:$J$100,2,FALSE)</f>
        <v>CHO</v>
      </c>
      <c r="T59" s="4" t="s">
        <v>186</v>
      </c>
      <c r="U59" t="s">
        <v>264</v>
      </c>
      <c r="V59" t="s">
        <v>403</v>
      </c>
      <c r="W59" t="s">
        <v>405</v>
      </c>
      <c r="Y59" t="s">
        <v>270</v>
      </c>
      <c r="Z59" t="str">
        <f t="shared" si="9"/>
        <v>Choque Hidráulico 02</v>
      </c>
      <c r="AA59">
        <v>2007</v>
      </c>
      <c r="AD59" s="13" t="s">
        <v>7</v>
      </c>
      <c r="AF59" t="str">
        <f t="shared" si="12"/>
        <v>ReservatórioChoque Hidráulico</v>
      </c>
      <c r="AG59" s="28" t="str">
        <f>VLOOKUP(AF59,Imagens!$C$2:$D$42,2,FALSE)</f>
        <v>08679b4a</v>
      </c>
      <c r="AH59" t="str">
        <f>_xlfn.CONCAT(Imagens!$H$2,'registo_ativo-CDs (1)'!AG59)</f>
        <v>assets/imagens/products/08679b4a</v>
      </c>
      <c r="AI59" s="68">
        <v>45324</v>
      </c>
      <c r="AK59" s="32"/>
    </row>
    <row r="60" spans="1:37" ht="16.8" customHeight="1" x14ac:dyDescent="0.3">
      <c r="A60">
        <f t="shared" si="14"/>
        <v>15</v>
      </c>
      <c r="B60" t="str">
        <f t="shared" si="10"/>
        <v>CD28ACH158CHO03</v>
      </c>
      <c r="C60" t="str">
        <f t="shared" si="11"/>
        <v>CD-CHA-ACH-RES-CHO-03</v>
      </c>
      <c r="E60" t="s">
        <v>37</v>
      </c>
      <c r="F60" t="str">
        <f>VLOOKUP(E60,Localizacoes!$A$3:$B$100,2,FALSE)</f>
        <v>CD</v>
      </c>
      <c r="G60" t="str">
        <f>VLOOKUP(E60,ID!$A$3:$B$100,2,FALSE)</f>
        <v>CD</v>
      </c>
      <c r="H60" s="14" t="s">
        <v>31</v>
      </c>
      <c r="I60" t="str">
        <f>VLOOKUP(H60,Localizacoes!$C$3:$D$100,2,FALSE)</f>
        <v>CHA</v>
      </c>
      <c r="J60">
        <f>VLOOKUP(H60,ID!$C$3:$D$100,2,FALSE)</f>
        <v>28</v>
      </c>
      <c r="K60" t="s">
        <v>99</v>
      </c>
      <c r="L60" t="str">
        <f>VLOOKUP(K60,Localizacoes!$E$3:$F$100,2,FALSE)</f>
        <v>ACH</v>
      </c>
      <c r="M60" t="str">
        <f>VLOOKUP(K60,ID!$E$3:$F$100,2,FALSE)</f>
        <v>ACH</v>
      </c>
      <c r="N60" t="s">
        <v>155</v>
      </c>
      <c r="O60" t="str">
        <f>VLOOKUP(N60,Localizacoes!$G$3:$H$100,2,FALSE)</f>
        <v>RES</v>
      </c>
      <c r="P60">
        <f>VLOOKUP(N60,ID!$G$3:$H$100,2,FALSE)</f>
        <v>158</v>
      </c>
      <c r="Q60" t="s">
        <v>432</v>
      </c>
      <c r="R60" t="str">
        <f>VLOOKUP(Q60,Localizacoes!$I$3:$J$100,2,FALSE)</f>
        <v>CHO</v>
      </c>
      <c r="S60" t="str">
        <f>VLOOKUP(Q60,ID!$I$3:$J$100,2,FALSE)</f>
        <v>CHO</v>
      </c>
      <c r="T60" s="4" t="s">
        <v>187</v>
      </c>
      <c r="U60" t="s">
        <v>264</v>
      </c>
      <c r="V60" t="s">
        <v>403</v>
      </c>
      <c r="W60" t="s">
        <v>406</v>
      </c>
      <c r="Y60" t="s">
        <v>270</v>
      </c>
      <c r="Z60" t="str">
        <f t="shared" si="9"/>
        <v>Choque Hidráulico 03</v>
      </c>
      <c r="AA60">
        <v>2007</v>
      </c>
      <c r="AD60" s="13" t="s">
        <v>7</v>
      </c>
      <c r="AF60" t="str">
        <f t="shared" si="12"/>
        <v>ReservatórioChoque Hidráulico</v>
      </c>
      <c r="AG60" s="28" t="str">
        <f>VLOOKUP(AF60,Imagens!$C$2:$D$42,2,FALSE)</f>
        <v>08679b4a</v>
      </c>
      <c r="AH60" t="str">
        <f>_xlfn.CONCAT(Imagens!$H$2,'registo_ativo-CDs (1)'!AG60)</f>
        <v>assets/imagens/products/08679b4a</v>
      </c>
      <c r="AI60" s="68">
        <v>45324</v>
      </c>
      <c r="AK60" s="32"/>
    </row>
    <row r="61" spans="1:37" s="3" customFormat="1" ht="16.8" customHeight="1" x14ac:dyDescent="0.3">
      <c r="A61">
        <f t="shared" si="14"/>
        <v>15</v>
      </c>
      <c r="B61" t="str">
        <f t="shared" si="10"/>
        <v>CD28ACH158CHO04</v>
      </c>
      <c r="C61" t="str">
        <f t="shared" si="11"/>
        <v>CD-CHA-ACH-RES-CHO-04</v>
      </c>
      <c r="D61"/>
      <c r="E61" t="s">
        <v>37</v>
      </c>
      <c r="F61" t="str">
        <f>VLOOKUP(E61,Localizacoes!$A$3:$B$100,2,FALSE)</f>
        <v>CD</v>
      </c>
      <c r="G61" t="str">
        <f>VLOOKUP(E61,ID!$A$3:$B$100,2,FALSE)</f>
        <v>CD</v>
      </c>
      <c r="H61" s="14" t="s">
        <v>31</v>
      </c>
      <c r="I61" t="str">
        <f>VLOOKUP(H61,Localizacoes!$C$3:$D$100,2,FALSE)</f>
        <v>CHA</v>
      </c>
      <c r="J61">
        <f>VLOOKUP(H61,ID!$C$3:$D$100,2,FALSE)</f>
        <v>28</v>
      </c>
      <c r="K61" t="s">
        <v>99</v>
      </c>
      <c r="L61" t="str">
        <f>VLOOKUP(K61,Localizacoes!$E$3:$F$100,2,FALSE)</f>
        <v>ACH</v>
      </c>
      <c r="M61" t="str">
        <f>VLOOKUP(K61,ID!$E$3:$F$100,2,FALSE)</f>
        <v>ACH</v>
      </c>
      <c r="N61" t="s">
        <v>155</v>
      </c>
      <c r="O61" t="str">
        <f>VLOOKUP(N61,Localizacoes!$G$3:$H$100,2,FALSE)</f>
        <v>RES</v>
      </c>
      <c r="P61">
        <f>VLOOKUP(N61,ID!$G$3:$H$100,2,FALSE)</f>
        <v>158</v>
      </c>
      <c r="Q61" t="s">
        <v>432</v>
      </c>
      <c r="R61" t="str">
        <f>VLOOKUP(Q61,Localizacoes!$I$3:$J$100,2,FALSE)</f>
        <v>CHO</v>
      </c>
      <c r="S61" t="str">
        <f>VLOOKUP(Q61,ID!$I$3:$J$100,2,FALSE)</f>
        <v>CHO</v>
      </c>
      <c r="T61" s="4" t="s">
        <v>188</v>
      </c>
      <c r="U61" t="s">
        <v>264</v>
      </c>
      <c r="V61" t="s">
        <v>403</v>
      </c>
      <c r="W61" t="s">
        <v>407</v>
      </c>
      <c r="X61"/>
      <c r="Y61" t="s">
        <v>270</v>
      </c>
      <c r="Z61" t="str">
        <f t="shared" si="9"/>
        <v>Choque Hidráulico 04</v>
      </c>
      <c r="AA61">
        <v>2007</v>
      </c>
      <c r="AB61" s="11"/>
      <c r="AC61" s="11"/>
      <c r="AD61" s="13" t="s">
        <v>7</v>
      </c>
      <c r="AE61"/>
      <c r="AF61" t="str">
        <f t="shared" si="12"/>
        <v>ReservatórioChoque Hidráulico</v>
      </c>
      <c r="AG61" s="28" t="str">
        <f>VLOOKUP(AF61,Imagens!$C$2:$D$42,2,FALSE)</f>
        <v>08679b4a</v>
      </c>
      <c r="AH61" t="str">
        <f>_xlfn.CONCAT(Imagens!$H$2,'registo_ativo-CDs (1)'!AG61)</f>
        <v>assets/imagens/products/08679b4a</v>
      </c>
      <c r="AI61" s="68">
        <v>45324</v>
      </c>
      <c r="AJ61" s="30"/>
      <c r="AK61" s="32"/>
    </row>
    <row r="62" spans="1:37" ht="16.8" customHeight="1" x14ac:dyDescent="0.3">
      <c r="A62">
        <f t="shared" si="14"/>
        <v>15</v>
      </c>
      <c r="B62" t="str">
        <f t="shared" si="10"/>
        <v>CD28ACH158CHO05</v>
      </c>
      <c r="C62" t="str">
        <f t="shared" si="11"/>
        <v>CD-CHA-ACH-RES-CHO-05</v>
      </c>
      <c r="E62" t="s">
        <v>37</v>
      </c>
      <c r="F62" t="str">
        <f>VLOOKUP(E62,Localizacoes!$A$3:$B$100,2,FALSE)</f>
        <v>CD</v>
      </c>
      <c r="G62" t="str">
        <f>VLOOKUP(E62,ID!$A$3:$B$100,2,FALSE)</f>
        <v>CD</v>
      </c>
      <c r="H62" s="14" t="s">
        <v>31</v>
      </c>
      <c r="I62" t="str">
        <f>VLOOKUP(H62,Localizacoes!$C$3:$D$100,2,FALSE)</f>
        <v>CHA</v>
      </c>
      <c r="J62">
        <f>VLOOKUP(H62,ID!$C$3:$D$100,2,FALSE)</f>
        <v>28</v>
      </c>
      <c r="K62" t="s">
        <v>99</v>
      </c>
      <c r="L62" t="str">
        <f>VLOOKUP(K62,Localizacoes!$E$3:$F$100,2,FALSE)</f>
        <v>ACH</v>
      </c>
      <c r="M62" t="str">
        <f>VLOOKUP(K62,ID!$E$3:$F$100,2,FALSE)</f>
        <v>ACH</v>
      </c>
      <c r="N62" t="s">
        <v>155</v>
      </c>
      <c r="O62" t="str">
        <f>VLOOKUP(N62,Localizacoes!$G$3:$H$100,2,FALSE)</f>
        <v>RES</v>
      </c>
      <c r="P62">
        <f>VLOOKUP(N62,ID!$G$3:$H$100,2,FALSE)</f>
        <v>158</v>
      </c>
      <c r="Q62" t="s">
        <v>432</v>
      </c>
      <c r="R62" t="str">
        <f>VLOOKUP(Q62,Localizacoes!$I$3:$J$100,2,FALSE)</f>
        <v>CHO</v>
      </c>
      <c r="S62" t="str">
        <f>VLOOKUP(Q62,ID!$I$3:$J$100,2,FALSE)</f>
        <v>CHO</v>
      </c>
      <c r="T62" s="4" t="s">
        <v>189</v>
      </c>
      <c r="U62" t="s">
        <v>264</v>
      </c>
      <c r="V62" t="s">
        <v>403</v>
      </c>
      <c r="W62" t="s">
        <v>408</v>
      </c>
      <c r="Y62" t="s">
        <v>270</v>
      </c>
      <c r="Z62" t="str">
        <f t="shared" si="9"/>
        <v>Choque Hidráulico 05</v>
      </c>
      <c r="AA62">
        <v>2007</v>
      </c>
      <c r="AD62" s="13" t="s">
        <v>7</v>
      </c>
      <c r="AF62" t="str">
        <f t="shared" si="12"/>
        <v>ReservatórioChoque Hidráulico</v>
      </c>
      <c r="AG62" s="28" t="str">
        <f>VLOOKUP(AF62,Imagens!$C$2:$D$42,2,FALSE)</f>
        <v>08679b4a</v>
      </c>
      <c r="AH62" t="str">
        <f>_xlfn.CONCAT(Imagens!$H$2,'registo_ativo-CDs (1)'!AG62)</f>
        <v>assets/imagens/products/08679b4a</v>
      </c>
      <c r="AI62" s="68">
        <v>45324</v>
      </c>
      <c r="AK62" s="32"/>
    </row>
    <row r="63" spans="1:37" ht="16.8" customHeight="1" x14ac:dyDescent="0.3">
      <c r="A63">
        <f t="shared" si="14"/>
        <v>15</v>
      </c>
      <c r="B63" t="str">
        <f t="shared" si="10"/>
        <v>CD28ACH158CHO06</v>
      </c>
      <c r="C63" t="str">
        <f t="shared" si="11"/>
        <v>CD-CHA-ACH-RES-CHO-06</v>
      </c>
      <c r="E63" t="s">
        <v>37</v>
      </c>
      <c r="F63" t="str">
        <f>VLOOKUP(E63,Localizacoes!$A$3:$B$100,2,FALSE)</f>
        <v>CD</v>
      </c>
      <c r="G63" t="str">
        <f>VLOOKUP(E63,ID!$A$3:$B$100,2,FALSE)</f>
        <v>CD</v>
      </c>
      <c r="H63" s="14" t="s">
        <v>31</v>
      </c>
      <c r="I63" t="str">
        <f>VLOOKUP(H63,Localizacoes!$C$3:$D$100,2,FALSE)</f>
        <v>CHA</v>
      </c>
      <c r="J63">
        <f>VLOOKUP(H63,ID!$C$3:$D$100,2,FALSE)</f>
        <v>28</v>
      </c>
      <c r="K63" t="s">
        <v>99</v>
      </c>
      <c r="L63" t="str">
        <f>VLOOKUP(K63,Localizacoes!$E$3:$F$100,2,FALSE)</f>
        <v>ACH</v>
      </c>
      <c r="M63" t="str">
        <f>VLOOKUP(K63,ID!$E$3:$F$100,2,FALSE)</f>
        <v>ACH</v>
      </c>
      <c r="N63" t="s">
        <v>155</v>
      </c>
      <c r="O63" t="str">
        <f>VLOOKUP(N63,Localizacoes!$G$3:$H$100,2,FALSE)</f>
        <v>RES</v>
      </c>
      <c r="P63">
        <f>VLOOKUP(N63,ID!$G$3:$H$100,2,FALSE)</f>
        <v>158</v>
      </c>
      <c r="Q63" t="s">
        <v>432</v>
      </c>
      <c r="R63" t="str">
        <f>VLOOKUP(Q63,Localizacoes!$I$3:$J$100,2,FALSE)</f>
        <v>CHO</v>
      </c>
      <c r="S63" t="str">
        <f>VLOOKUP(Q63,ID!$I$3:$J$100,2,FALSE)</f>
        <v>CHO</v>
      </c>
      <c r="T63" s="4" t="s">
        <v>190</v>
      </c>
      <c r="U63" t="s">
        <v>264</v>
      </c>
      <c r="V63" t="s">
        <v>403</v>
      </c>
      <c r="W63" t="s">
        <v>409</v>
      </c>
      <c r="Y63" t="s">
        <v>270</v>
      </c>
      <c r="Z63" t="str">
        <f t="shared" si="9"/>
        <v>Choque Hidráulico 06</v>
      </c>
      <c r="AA63">
        <v>2007</v>
      </c>
      <c r="AD63" s="13" t="s">
        <v>7</v>
      </c>
      <c r="AF63" t="str">
        <f t="shared" si="12"/>
        <v>ReservatórioChoque Hidráulico</v>
      </c>
      <c r="AG63" s="28" t="str">
        <f>VLOOKUP(AF63,Imagens!$C$2:$D$42,2,FALSE)</f>
        <v>08679b4a</v>
      </c>
      <c r="AH63" t="str">
        <f>_xlfn.CONCAT(Imagens!$H$2,'registo_ativo-CDs (1)'!AG63)</f>
        <v>assets/imagens/products/08679b4a</v>
      </c>
      <c r="AI63" s="68">
        <v>45324</v>
      </c>
      <c r="AK63" s="32"/>
    </row>
    <row r="64" spans="1:37" ht="16.8" customHeight="1" x14ac:dyDescent="0.3">
      <c r="A64" s="3">
        <f t="shared" si="14"/>
        <v>15</v>
      </c>
      <c r="B64" s="3" t="str">
        <f t="shared" si="10"/>
        <v>CD28ACH127CPS01</v>
      </c>
      <c r="C64" s="3" t="str">
        <f t="shared" si="11"/>
        <v>CD-CHA-ACH-CPI-CPS-01</v>
      </c>
      <c r="D64" s="3"/>
      <c r="E64" s="3" t="s">
        <v>37</v>
      </c>
      <c r="F64" s="3" t="str">
        <f>VLOOKUP(E64,Localizacoes!$A$3:$B$100,2,FALSE)</f>
        <v>CD</v>
      </c>
      <c r="G64" s="3" t="str">
        <f>VLOOKUP(E64,ID!$A$3:$B$100,2,FALSE)</f>
        <v>CD</v>
      </c>
      <c r="H64" s="14" t="s">
        <v>31</v>
      </c>
      <c r="I64" s="3" t="str">
        <f>VLOOKUP(H64,Localizacoes!$C$3:$D$100,2,FALSE)</f>
        <v>CHA</v>
      </c>
      <c r="J64" s="3">
        <f>VLOOKUP(H64,ID!$C$3:$D$100,2,FALSE)</f>
        <v>28</v>
      </c>
      <c r="K64" s="3" t="s">
        <v>99</v>
      </c>
      <c r="L64" s="3" t="str">
        <f>VLOOKUP(K64,Localizacoes!$E$3:$F$100,2,FALSE)</f>
        <v>ACH</v>
      </c>
      <c r="M64" s="3" t="str">
        <f>VLOOKUP(K64,ID!$E$3:$F$100,2,FALSE)</f>
        <v>ACH</v>
      </c>
      <c r="N64" s="3" t="s">
        <v>650</v>
      </c>
      <c r="O64" s="3" t="str">
        <f>VLOOKUP(N64,Localizacoes!$G$3:$H$100,2,FALSE)</f>
        <v>CPI</v>
      </c>
      <c r="P64" s="3">
        <f>VLOOKUP(N64,ID!$G$3:$H$100,2,FALSE)</f>
        <v>127</v>
      </c>
      <c r="Q64" s="3" t="s">
        <v>151</v>
      </c>
      <c r="R64" s="3" t="str">
        <f>VLOOKUP(Q64,Localizacoes!$I$3:$J$100,2,FALSE)</f>
        <v>CPS</v>
      </c>
      <c r="S64" s="3" t="str">
        <f>VLOOKUP(Q64,ID!$I$3:$J$100,2,FALSE)</f>
        <v>CPS</v>
      </c>
      <c r="T64" s="45" t="s">
        <v>182</v>
      </c>
      <c r="U64" t="s">
        <v>264</v>
      </c>
      <c r="V64" s="3" t="s">
        <v>403</v>
      </c>
      <c r="W64" s="3" t="s">
        <v>410</v>
      </c>
      <c r="X64" s="3" t="s">
        <v>6</v>
      </c>
      <c r="Y64" s="3" t="s">
        <v>270</v>
      </c>
      <c r="Z64" s="3" t="str">
        <f t="shared" si="9"/>
        <v>Compressor 01</v>
      </c>
      <c r="AA64" s="3">
        <v>2007</v>
      </c>
      <c r="AB64" s="46"/>
      <c r="AC64" s="46"/>
      <c r="AD64" s="17" t="s">
        <v>7</v>
      </c>
      <c r="AE64" s="3"/>
      <c r="AF64" s="3" t="str">
        <f t="shared" si="12"/>
        <v>Compressor PistãoCompressor</v>
      </c>
      <c r="AG64" s="47" t="str">
        <f>VLOOKUP(AF64,Imagens!$C$2:$D$42,2,FALSE)</f>
        <v>65e8de45ce961</v>
      </c>
      <c r="AH64" t="str">
        <f>_xlfn.CONCAT(Imagens!$H$2,'registo_ativo-CDs (1)'!AG64)</f>
        <v>assets/imagens/products/65e8de45ce961</v>
      </c>
      <c r="AI64" s="68">
        <v>45324</v>
      </c>
      <c r="AJ64" s="48"/>
      <c r="AK64" s="49"/>
    </row>
    <row r="65" spans="1:37" ht="16.8" customHeight="1" x14ac:dyDescent="0.3">
      <c r="A65">
        <f t="shared" si="14"/>
        <v>15</v>
      </c>
      <c r="B65" t="str">
        <f t="shared" si="10"/>
        <v>CD28ILU164ILL01</v>
      </c>
      <c r="C65" t="str">
        <f t="shared" si="11"/>
        <v>CD-CHA-ILU-SIL-ILL-01</v>
      </c>
      <c r="E65" t="s">
        <v>37</v>
      </c>
      <c r="F65" t="str">
        <f>VLOOKUP(E65,Localizacoes!$A$3:$B$100,2,FALSE)</f>
        <v>CD</v>
      </c>
      <c r="G65" t="str">
        <f>VLOOKUP(E65,ID!$A$3:$B$100,2,FALSE)</f>
        <v>CD</v>
      </c>
      <c r="H65" s="14" t="s">
        <v>31</v>
      </c>
      <c r="I65" t="str">
        <f>VLOOKUP(H65,Localizacoes!$C$3:$D$100,2,FALSE)</f>
        <v>CHA</v>
      </c>
      <c r="J65">
        <f>VLOOKUP(H65,ID!$C$3:$D$100,2,FALSE)</f>
        <v>28</v>
      </c>
      <c r="K65" t="s">
        <v>141</v>
      </c>
      <c r="L65" t="str">
        <f>VLOOKUP(K65,Localizacoes!$E$3:$F$100,2,FALSE)</f>
        <v>ILU</v>
      </c>
      <c r="M65" t="str">
        <f>VLOOKUP(K65,ID!$E$3:$F$100,2,FALSE)</f>
        <v>ILU</v>
      </c>
      <c r="N65" t="s">
        <v>688</v>
      </c>
      <c r="O65" t="str">
        <f>VLOOKUP(N65,Localizacoes!$G$3:$H$100,2,FALSE)</f>
        <v>SIL</v>
      </c>
      <c r="P65">
        <f>VLOOKUP(N65,ID!$G$3:$H$100,2,FALSE)</f>
        <v>164</v>
      </c>
      <c r="Q65" t="s">
        <v>141</v>
      </c>
      <c r="R65" t="str">
        <f>VLOOKUP(Q65,Localizacoes!$I$3:$J$100,2,FALSE)</f>
        <v>ILL</v>
      </c>
      <c r="S65" t="str">
        <f>VLOOKUP(Q65,ID!$I$3:$J$100,2,FALSE)</f>
        <v>ILL</v>
      </c>
      <c r="T65" s="4" t="s">
        <v>182</v>
      </c>
      <c r="U65" t="s">
        <v>265</v>
      </c>
      <c r="Y65" t="s">
        <v>270</v>
      </c>
      <c r="Z65" t="str">
        <f t="shared" si="9"/>
        <v>Iluminação 01</v>
      </c>
      <c r="AA65"/>
      <c r="AD65" s="23" t="s">
        <v>267</v>
      </c>
      <c r="AF65" t="str">
        <f t="shared" si="12"/>
        <v>Sistema de IluminaçãoIluminação</v>
      </c>
      <c r="AG65" s="28" t="str">
        <f>VLOOKUP(AF65,Imagens!$C$2:$D$42,2,FALSE)</f>
        <v>65e8e579bfe6c</v>
      </c>
      <c r="AH65" t="str">
        <f>_xlfn.CONCAT(Imagens!$H$2,'registo_ativo-CDs (1)'!AG65)</f>
        <v>assets/imagens/products/65e8e579bfe6c</v>
      </c>
      <c r="AI65" s="67">
        <v>45324</v>
      </c>
      <c r="AK65" s="32"/>
    </row>
    <row r="66" spans="1:37" ht="16.8" customHeight="1" x14ac:dyDescent="0.3">
      <c r="A66">
        <f t="shared" si="14"/>
        <v>15</v>
      </c>
      <c r="B66" t="str">
        <f t="shared" si="10"/>
        <v>CD28BBG146MCD01</v>
      </c>
      <c r="C66" t="str">
        <f t="shared" si="11"/>
        <v>CD-CHA-BBG-MDD-MCD-01</v>
      </c>
      <c r="E66" t="s">
        <v>37</v>
      </c>
      <c r="F66" t="str">
        <f>VLOOKUP(E66,Localizacoes!$A$3:$B$100,2,FALSE)</f>
        <v>CD</v>
      </c>
      <c r="G66" t="str">
        <f>VLOOKUP(E66,ID!$A$3:$B$100,2,FALSE)</f>
        <v>CD</v>
      </c>
      <c r="H66" s="14" t="s">
        <v>31</v>
      </c>
      <c r="I66" t="str">
        <f>VLOOKUP(H66,Localizacoes!$C$3:$D$100,2,FALSE)</f>
        <v>CHA</v>
      </c>
      <c r="J66">
        <f>VLOOKUP(H66,ID!$C$3:$D$100,2,FALSE)</f>
        <v>28</v>
      </c>
      <c r="K66" t="s">
        <v>274</v>
      </c>
      <c r="L66" t="str">
        <f>VLOOKUP(K66,Localizacoes!$E$3:$F$100,2,FALSE)</f>
        <v>BBG</v>
      </c>
      <c r="M66" t="str">
        <f>VLOOKUP(K66,ID!$E$3:$F$100,2,FALSE)</f>
        <v>BBG</v>
      </c>
      <c r="N66" t="s">
        <v>672</v>
      </c>
      <c r="O66" t="str">
        <f>VLOOKUP(N66,Localizacoes!$G$3:$H$100,2,FALSE)</f>
        <v>MDD</v>
      </c>
      <c r="P66">
        <f>VLOOKUP(N66,ID!$G$3:$H$100,2,FALSE)</f>
        <v>146</v>
      </c>
      <c r="Q66" t="s">
        <v>370</v>
      </c>
      <c r="R66" t="str">
        <f>VLOOKUP(Q66,Localizacoes!$I$3:$J$100,2,FALSE)</f>
        <v>MCD</v>
      </c>
      <c r="S66" t="str">
        <f>VLOOKUP(Q66,ID!$I$3:$J$100,2,FALSE)</f>
        <v>MCD</v>
      </c>
      <c r="T66" s="4" t="s">
        <v>182</v>
      </c>
      <c r="U66" t="s">
        <v>265</v>
      </c>
      <c r="V66" t="s">
        <v>411</v>
      </c>
      <c r="W66" t="s">
        <v>412</v>
      </c>
      <c r="Y66" t="s">
        <v>270</v>
      </c>
      <c r="Z66" t="str">
        <f t="shared" si="9"/>
        <v>Macromedidor 01</v>
      </c>
      <c r="AA66"/>
      <c r="AD66" s="13" t="s">
        <v>266</v>
      </c>
      <c r="AF66" t="str">
        <f t="shared" si="12"/>
        <v>MedidorMacromedidor</v>
      </c>
      <c r="AG66" s="28" t="str">
        <f>VLOOKUP(AF66,Imagens!$C$2:$D$42,2,FALSE)</f>
        <v>65e8dd4a9cd58</v>
      </c>
      <c r="AH66" t="str">
        <f>_xlfn.CONCAT(Imagens!$H$2,'registo_ativo-CDs (1)'!AG66)</f>
        <v>assets/imagens/products/65e8dd4a9cd58</v>
      </c>
      <c r="AI66" s="67">
        <v>45338</v>
      </c>
      <c r="AK66" s="32"/>
    </row>
    <row r="67" spans="1:37" ht="16.8" customHeight="1" x14ac:dyDescent="0.3">
      <c r="A67">
        <f t="shared" si="14"/>
        <v>15</v>
      </c>
      <c r="B67" t="str">
        <f t="shared" si="10"/>
        <v>CD28BBG146MCD02</v>
      </c>
      <c r="C67" t="str">
        <f t="shared" si="11"/>
        <v>CD-CHA-BBG-MDD-MCD-02</v>
      </c>
      <c r="E67" t="s">
        <v>37</v>
      </c>
      <c r="F67" t="str">
        <f>VLOOKUP(E67,Localizacoes!$A$3:$B$100,2,FALSE)</f>
        <v>CD</v>
      </c>
      <c r="G67" t="str">
        <f>VLOOKUP(E67,ID!$A$3:$B$100,2,FALSE)</f>
        <v>CD</v>
      </c>
      <c r="H67" s="14" t="s">
        <v>31</v>
      </c>
      <c r="I67" t="str">
        <f>VLOOKUP(H67,Localizacoes!$C$3:$D$100,2,FALSE)</f>
        <v>CHA</v>
      </c>
      <c r="J67">
        <f>VLOOKUP(H67,ID!$C$3:$D$100,2,FALSE)</f>
        <v>28</v>
      </c>
      <c r="K67" t="s">
        <v>274</v>
      </c>
      <c r="L67" t="str">
        <f>VLOOKUP(K67,Localizacoes!$E$3:$F$100,2,FALSE)</f>
        <v>BBG</v>
      </c>
      <c r="M67" t="str">
        <f>VLOOKUP(K67,ID!$E$3:$F$100,2,FALSE)</f>
        <v>BBG</v>
      </c>
      <c r="N67" t="s">
        <v>672</v>
      </c>
      <c r="O67" t="str">
        <f>VLOOKUP(N67,Localizacoes!$G$3:$H$100,2,FALSE)</f>
        <v>MDD</v>
      </c>
      <c r="P67">
        <f>VLOOKUP(N67,ID!$G$3:$H$100,2,FALSE)</f>
        <v>146</v>
      </c>
      <c r="Q67" t="s">
        <v>370</v>
      </c>
      <c r="R67" t="str">
        <f>VLOOKUP(Q67,Localizacoes!$I$3:$J$100,2,FALSE)</f>
        <v>MCD</v>
      </c>
      <c r="S67" t="str">
        <f>VLOOKUP(Q67,ID!$I$3:$J$100,2,FALSE)</f>
        <v>MCD</v>
      </c>
      <c r="T67" s="4" t="s">
        <v>186</v>
      </c>
      <c r="U67" t="s">
        <v>265</v>
      </c>
      <c r="V67" t="s">
        <v>411</v>
      </c>
      <c r="W67" t="s">
        <v>412</v>
      </c>
      <c r="Y67" t="s">
        <v>372</v>
      </c>
      <c r="Z67" t="str">
        <f t="shared" si="9"/>
        <v>Macromedidor 02</v>
      </c>
      <c r="AA67"/>
      <c r="AD67" s="13" t="s">
        <v>266</v>
      </c>
      <c r="AF67" t="str">
        <f t="shared" si="12"/>
        <v>MedidorMacromedidor</v>
      </c>
      <c r="AG67" s="28" t="str">
        <f>VLOOKUP(AF67,Imagens!$C$2:$D$42,2,FALSE)</f>
        <v>65e8dd4a9cd58</v>
      </c>
      <c r="AH67" t="str">
        <f>_xlfn.CONCAT(Imagens!$H$2,'registo_ativo-CDs (1)'!AG67)</f>
        <v>assets/imagens/products/65e8dd4a9cd58</v>
      </c>
      <c r="AI67" s="67">
        <v>45338</v>
      </c>
      <c r="AK67" s="32"/>
    </row>
    <row r="68" spans="1:37" ht="16.8" customHeight="1" x14ac:dyDescent="0.3">
      <c r="A68">
        <f t="shared" si="14"/>
        <v>15</v>
      </c>
      <c r="B68" t="str">
        <f t="shared" si="10"/>
        <v>CD28BBG146MCD03</v>
      </c>
      <c r="C68" t="str">
        <f t="shared" si="11"/>
        <v>CD-CHA-BBG-MDD-MCD-03</v>
      </c>
      <c r="E68" t="s">
        <v>37</v>
      </c>
      <c r="F68" t="str">
        <f>VLOOKUP(E68,Localizacoes!$A$3:$B$100,2,FALSE)</f>
        <v>CD</v>
      </c>
      <c r="G68" t="str">
        <f>VLOOKUP(E68,ID!$A$3:$B$100,2,FALSE)</f>
        <v>CD</v>
      </c>
      <c r="H68" s="14" t="s">
        <v>31</v>
      </c>
      <c r="I68" t="str">
        <f>VLOOKUP(H68,Localizacoes!$C$3:$D$100,2,FALSE)</f>
        <v>CHA</v>
      </c>
      <c r="J68">
        <f>VLOOKUP(H68,ID!$C$3:$D$100,2,FALSE)</f>
        <v>28</v>
      </c>
      <c r="K68" t="s">
        <v>274</v>
      </c>
      <c r="L68" t="str">
        <f>VLOOKUP(K68,Localizacoes!$E$3:$F$100,2,FALSE)</f>
        <v>BBG</v>
      </c>
      <c r="M68" t="str">
        <f>VLOOKUP(K68,ID!$E$3:$F$100,2,FALSE)</f>
        <v>BBG</v>
      </c>
      <c r="N68" t="s">
        <v>672</v>
      </c>
      <c r="O68" t="str">
        <f>VLOOKUP(N68,Localizacoes!$G$3:$H$100,2,FALSE)</f>
        <v>MDD</v>
      </c>
      <c r="P68">
        <f>VLOOKUP(N68,ID!$G$3:$H$100,2,FALSE)</f>
        <v>146</v>
      </c>
      <c r="Q68" t="s">
        <v>370</v>
      </c>
      <c r="R68" t="str">
        <f>VLOOKUP(Q68,Localizacoes!$I$3:$J$100,2,FALSE)</f>
        <v>MCD</v>
      </c>
      <c r="S68" t="str">
        <f>VLOOKUP(Q68,ID!$I$3:$J$100,2,FALSE)</f>
        <v>MCD</v>
      </c>
      <c r="T68" s="4" t="s">
        <v>187</v>
      </c>
      <c r="U68" t="s">
        <v>265</v>
      </c>
      <c r="V68" t="s">
        <v>411</v>
      </c>
      <c r="W68" t="s">
        <v>412</v>
      </c>
      <c r="Y68" t="s">
        <v>372</v>
      </c>
      <c r="Z68" t="str">
        <f t="shared" si="9"/>
        <v>Macromedidor 03</v>
      </c>
      <c r="AA68"/>
      <c r="AD68" s="13" t="s">
        <v>266</v>
      </c>
      <c r="AF68" t="str">
        <f t="shared" si="12"/>
        <v>MedidorMacromedidor</v>
      </c>
      <c r="AG68" s="28" t="str">
        <f>VLOOKUP(AF68,Imagens!$C$2:$D$42,2,FALSE)</f>
        <v>65e8dd4a9cd58</v>
      </c>
      <c r="AH68" t="str">
        <f>_xlfn.CONCAT(Imagens!$H$2,'registo_ativo-CDs (1)'!AG68)</f>
        <v>assets/imagens/products/65e8dd4a9cd58</v>
      </c>
      <c r="AI68" s="67">
        <v>45338</v>
      </c>
      <c r="AK68" s="32"/>
    </row>
    <row r="69" spans="1:37" ht="16.8" customHeight="1" x14ac:dyDescent="0.3">
      <c r="A69">
        <f t="shared" si="14"/>
        <v>15</v>
      </c>
      <c r="B69" t="str">
        <f t="shared" si="10"/>
        <v>CD28BBG146MCD04</v>
      </c>
      <c r="C69" t="str">
        <f t="shared" si="11"/>
        <v>CD-CHA-BBG-MDD-MCD-04</v>
      </c>
      <c r="E69" t="s">
        <v>37</v>
      </c>
      <c r="F69" t="str">
        <f>VLOOKUP(E69,Localizacoes!$A$3:$B$100,2,FALSE)</f>
        <v>CD</v>
      </c>
      <c r="G69" t="str">
        <f>VLOOKUP(E69,ID!$A$3:$B$100,2,FALSE)</f>
        <v>CD</v>
      </c>
      <c r="H69" s="14" t="s">
        <v>31</v>
      </c>
      <c r="I69" t="str">
        <f>VLOOKUP(H69,Localizacoes!$C$3:$D$100,2,FALSE)</f>
        <v>CHA</v>
      </c>
      <c r="J69">
        <f>VLOOKUP(H69,ID!$C$3:$D$100,2,FALSE)</f>
        <v>28</v>
      </c>
      <c r="K69" t="s">
        <v>274</v>
      </c>
      <c r="L69" t="str">
        <f>VLOOKUP(K69,Localizacoes!$E$3:$F$100,2,FALSE)</f>
        <v>BBG</v>
      </c>
      <c r="M69" t="str">
        <f>VLOOKUP(K69,ID!$E$3:$F$100,2,FALSE)</f>
        <v>BBG</v>
      </c>
      <c r="N69" t="s">
        <v>672</v>
      </c>
      <c r="O69" t="str">
        <f>VLOOKUP(N69,Localizacoes!$G$3:$H$100,2,FALSE)</f>
        <v>MDD</v>
      </c>
      <c r="P69">
        <f>VLOOKUP(N69,ID!$G$3:$H$100,2,FALSE)</f>
        <v>146</v>
      </c>
      <c r="Q69" t="s">
        <v>370</v>
      </c>
      <c r="R69" t="str">
        <f>VLOOKUP(Q69,Localizacoes!$I$3:$J$100,2,FALSE)</f>
        <v>MCD</v>
      </c>
      <c r="S69" t="str">
        <f>VLOOKUP(Q69,ID!$I$3:$J$100,2,FALSE)</f>
        <v>MCD</v>
      </c>
      <c r="T69" s="4" t="s">
        <v>188</v>
      </c>
      <c r="U69" t="s">
        <v>265</v>
      </c>
      <c r="V69" t="s">
        <v>411</v>
      </c>
      <c r="W69" t="s">
        <v>412</v>
      </c>
      <c r="Y69" t="s">
        <v>270</v>
      </c>
      <c r="Z69" t="str">
        <f t="shared" si="9"/>
        <v>Macromedidor 04</v>
      </c>
      <c r="AA69"/>
      <c r="AD69" s="13" t="s">
        <v>266</v>
      </c>
      <c r="AF69" t="str">
        <f t="shared" si="12"/>
        <v>MedidorMacromedidor</v>
      </c>
      <c r="AG69" s="28" t="str">
        <f>VLOOKUP(AF69,Imagens!$C$2:$D$42,2,FALSE)</f>
        <v>65e8dd4a9cd58</v>
      </c>
      <c r="AH69" t="str">
        <f>_xlfn.CONCAT(Imagens!$H$2,'registo_ativo-CDs (1)'!AG69)</f>
        <v>assets/imagens/products/65e8dd4a9cd58</v>
      </c>
      <c r="AI69" s="67">
        <v>45338</v>
      </c>
      <c r="AK69" s="32"/>
    </row>
    <row r="70" spans="1:37" ht="16.8" customHeight="1" x14ac:dyDescent="0.3">
      <c r="A70">
        <f t="shared" si="14"/>
        <v>15</v>
      </c>
      <c r="B70" t="str">
        <f t="shared" si="10"/>
        <v>CD28ESG132BOM01</v>
      </c>
      <c r="C70" t="str">
        <f t="shared" si="11"/>
        <v>CD-CHA-ESG-EBE-BOM-01</v>
      </c>
      <c r="E70" t="s">
        <v>37</v>
      </c>
      <c r="F70" t="str">
        <f>VLOOKUP(E70,Localizacoes!$A$3:$B$100,2,FALSE)</f>
        <v>CD</v>
      </c>
      <c r="G70" t="str">
        <f>VLOOKUP(E70,ID!$A$3:$B$100,2,FALSE)</f>
        <v>CD</v>
      </c>
      <c r="H70" s="14" t="s">
        <v>31</v>
      </c>
      <c r="I70" t="str">
        <f>VLOOKUP(H70,Localizacoes!$C$3:$D$100,2,FALSE)</f>
        <v>CHA</v>
      </c>
      <c r="J70">
        <f>VLOOKUP(H70,ID!$C$3:$D$100,2,FALSE)</f>
        <v>28</v>
      </c>
      <c r="K70" t="s">
        <v>157</v>
      </c>
      <c r="L70" t="str">
        <f>VLOOKUP(K70,Localizacoes!$E$3:$F$100,2,FALSE)</f>
        <v>ESG</v>
      </c>
      <c r="M70" t="str">
        <f>VLOOKUP(K70,ID!$E$3:$F$100,2,FALSE)</f>
        <v>ESG</v>
      </c>
      <c r="N70" t="s">
        <v>660</v>
      </c>
      <c r="O70" t="str">
        <f>VLOOKUP(N70,Localizacoes!$G$3:$H$100,2,FALSE)</f>
        <v>EBE</v>
      </c>
      <c r="P70">
        <f>VLOOKUP(N70,ID!$G$3:$H$100,2,FALSE)</f>
        <v>132</v>
      </c>
      <c r="Q70" t="s">
        <v>150</v>
      </c>
      <c r="R70" t="str">
        <f>VLOOKUP(Q70,Localizacoes!$I$3:$J$100,2,FALSE)</f>
        <v>BOM</v>
      </c>
      <c r="S70" t="str">
        <f>VLOOKUP(Q70,ID!$I$3:$J$100,2,FALSE)</f>
        <v>BOM</v>
      </c>
      <c r="T70" s="4" t="s">
        <v>182</v>
      </c>
      <c r="U70" t="s">
        <v>264</v>
      </c>
      <c r="Y70" t="s">
        <v>270</v>
      </c>
      <c r="Z70" t="str">
        <f t="shared" si="9"/>
        <v>Bomba 01</v>
      </c>
      <c r="AA70">
        <v>45408</v>
      </c>
      <c r="AD70" s="23" t="s">
        <v>267</v>
      </c>
      <c r="AF70" t="str">
        <f t="shared" si="12"/>
        <v>Electrobomba de EsgotoBomba</v>
      </c>
      <c r="AG70" s="28" t="str">
        <f>VLOOKUP(AF70,Imagens!$C$2:$D$42,2,FALSE)</f>
        <v>b85c1637</v>
      </c>
      <c r="AH70" t="str">
        <f>_xlfn.CONCAT(Imagens!$H$2,'registo_ativo-CDs (1)'!AG70)</f>
        <v>assets/imagens/products/b85c1637</v>
      </c>
      <c r="AI70" s="67">
        <v>45366</v>
      </c>
      <c r="AK70" s="32"/>
    </row>
    <row r="71" spans="1:37" ht="16.8" customHeight="1" x14ac:dyDescent="0.3">
      <c r="A71">
        <f t="shared" si="14"/>
        <v>15</v>
      </c>
      <c r="B71" t="str">
        <f t="shared" si="10"/>
        <v>CD28ESG132BOM02</v>
      </c>
      <c r="C71" t="str">
        <f t="shared" si="11"/>
        <v>CD-CHA-ESG-EBE-BOM-02</v>
      </c>
      <c r="E71" t="s">
        <v>37</v>
      </c>
      <c r="F71" t="str">
        <f>VLOOKUP(E71,Localizacoes!$A$3:$B$100,2,FALSE)</f>
        <v>CD</v>
      </c>
      <c r="G71" t="str">
        <f>VLOOKUP(E71,ID!$A$3:$B$100,2,FALSE)</f>
        <v>CD</v>
      </c>
      <c r="H71" s="14" t="s">
        <v>31</v>
      </c>
      <c r="I71" t="str">
        <f>VLOOKUP(H71,Localizacoes!$C$3:$D$100,2,FALSE)</f>
        <v>CHA</v>
      </c>
      <c r="J71">
        <f>VLOOKUP(H71,ID!$C$3:$D$100,2,FALSE)</f>
        <v>28</v>
      </c>
      <c r="K71" t="s">
        <v>157</v>
      </c>
      <c r="L71" t="str">
        <f>VLOOKUP(K71,Localizacoes!$E$3:$F$100,2,FALSE)</f>
        <v>ESG</v>
      </c>
      <c r="M71" t="str">
        <f>VLOOKUP(K71,ID!$E$3:$F$100,2,FALSE)</f>
        <v>ESG</v>
      </c>
      <c r="N71" t="s">
        <v>660</v>
      </c>
      <c r="O71" t="str">
        <f>VLOOKUP(N71,Localizacoes!$G$3:$H$100,2,FALSE)</f>
        <v>EBE</v>
      </c>
      <c r="P71">
        <f>VLOOKUP(N71,ID!$G$3:$H$100,2,FALSE)</f>
        <v>132</v>
      </c>
      <c r="Q71" t="s">
        <v>150</v>
      </c>
      <c r="R71" t="str">
        <f>VLOOKUP(Q71,Localizacoes!$I$3:$J$100,2,FALSE)</f>
        <v>BOM</v>
      </c>
      <c r="S71" t="str">
        <f>VLOOKUP(Q71,ID!$I$3:$J$100,2,FALSE)</f>
        <v>BOM</v>
      </c>
      <c r="T71" s="4" t="s">
        <v>186</v>
      </c>
      <c r="U71" t="s">
        <v>264</v>
      </c>
      <c r="Y71" t="s">
        <v>270</v>
      </c>
      <c r="Z71" t="str">
        <f t="shared" si="9"/>
        <v>Bomba 02</v>
      </c>
      <c r="AA71">
        <v>45408</v>
      </c>
      <c r="AD71" s="23" t="s">
        <v>267</v>
      </c>
      <c r="AF71" t="str">
        <f t="shared" si="12"/>
        <v>Electrobomba de EsgotoBomba</v>
      </c>
      <c r="AG71" s="28" t="str">
        <f>VLOOKUP(AF71,Imagens!$C$2:$D$42,2,FALSE)</f>
        <v>b85c1637</v>
      </c>
      <c r="AH71" t="str">
        <f>_xlfn.CONCAT(Imagens!$H$2,'registo_ativo-CDs (1)'!AG71)</f>
        <v>assets/imagens/products/b85c1637</v>
      </c>
      <c r="AI71" s="67">
        <v>45366</v>
      </c>
      <c r="AK71" s="32"/>
    </row>
    <row r="72" spans="1:37" ht="16.8" customHeight="1" x14ac:dyDescent="0.3">
      <c r="A72">
        <f t="shared" si="14"/>
        <v>15</v>
      </c>
      <c r="B72" t="str">
        <f t="shared" si="10"/>
        <v>CD28SQE165QMT01</v>
      </c>
      <c r="C72" t="str">
        <f t="shared" si="11"/>
        <v>CD-CHA-SQE-SUB-QMT-01</v>
      </c>
      <c r="E72" t="s">
        <v>37</v>
      </c>
      <c r="F72" t="str">
        <f>VLOOKUP(E72,Localizacoes!$A$3:$B$100,2,FALSE)</f>
        <v>CD</v>
      </c>
      <c r="G72" t="str">
        <f>VLOOKUP(E72,ID!$A$3:$B$100,2,FALSE)</f>
        <v>CD</v>
      </c>
      <c r="H72" s="14" t="s">
        <v>31</v>
      </c>
      <c r="I72" t="str">
        <f>VLOOKUP(H72,Localizacoes!$C$3:$D$100,2,FALSE)</f>
        <v>CHA</v>
      </c>
      <c r="J72">
        <f>VLOOKUP(H72,ID!$C$3:$D$100,2,FALSE)</f>
        <v>28</v>
      </c>
      <c r="K72" t="s">
        <v>494</v>
      </c>
      <c r="L72" t="str">
        <f>VLOOKUP(K72,Localizacoes!$E$3:$F$100,2,FALSE)</f>
        <v>SQE</v>
      </c>
      <c r="M72" t="str">
        <f>VLOOKUP(K72,ID!$E$3:$F$100,2,FALSE)</f>
        <v>SQE</v>
      </c>
      <c r="N72" t="s">
        <v>112</v>
      </c>
      <c r="O72" t="str">
        <f>VLOOKUP(N72,Localizacoes!$G$3:$H$100,2,FALSE)</f>
        <v>SUB</v>
      </c>
      <c r="P72">
        <f>VLOOKUP(N72,ID!$G$3:$H$100,2,FALSE)</f>
        <v>165</v>
      </c>
      <c r="Q72" t="s">
        <v>445</v>
      </c>
      <c r="R72" t="str">
        <f>VLOOKUP(Q72,Localizacoes!$I$3:$J$100,2,FALSE)</f>
        <v>QMT</v>
      </c>
      <c r="S72" t="str">
        <f>VLOOKUP(Q72,ID!$I$3:$J$100,2,FALSE)</f>
        <v>QMT</v>
      </c>
      <c r="T72" s="4" t="s">
        <v>182</v>
      </c>
      <c r="U72" t="s">
        <v>265</v>
      </c>
      <c r="Y72" t="s">
        <v>270</v>
      </c>
      <c r="Z72" t="str">
        <f t="shared" si="9"/>
        <v>Quadro de Media Tensão 01</v>
      </c>
      <c r="AA72">
        <v>45408</v>
      </c>
      <c r="AD72" s="23" t="s">
        <v>267</v>
      </c>
      <c r="AF72" t="str">
        <f t="shared" si="12"/>
        <v>SubestaçãoQuadro de Media Tensão</v>
      </c>
      <c r="AG72" s="28" t="str">
        <f>VLOOKUP(AF72,Imagens!$C$2:$D$42,2,FALSE)</f>
        <v>65d1346bf3835</v>
      </c>
      <c r="AH72" t="str">
        <f>_xlfn.CONCAT(Imagens!$H$2,'registo_ativo-CDs (1)'!AG72)</f>
        <v>assets/imagens/products/65d1346bf3835</v>
      </c>
      <c r="AI72" s="67">
        <v>45366</v>
      </c>
      <c r="AK72" s="32"/>
    </row>
    <row r="73" spans="1:37" ht="16.8" customHeight="1" x14ac:dyDescent="0.3">
      <c r="A73">
        <f t="shared" si="14"/>
        <v>15</v>
      </c>
      <c r="B73" t="str">
        <f t="shared" si="10"/>
        <v>CD28SQE165QMT02</v>
      </c>
      <c r="C73" t="str">
        <f t="shared" si="11"/>
        <v>CD-CHA-SQE-SUB-QMT-02</v>
      </c>
      <c r="E73" t="s">
        <v>37</v>
      </c>
      <c r="F73" t="str">
        <f>VLOOKUP(E73,Localizacoes!$A$3:$B$100,2,FALSE)</f>
        <v>CD</v>
      </c>
      <c r="G73" t="str">
        <f>VLOOKUP(E73,ID!$A$3:$B$100,2,FALSE)</f>
        <v>CD</v>
      </c>
      <c r="H73" s="14" t="s">
        <v>31</v>
      </c>
      <c r="I73" t="str">
        <f>VLOOKUP(H73,Localizacoes!$C$3:$D$100,2,FALSE)</f>
        <v>CHA</v>
      </c>
      <c r="J73">
        <f>VLOOKUP(H73,ID!$C$3:$D$100,2,FALSE)</f>
        <v>28</v>
      </c>
      <c r="K73" t="s">
        <v>494</v>
      </c>
      <c r="L73" t="str">
        <f>VLOOKUP(K73,Localizacoes!$E$3:$F$100,2,FALSE)</f>
        <v>SQE</v>
      </c>
      <c r="M73" t="str">
        <f>VLOOKUP(K73,ID!$E$3:$F$100,2,FALSE)</f>
        <v>SQE</v>
      </c>
      <c r="N73" t="s">
        <v>112</v>
      </c>
      <c r="O73" t="str">
        <f>VLOOKUP(N73,Localizacoes!$G$3:$H$100,2,FALSE)</f>
        <v>SUB</v>
      </c>
      <c r="P73">
        <f>VLOOKUP(N73,ID!$G$3:$H$100,2,FALSE)</f>
        <v>165</v>
      </c>
      <c r="Q73" t="s">
        <v>445</v>
      </c>
      <c r="R73" t="str">
        <f>VLOOKUP(Q73,Localizacoes!$I$3:$J$100,2,FALSE)</f>
        <v>QMT</v>
      </c>
      <c r="S73" t="str">
        <f>VLOOKUP(Q73,ID!$I$3:$J$100,2,FALSE)</f>
        <v>QMT</v>
      </c>
      <c r="T73" s="4" t="s">
        <v>186</v>
      </c>
      <c r="U73" t="s">
        <v>265</v>
      </c>
      <c r="Y73" t="s">
        <v>270</v>
      </c>
      <c r="Z73" t="str">
        <f t="shared" si="9"/>
        <v>Quadro de Media Tensão 02</v>
      </c>
      <c r="AA73">
        <v>45408</v>
      </c>
      <c r="AD73" s="23" t="s">
        <v>267</v>
      </c>
      <c r="AF73" t="str">
        <f t="shared" si="12"/>
        <v>SubestaçãoQuadro de Media Tensão</v>
      </c>
      <c r="AG73" s="28" t="str">
        <f>VLOOKUP(AF73,Imagens!$C$2:$D$42,2,FALSE)</f>
        <v>65d1346bf3835</v>
      </c>
      <c r="AH73" t="str">
        <f>_xlfn.CONCAT(Imagens!$H$2,'registo_ativo-CDs (1)'!AG73)</f>
        <v>assets/imagens/products/65d1346bf3835</v>
      </c>
      <c r="AI73" s="67">
        <v>45366</v>
      </c>
      <c r="AK73" s="32"/>
    </row>
    <row r="74" spans="1:37" ht="16.8" customHeight="1" x14ac:dyDescent="0.3">
      <c r="A74">
        <f t="shared" si="14"/>
        <v>15</v>
      </c>
      <c r="B74" t="str">
        <f t="shared" si="10"/>
        <v>CD28SQE165QMT03</v>
      </c>
      <c r="C74" t="str">
        <f t="shared" si="11"/>
        <v>CD-CHA-SQE-SUB-QMT-03</v>
      </c>
      <c r="E74" t="s">
        <v>37</v>
      </c>
      <c r="F74" t="str">
        <f>VLOOKUP(E74,Localizacoes!$A$3:$B$100,2,FALSE)</f>
        <v>CD</v>
      </c>
      <c r="G74" t="str">
        <f>VLOOKUP(E74,ID!$A$3:$B$100,2,FALSE)</f>
        <v>CD</v>
      </c>
      <c r="H74" s="14" t="s">
        <v>31</v>
      </c>
      <c r="I74" t="str">
        <f>VLOOKUP(H74,Localizacoes!$C$3:$D$100,2,FALSE)</f>
        <v>CHA</v>
      </c>
      <c r="J74">
        <f>VLOOKUP(H74,ID!$C$3:$D$100,2,FALSE)</f>
        <v>28</v>
      </c>
      <c r="K74" t="s">
        <v>494</v>
      </c>
      <c r="L74" t="str">
        <f>VLOOKUP(K74,Localizacoes!$E$3:$F$100,2,FALSE)</f>
        <v>SQE</v>
      </c>
      <c r="M74" t="str">
        <f>VLOOKUP(K74,ID!$E$3:$F$100,2,FALSE)</f>
        <v>SQE</v>
      </c>
      <c r="N74" t="s">
        <v>112</v>
      </c>
      <c r="O74" t="str">
        <f>VLOOKUP(N74,Localizacoes!$G$3:$H$100,2,FALSE)</f>
        <v>SUB</v>
      </c>
      <c r="P74">
        <f>VLOOKUP(N74,ID!$G$3:$H$100,2,FALSE)</f>
        <v>165</v>
      </c>
      <c r="Q74" t="s">
        <v>445</v>
      </c>
      <c r="R74" t="str">
        <f>VLOOKUP(Q74,Localizacoes!$I$3:$J$100,2,FALSE)</f>
        <v>QMT</v>
      </c>
      <c r="S74" t="str">
        <f>VLOOKUP(Q74,ID!$I$3:$J$100,2,FALSE)</f>
        <v>QMT</v>
      </c>
      <c r="T74" s="4" t="s">
        <v>187</v>
      </c>
      <c r="U74" t="s">
        <v>265</v>
      </c>
      <c r="Y74" t="s">
        <v>270</v>
      </c>
      <c r="Z74" t="str">
        <f t="shared" si="9"/>
        <v>Quadro de Media Tensão 03</v>
      </c>
      <c r="AA74">
        <v>45408</v>
      </c>
      <c r="AD74" s="23" t="s">
        <v>267</v>
      </c>
      <c r="AF74" t="str">
        <f t="shared" si="12"/>
        <v>SubestaçãoQuadro de Media Tensão</v>
      </c>
      <c r="AG74" s="28" t="str">
        <f>VLOOKUP(AF74,Imagens!$C$2:$D$42,2,FALSE)</f>
        <v>65d1346bf3835</v>
      </c>
      <c r="AH74" t="str">
        <f>_xlfn.CONCAT(Imagens!$H$2,'registo_ativo-CDs (1)'!AG74)</f>
        <v>assets/imagens/products/65d1346bf3835</v>
      </c>
      <c r="AI74" s="67">
        <v>45366</v>
      </c>
      <c r="AK74" s="32"/>
    </row>
    <row r="75" spans="1:37" ht="16.8" customHeight="1" x14ac:dyDescent="0.3">
      <c r="A75">
        <f t="shared" si="14"/>
        <v>15</v>
      </c>
      <c r="B75" t="str">
        <f t="shared" si="10"/>
        <v>CD28SQE165QMT04</v>
      </c>
      <c r="C75" t="str">
        <f t="shared" si="11"/>
        <v>CD-CHA-SQE-SUB-QMT-04</v>
      </c>
      <c r="E75" t="s">
        <v>37</v>
      </c>
      <c r="F75" t="str">
        <f>VLOOKUP(E75,Localizacoes!$A$3:$B$100,2,FALSE)</f>
        <v>CD</v>
      </c>
      <c r="G75" t="str">
        <f>VLOOKUP(E75,ID!$A$3:$B$100,2,FALSE)</f>
        <v>CD</v>
      </c>
      <c r="H75" s="14" t="s">
        <v>31</v>
      </c>
      <c r="I75" t="str">
        <f>VLOOKUP(H75,Localizacoes!$C$3:$D$100,2,FALSE)</f>
        <v>CHA</v>
      </c>
      <c r="J75">
        <f>VLOOKUP(H75,ID!$C$3:$D$100,2,FALSE)</f>
        <v>28</v>
      </c>
      <c r="K75" t="s">
        <v>494</v>
      </c>
      <c r="L75" t="str">
        <f>VLOOKUP(K75,Localizacoes!$E$3:$F$100,2,FALSE)</f>
        <v>SQE</v>
      </c>
      <c r="M75" t="str">
        <f>VLOOKUP(K75,ID!$E$3:$F$100,2,FALSE)</f>
        <v>SQE</v>
      </c>
      <c r="N75" t="s">
        <v>112</v>
      </c>
      <c r="O75" t="str">
        <f>VLOOKUP(N75,Localizacoes!$G$3:$H$100,2,FALSE)</f>
        <v>SUB</v>
      </c>
      <c r="P75">
        <f>VLOOKUP(N75,ID!$G$3:$H$100,2,FALSE)</f>
        <v>165</v>
      </c>
      <c r="Q75" t="s">
        <v>445</v>
      </c>
      <c r="R75" t="str">
        <f>VLOOKUP(Q75,Localizacoes!$I$3:$J$100,2,FALSE)</f>
        <v>QMT</v>
      </c>
      <c r="S75" t="str">
        <f>VLOOKUP(Q75,ID!$I$3:$J$100,2,FALSE)</f>
        <v>QMT</v>
      </c>
      <c r="T75" s="4" t="s">
        <v>188</v>
      </c>
      <c r="U75" t="s">
        <v>265</v>
      </c>
      <c r="X75" t="s">
        <v>6</v>
      </c>
      <c r="Y75" t="s">
        <v>270</v>
      </c>
      <c r="Z75" t="str">
        <f t="shared" si="9"/>
        <v>Quadro de Media Tensão 04</v>
      </c>
      <c r="AA75">
        <v>45408</v>
      </c>
      <c r="AD75" s="23" t="s">
        <v>267</v>
      </c>
      <c r="AF75" t="str">
        <f t="shared" si="12"/>
        <v>SubestaçãoQuadro de Media Tensão</v>
      </c>
      <c r="AG75" s="28" t="str">
        <f>VLOOKUP(AF75,Imagens!$C$2:$D$42,2,FALSE)</f>
        <v>65d1346bf3835</v>
      </c>
      <c r="AH75" t="str">
        <f>_xlfn.CONCAT(Imagens!$H$2,'registo_ativo-CDs (1)'!AG75)</f>
        <v>assets/imagens/products/65d1346bf3835</v>
      </c>
      <c r="AI75" s="67">
        <v>45366</v>
      </c>
      <c r="AK75" s="32"/>
    </row>
    <row r="76" spans="1:37" ht="16.8" customHeight="1" x14ac:dyDescent="0.3">
      <c r="A76">
        <f t="shared" si="14"/>
        <v>15</v>
      </c>
      <c r="B76" t="str">
        <f t="shared" si="10"/>
        <v>CD28SQE165QMT05</v>
      </c>
      <c r="C76" t="str">
        <f t="shared" si="11"/>
        <v>CD-CHA-SQE-SUB-QMT-05</v>
      </c>
      <c r="E76" t="s">
        <v>37</v>
      </c>
      <c r="F76" t="str">
        <f>VLOOKUP(E76,Localizacoes!$A$3:$B$100,2,FALSE)</f>
        <v>CD</v>
      </c>
      <c r="G76" t="str">
        <f>VLOOKUP(E76,ID!$A$3:$B$100,2,FALSE)</f>
        <v>CD</v>
      </c>
      <c r="H76" s="14" t="s">
        <v>31</v>
      </c>
      <c r="I76" t="str">
        <f>VLOOKUP(H76,Localizacoes!$C$3:$D$100,2,FALSE)</f>
        <v>CHA</v>
      </c>
      <c r="J76">
        <f>VLOOKUP(H76,ID!$C$3:$D$100,2,FALSE)</f>
        <v>28</v>
      </c>
      <c r="K76" t="s">
        <v>494</v>
      </c>
      <c r="L76" t="str">
        <f>VLOOKUP(K76,Localizacoes!$E$3:$F$100,2,FALSE)</f>
        <v>SQE</v>
      </c>
      <c r="M76" t="str">
        <f>VLOOKUP(K76,ID!$E$3:$F$100,2,FALSE)</f>
        <v>SQE</v>
      </c>
      <c r="N76" t="s">
        <v>112</v>
      </c>
      <c r="O76" t="str">
        <f>VLOOKUP(N76,Localizacoes!$G$3:$H$100,2,FALSE)</f>
        <v>SUB</v>
      </c>
      <c r="P76">
        <f>VLOOKUP(N76,ID!$G$3:$H$100,2,FALSE)</f>
        <v>165</v>
      </c>
      <c r="Q76" t="s">
        <v>445</v>
      </c>
      <c r="R76" t="str">
        <f>VLOOKUP(Q76,Localizacoes!$I$3:$J$100,2,FALSE)</f>
        <v>QMT</v>
      </c>
      <c r="S76" t="str">
        <f>VLOOKUP(Q76,ID!$I$3:$J$100,2,FALSE)</f>
        <v>QMT</v>
      </c>
      <c r="T76" s="4" t="s">
        <v>189</v>
      </c>
      <c r="U76" t="s">
        <v>265</v>
      </c>
      <c r="Y76" t="s">
        <v>270</v>
      </c>
      <c r="Z76" t="str">
        <f t="shared" ref="Z76:Z143" si="23">Q76&amp;" "&amp; T76</f>
        <v>Quadro de Media Tensão 05</v>
      </c>
      <c r="AA76">
        <v>45408</v>
      </c>
      <c r="AD76" s="23" t="s">
        <v>267</v>
      </c>
      <c r="AF76" t="str">
        <f t="shared" si="12"/>
        <v>SubestaçãoQuadro de Media Tensão</v>
      </c>
      <c r="AG76" s="28" t="str">
        <f>VLOOKUP(AF76,Imagens!$C$2:$D$42,2,FALSE)</f>
        <v>65d1346bf3835</v>
      </c>
      <c r="AH76" t="str">
        <f>_xlfn.CONCAT(Imagens!$H$2,'registo_ativo-CDs (1)'!AG76)</f>
        <v>assets/imagens/products/65d1346bf3835</v>
      </c>
      <c r="AI76" s="67">
        <v>45366</v>
      </c>
      <c r="AK76" s="32"/>
    </row>
    <row r="77" spans="1:37" ht="16.8" customHeight="1" x14ac:dyDescent="0.3">
      <c r="A77">
        <f t="shared" si="14"/>
        <v>15</v>
      </c>
      <c r="B77" t="str">
        <f t="shared" si="10"/>
        <v>CD28SQE165QMT06</v>
      </c>
      <c r="C77" t="str">
        <f t="shared" si="11"/>
        <v>CD-CHA-SQE-SUB-QMT-06</v>
      </c>
      <c r="E77" t="s">
        <v>37</v>
      </c>
      <c r="F77" t="str">
        <f>VLOOKUP(E77,Localizacoes!$A$3:$B$100,2,FALSE)</f>
        <v>CD</v>
      </c>
      <c r="G77" t="str">
        <f>VLOOKUP(E77,ID!$A$3:$B$100,2,FALSE)</f>
        <v>CD</v>
      </c>
      <c r="H77" s="14" t="s">
        <v>31</v>
      </c>
      <c r="I77" t="str">
        <f>VLOOKUP(H77,Localizacoes!$C$3:$D$100,2,FALSE)</f>
        <v>CHA</v>
      </c>
      <c r="J77">
        <f>VLOOKUP(H77,ID!$C$3:$D$100,2,FALSE)</f>
        <v>28</v>
      </c>
      <c r="K77" t="s">
        <v>494</v>
      </c>
      <c r="L77" t="str">
        <f>VLOOKUP(K77,Localizacoes!$E$3:$F$100,2,FALSE)</f>
        <v>SQE</v>
      </c>
      <c r="M77" t="str">
        <f>VLOOKUP(K77,ID!$E$3:$F$100,2,FALSE)</f>
        <v>SQE</v>
      </c>
      <c r="N77" t="s">
        <v>112</v>
      </c>
      <c r="O77" t="str">
        <f>VLOOKUP(N77,Localizacoes!$G$3:$H$100,2,FALSE)</f>
        <v>SUB</v>
      </c>
      <c r="P77">
        <f>VLOOKUP(N77,ID!$G$3:$H$100,2,FALSE)</f>
        <v>165</v>
      </c>
      <c r="Q77" t="s">
        <v>445</v>
      </c>
      <c r="R77" t="str">
        <f>VLOOKUP(Q77,Localizacoes!$I$3:$J$100,2,FALSE)</f>
        <v>QMT</v>
      </c>
      <c r="S77" t="str">
        <f>VLOOKUP(Q77,ID!$I$3:$J$100,2,FALSE)</f>
        <v>QMT</v>
      </c>
      <c r="T77" s="4" t="s">
        <v>190</v>
      </c>
      <c r="U77" t="s">
        <v>265</v>
      </c>
      <c r="Y77" t="s">
        <v>270</v>
      </c>
      <c r="Z77" t="str">
        <f t="shared" si="23"/>
        <v>Quadro de Media Tensão 06</v>
      </c>
      <c r="AA77">
        <v>45408</v>
      </c>
      <c r="AD77" s="23" t="s">
        <v>267</v>
      </c>
      <c r="AF77" t="str">
        <f t="shared" si="12"/>
        <v>SubestaçãoQuadro de Media Tensão</v>
      </c>
      <c r="AG77" s="28" t="str">
        <f>VLOOKUP(AF77,Imagens!$C$2:$D$42,2,FALSE)</f>
        <v>65d1346bf3835</v>
      </c>
      <c r="AH77" t="str">
        <f>_xlfn.CONCAT(Imagens!$H$2,'registo_ativo-CDs (1)'!AG77)</f>
        <v>assets/imagens/products/65d1346bf3835</v>
      </c>
      <c r="AI77" s="67">
        <v>45366</v>
      </c>
      <c r="AK77" s="32"/>
    </row>
    <row r="78" spans="1:37" ht="16.8" customHeight="1" x14ac:dyDescent="0.3">
      <c r="A78">
        <f t="shared" si="14"/>
        <v>15</v>
      </c>
      <c r="B78" t="str">
        <f t="shared" si="10"/>
        <v>CD28QEA165QMT07</v>
      </c>
      <c r="C78" t="str">
        <f t="shared" si="11"/>
        <v>CD-CHA-QEA-SUB-QMT-07</v>
      </c>
      <c r="E78" t="s">
        <v>37</v>
      </c>
      <c r="F78" t="str">
        <f>VLOOKUP(E78,Localizacoes!$A$3:$B$100,2,FALSE)</f>
        <v>CD</v>
      </c>
      <c r="G78" t="str">
        <f>VLOOKUP(E78,ID!$A$3:$B$100,2,FALSE)</f>
        <v>CD</v>
      </c>
      <c r="H78" s="14" t="s">
        <v>31</v>
      </c>
      <c r="I78" t="str">
        <f>VLOOKUP(H78,Localizacoes!$C$3:$D$100,2,FALSE)</f>
        <v>CHA</v>
      </c>
      <c r="J78">
        <f>VLOOKUP(H78,ID!$C$3:$D$100,2,FALSE)</f>
        <v>28</v>
      </c>
      <c r="K78" t="s">
        <v>154</v>
      </c>
      <c r="L78" t="str">
        <f>VLOOKUP(K78,Localizacoes!$E$3:$F$100,2,FALSE)</f>
        <v>QEA</v>
      </c>
      <c r="M78" t="str">
        <f>VLOOKUP(K78,ID!$E$3:$F$100,2,FALSE)</f>
        <v>QEA</v>
      </c>
      <c r="N78" t="s">
        <v>112</v>
      </c>
      <c r="O78" t="str">
        <f>VLOOKUP(N78,Localizacoes!$G$3:$H$100,2,FALSE)</f>
        <v>SUB</v>
      </c>
      <c r="P78">
        <f>VLOOKUP(N78,ID!$G$3:$H$100,2,FALSE)</f>
        <v>165</v>
      </c>
      <c r="Q78" t="s">
        <v>445</v>
      </c>
      <c r="R78" t="str">
        <f>VLOOKUP(Q78,Localizacoes!$I$3:$J$100,2,FALSE)</f>
        <v>QMT</v>
      </c>
      <c r="S78" t="str">
        <f>VLOOKUP(Q78,ID!$I$3:$J$100,2,FALSE)</f>
        <v>QMT</v>
      </c>
      <c r="T78" s="4" t="s">
        <v>183</v>
      </c>
      <c r="U78" t="s">
        <v>265</v>
      </c>
      <c r="Y78" t="s">
        <v>270</v>
      </c>
      <c r="Z78" t="str">
        <f t="shared" si="23"/>
        <v>Quadro de Media Tensão 07</v>
      </c>
      <c r="AA78">
        <v>45408</v>
      </c>
      <c r="AD78" s="23" t="s">
        <v>267</v>
      </c>
      <c r="AF78" t="str">
        <f t="shared" si="12"/>
        <v>SubestaçãoQuadro de Media Tensão</v>
      </c>
      <c r="AG78" s="28" t="str">
        <f>VLOOKUP(AF78,Imagens!$C$2:$D$42,2,FALSE)</f>
        <v>65d1346bf3835</v>
      </c>
      <c r="AH78" t="str">
        <f>_xlfn.CONCAT(Imagens!$H$2,'registo_ativo-CDs (1)'!AG78)</f>
        <v>assets/imagens/products/65d1346bf3835</v>
      </c>
      <c r="AI78" s="67">
        <v>45366</v>
      </c>
      <c r="AK78" s="32"/>
    </row>
    <row r="79" spans="1:37" ht="16.8" customHeight="1" x14ac:dyDescent="0.3">
      <c r="A79">
        <f t="shared" si="14"/>
        <v>15</v>
      </c>
      <c r="B79" t="str">
        <f t="shared" si="10"/>
        <v>CD28QEA165QMT08</v>
      </c>
      <c r="C79" t="str">
        <f t="shared" si="11"/>
        <v>CD-CHA-QEA-SUB-QMT-08</v>
      </c>
      <c r="E79" t="s">
        <v>37</v>
      </c>
      <c r="F79" t="str">
        <f>VLOOKUP(E79,Localizacoes!$A$3:$B$100,2,FALSE)</f>
        <v>CD</v>
      </c>
      <c r="G79" t="str">
        <f>VLOOKUP(E79,ID!$A$3:$B$100,2,FALSE)</f>
        <v>CD</v>
      </c>
      <c r="H79" s="14" t="s">
        <v>31</v>
      </c>
      <c r="I79" t="str">
        <f>VLOOKUP(H79,Localizacoes!$C$3:$D$100,2,FALSE)</f>
        <v>CHA</v>
      </c>
      <c r="J79">
        <f>VLOOKUP(H79,ID!$C$3:$D$100,2,FALSE)</f>
        <v>28</v>
      </c>
      <c r="K79" t="s">
        <v>154</v>
      </c>
      <c r="L79" t="str">
        <f>VLOOKUP(K79,Localizacoes!$E$3:$F$100,2,FALSE)</f>
        <v>QEA</v>
      </c>
      <c r="M79" t="str">
        <f>VLOOKUP(K79,ID!$E$3:$F$100,2,FALSE)</f>
        <v>QEA</v>
      </c>
      <c r="N79" t="s">
        <v>112</v>
      </c>
      <c r="O79" t="str">
        <f>VLOOKUP(N79,Localizacoes!$G$3:$H$100,2,FALSE)</f>
        <v>SUB</v>
      </c>
      <c r="P79">
        <f>VLOOKUP(N79,ID!$G$3:$H$100,2,FALSE)</f>
        <v>165</v>
      </c>
      <c r="Q79" t="s">
        <v>445</v>
      </c>
      <c r="R79" t="str">
        <f>VLOOKUP(Q79,Localizacoes!$I$3:$J$100,2,FALSE)</f>
        <v>QMT</v>
      </c>
      <c r="S79" t="str">
        <f>VLOOKUP(Q79,ID!$I$3:$J$100,2,FALSE)</f>
        <v>QMT</v>
      </c>
      <c r="T79" s="4" t="s">
        <v>184</v>
      </c>
      <c r="U79" t="s">
        <v>265</v>
      </c>
      <c r="Y79" t="s">
        <v>270</v>
      </c>
      <c r="Z79" t="str">
        <f t="shared" si="23"/>
        <v>Quadro de Media Tensão 08</v>
      </c>
      <c r="AA79">
        <v>45408</v>
      </c>
      <c r="AD79" s="23" t="s">
        <v>267</v>
      </c>
      <c r="AF79" t="str">
        <f t="shared" si="12"/>
        <v>SubestaçãoQuadro de Media Tensão</v>
      </c>
      <c r="AG79" s="28" t="str">
        <f>VLOOKUP(AF79,Imagens!$C$2:$D$42,2,FALSE)</f>
        <v>65d1346bf3835</v>
      </c>
      <c r="AH79" t="str">
        <f>_xlfn.CONCAT(Imagens!$H$2,'registo_ativo-CDs (1)'!AG79)</f>
        <v>assets/imagens/products/65d1346bf3835</v>
      </c>
      <c r="AI79" s="67">
        <v>45366</v>
      </c>
      <c r="AK79" s="32"/>
    </row>
    <row r="80" spans="1:37" ht="16.8" customHeight="1" x14ac:dyDescent="0.3">
      <c r="A80">
        <f t="shared" si="14"/>
        <v>15</v>
      </c>
      <c r="B80" t="str">
        <f t="shared" si="10"/>
        <v>CD28ILU152QBT01</v>
      </c>
      <c r="C80" t="str">
        <f t="shared" si="11"/>
        <v>CD-CHA-ILU-QEL-QBT-01</v>
      </c>
      <c r="E80" t="s">
        <v>37</v>
      </c>
      <c r="F80" t="str">
        <f>VLOOKUP(E80,Localizacoes!$A$3:$B$100,2,FALSE)</f>
        <v>CD</v>
      </c>
      <c r="G80" t="str">
        <f>VLOOKUP(E80,ID!$A$3:$B$100,2,FALSE)</f>
        <v>CD</v>
      </c>
      <c r="H80" s="14" t="s">
        <v>31</v>
      </c>
      <c r="I80" t="str">
        <f>VLOOKUP(H80,Localizacoes!$C$3:$D$100,2,FALSE)</f>
        <v>CHA</v>
      </c>
      <c r="J80">
        <f>VLOOKUP(H80,ID!$C$3:$D$100,2,FALSE)</f>
        <v>28</v>
      </c>
      <c r="K80" t="s">
        <v>141</v>
      </c>
      <c r="L80" t="str">
        <f>VLOOKUP(K80,Localizacoes!$E$3:$F$100,2,FALSE)</f>
        <v>ILU</v>
      </c>
      <c r="M80" t="str">
        <f>VLOOKUP(K80,ID!$E$3:$F$100,2,FALSE)</f>
        <v>ILU</v>
      </c>
      <c r="N80" t="s">
        <v>286</v>
      </c>
      <c r="O80" t="str">
        <f>VLOOKUP(N80,Localizacoes!$G$3:$H$100,2,FALSE)</f>
        <v>QEL</v>
      </c>
      <c r="P80">
        <f>VLOOKUP(N80,ID!$G$3:$H$100,2,FALSE)</f>
        <v>152</v>
      </c>
      <c r="Q80" t="s">
        <v>443</v>
      </c>
      <c r="R80" t="str">
        <f>VLOOKUP(Q80,Localizacoes!$I$3:$J$100,2,FALSE)</f>
        <v>QBT</v>
      </c>
      <c r="S80" t="str">
        <f>VLOOKUP(Q80,ID!$I$3:$J$100,2,FALSE)</f>
        <v>QBT</v>
      </c>
      <c r="T80" s="4" t="s">
        <v>182</v>
      </c>
      <c r="U80" t="s">
        <v>265</v>
      </c>
      <c r="Y80" t="s">
        <v>270</v>
      </c>
      <c r="Z80" t="str">
        <f t="shared" si="23"/>
        <v>Quadro de Baixa Tensão 01</v>
      </c>
      <c r="AA80">
        <v>45408</v>
      </c>
      <c r="AD80" s="23" t="s">
        <v>267</v>
      </c>
      <c r="AF80" t="str">
        <f t="shared" si="12"/>
        <v>Quadro EléctricoQuadro de Baixa Tensão</v>
      </c>
      <c r="AG80" s="28" t="str">
        <f>VLOOKUP(AF80,Imagens!$C$2:$D$42,2,FALSE)</f>
        <v>65d1346bf3835</v>
      </c>
      <c r="AH80" t="str">
        <f>_xlfn.CONCAT(Imagens!$H$2,'registo_ativo-CDs (1)'!AG80)</f>
        <v>assets/imagens/products/65d1346bf3835</v>
      </c>
      <c r="AI80" s="67">
        <v>45366</v>
      </c>
      <c r="AK80" s="32"/>
    </row>
    <row r="81" spans="1:37" ht="16.8" customHeight="1" x14ac:dyDescent="0.3">
      <c r="A81">
        <f t="shared" si="14"/>
        <v>15</v>
      </c>
      <c r="B81" t="str">
        <f t="shared" si="10"/>
        <v>CD28SQE152QBT02</v>
      </c>
      <c r="C81" t="str">
        <f t="shared" si="11"/>
        <v>CD-CHA-SQE-QEL-QBT-02</v>
      </c>
      <c r="E81" t="s">
        <v>37</v>
      </c>
      <c r="F81" t="str">
        <f>VLOOKUP(E81,Localizacoes!$A$3:$B$100,2,FALSE)</f>
        <v>CD</v>
      </c>
      <c r="G81" t="str">
        <f>VLOOKUP(E81,ID!$A$3:$B$100,2,FALSE)</f>
        <v>CD</v>
      </c>
      <c r="H81" s="14" t="s">
        <v>31</v>
      </c>
      <c r="I81" t="str">
        <f>VLOOKUP(H81,Localizacoes!$C$3:$D$100,2,FALSE)</f>
        <v>CHA</v>
      </c>
      <c r="J81">
        <f>VLOOKUP(H81,ID!$C$3:$D$100,2,FALSE)</f>
        <v>28</v>
      </c>
      <c r="K81" t="s">
        <v>494</v>
      </c>
      <c r="L81" t="str">
        <f>VLOOKUP(K81,Localizacoes!$E$3:$F$100,2,FALSE)</f>
        <v>SQE</v>
      </c>
      <c r="M81" t="str">
        <f>VLOOKUP(K81,ID!$E$3:$F$100,2,FALSE)</f>
        <v>SQE</v>
      </c>
      <c r="N81" t="s">
        <v>286</v>
      </c>
      <c r="O81" t="str">
        <f>VLOOKUP(N81,Localizacoes!$G$3:$H$100,2,FALSE)</f>
        <v>QEL</v>
      </c>
      <c r="P81">
        <f>VLOOKUP(N81,ID!$G$3:$H$100,2,FALSE)</f>
        <v>152</v>
      </c>
      <c r="Q81" t="s">
        <v>443</v>
      </c>
      <c r="R81" t="str">
        <f>VLOOKUP(Q81,Localizacoes!$I$3:$J$100,2,FALSE)</f>
        <v>QBT</v>
      </c>
      <c r="S81" t="str">
        <f>VLOOKUP(Q81,ID!$I$3:$J$100,2,FALSE)</f>
        <v>QBT</v>
      </c>
      <c r="T81" s="4" t="s">
        <v>186</v>
      </c>
      <c r="U81" t="s">
        <v>265</v>
      </c>
      <c r="Y81" t="s">
        <v>270</v>
      </c>
      <c r="Z81" t="str">
        <f t="shared" si="23"/>
        <v>Quadro de Baixa Tensão 02</v>
      </c>
      <c r="AA81">
        <v>45318</v>
      </c>
      <c r="AD81" s="23" t="s">
        <v>267</v>
      </c>
      <c r="AF81" t="str">
        <f t="shared" si="12"/>
        <v>Quadro EléctricoQuadro de Baixa Tensão</v>
      </c>
      <c r="AG81" s="28" t="str">
        <f>VLOOKUP(AF81,Imagens!$C$2:$D$42,2,FALSE)</f>
        <v>65d1346bf3835</v>
      </c>
      <c r="AH81" t="str">
        <f>_xlfn.CONCAT(Imagens!$H$2,'registo_ativo-CDs (1)'!AG81)</f>
        <v>assets/imagens/products/65d1346bf3835</v>
      </c>
      <c r="AI81" s="67">
        <v>45366</v>
      </c>
      <c r="AK81" s="32"/>
    </row>
    <row r="82" spans="1:37" ht="16.8" customHeight="1" x14ac:dyDescent="0.3">
      <c r="A82">
        <f t="shared" si="14"/>
        <v>15</v>
      </c>
      <c r="B82" t="str">
        <f t="shared" si="10"/>
        <v>CD28SQE152QBT03</v>
      </c>
      <c r="C82" t="str">
        <f t="shared" si="11"/>
        <v>CD-CHA-SQE-QEL-QBT-03</v>
      </c>
      <c r="E82" t="s">
        <v>37</v>
      </c>
      <c r="F82" t="str">
        <f>VLOOKUP(E82,Localizacoes!$A$3:$B$100,2,FALSE)</f>
        <v>CD</v>
      </c>
      <c r="G82" t="str">
        <f>VLOOKUP(E82,ID!$A$3:$B$100,2,FALSE)</f>
        <v>CD</v>
      </c>
      <c r="H82" s="14" t="s">
        <v>31</v>
      </c>
      <c r="I82" t="str">
        <f>VLOOKUP(H82,Localizacoes!$C$3:$D$100,2,FALSE)</f>
        <v>CHA</v>
      </c>
      <c r="J82">
        <f>VLOOKUP(H82,ID!$C$3:$D$100,2,FALSE)</f>
        <v>28</v>
      </c>
      <c r="K82" t="s">
        <v>494</v>
      </c>
      <c r="L82" t="str">
        <f>VLOOKUP(K82,Localizacoes!$E$3:$F$100,2,FALSE)</f>
        <v>SQE</v>
      </c>
      <c r="M82" t="str">
        <f>VLOOKUP(K82,ID!$E$3:$F$100,2,FALSE)</f>
        <v>SQE</v>
      </c>
      <c r="N82" t="s">
        <v>286</v>
      </c>
      <c r="O82" t="str">
        <f>VLOOKUP(N82,Localizacoes!$G$3:$H$100,2,FALSE)</f>
        <v>QEL</v>
      </c>
      <c r="P82">
        <f>VLOOKUP(N82,ID!$G$3:$H$100,2,FALSE)</f>
        <v>152</v>
      </c>
      <c r="Q82" t="s">
        <v>443</v>
      </c>
      <c r="R82" t="str">
        <f>VLOOKUP(Q82,Localizacoes!$I$3:$J$100,2,FALSE)</f>
        <v>QBT</v>
      </c>
      <c r="S82" t="str">
        <f>VLOOKUP(Q82,ID!$I$3:$J$100,2,FALSE)</f>
        <v>QBT</v>
      </c>
      <c r="T82" s="4" t="s">
        <v>187</v>
      </c>
      <c r="U82" t="s">
        <v>265</v>
      </c>
      <c r="Y82" t="s">
        <v>270</v>
      </c>
      <c r="Z82" t="str">
        <f t="shared" si="23"/>
        <v>Quadro de Baixa Tensão 03</v>
      </c>
      <c r="AA82">
        <v>45318</v>
      </c>
      <c r="AD82" s="23" t="s">
        <v>267</v>
      </c>
      <c r="AF82" t="str">
        <f t="shared" si="12"/>
        <v>Quadro EléctricoQuadro de Baixa Tensão</v>
      </c>
      <c r="AG82" s="28" t="str">
        <f>VLOOKUP(AF82,Imagens!$C$2:$D$42,2,FALSE)</f>
        <v>65d1346bf3835</v>
      </c>
      <c r="AH82" t="str">
        <f>_xlfn.CONCAT(Imagens!$H$2,'registo_ativo-CDs (1)'!AG82)</f>
        <v>assets/imagens/products/65d1346bf3835</v>
      </c>
      <c r="AI82" s="67">
        <v>45366</v>
      </c>
      <c r="AK82" s="32"/>
    </row>
    <row r="83" spans="1:37" ht="16.8" customHeight="1" x14ac:dyDescent="0.3">
      <c r="A83">
        <f t="shared" si="14"/>
        <v>15</v>
      </c>
      <c r="B83" t="str">
        <f t="shared" si="10"/>
        <v>CD28SQE152QBT04</v>
      </c>
      <c r="C83" t="str">
        <f t="shared" si="11"/>
        <v>CD-CHA-SQE-QEL-QBT-04</v>
      </c>
      <c r="E83" t="s">
        <v>37</v>
      </c>
      <c r="F83" t="str">
        <f>VLOOKUP(E83,Localizacoes!$A$3:$B$100,2,FALSE)</f>
        <v>CD</v>
      </c>
      <c r="G83" t="str">
        <f>VLOOKUP(E83,ID!$A$3:$B$100,2,FALSE)</f>
        <v>CD</v>
      </c>
      <c r="H83" s="14" t="s">
        <v>31</v>
      </c>
      <c r="I83" t="str">
        <f>VLOOKUP(H83,Localizacoes!$C$3:$D$100,2,FALSE)</f>
        <v>CHA</v>
      </c>
      <c r="J83">
        <f>VLOOKUP(H83,ID!$C$3:$D$100,2,FALSE)</f>
        <v>28</v>
      </c>
      <c r="K83" t="s">
        <v>494</v>
      </c>
      <c r="L83" t="str">
        <f>VLOOKUP(K83,Localizacoes!$E$3:$F$100,2,FALSE)</f>
        <v>SQE</v>
      </c>
      <c r="M83" t="str">
        <f>VLOOKUP(K83,ID!$E$3:$F$100,2,FALSE)</f>
        <v>SQE</v>
      </c>
      <c r="N83" t="s">
        <v>286</v>
      </c>
      <c r="O83" t="str">
        <f>VLOOKUP(N83,Localizacoes!$G$3:$H$100,2,FALSE)</f>
        <v>QEL</v>
      </c>
      <c r="P83">
        <f>VLOOKUP(N83,ID!$G$3:$H$100,2,FALSE)</f>
        <v>152</v>
      </c>
      <c r="Q83" t="s">
        <v>443</v>
      </c>
      <c r="R83" t="str">
        <f>VLOOKUP(Q83,Localizacoes!$I$3:$J$100,2,FALSE)</f>
        <v>QBT</v>
      </c>
      <c r="S83" t="str">
        <f>VLOOKUP(Q83,ID!$I$3:$J$100,2,FALSE)</f>
        <v>QBT</v>
      </c>
      <c r="T83" s="4" t="s">
        <v>188</v>
      </c>
      <c r="U83" t="s">
        <v>265</v>
      </c>
      <c r="Y83" t="s">
        <v>270</v>
      </c>
      <c r="Z83" t="str">
        <f t="shared" si="23"/>
        <v>Quadro de Baixa Tensão 04</v>
      </c>
      <c r="AA83">
        <v>45318</v>
      </c>
      <c r="AD83" s="23" t="s">
        <v>267</v>
      </c>
      <c r="AF83" t="str">
        <f t="shared" ref="AF83:AF150" si="24">_xlfn.CONCAT(N83,Q83)</f>
        <v>Quadro EléctricoQuadro de Baixa Tensão</v>
      </c>
      <c r="AG83" s="28" t="str">
        <f>VLOOKUP(AF83,Imagens!$C$2:$D$42,2,FALSE)</f>
        <v>65d1346bf3835</v>
      </c>
      <c r="AH83" t="str">
        <f>_xlfn.CONCAT(Imagens!$H$2,'registo_ativo-CDs (1)'!AG83)</f>
        <v>assets/imagens/products/65d1346bf3835</v>
      </c>
      <c r="AI83" s="67">
        <v>45366</v>
      </c>
      <c r="AK83" s="32"/>
    </row>
    <row r="84" spans="1:37" ht="16.8" customHeight="1" x14ac:dyDescent="0.3">
      <c r="A84">
        <f t="shared" si="14"/>
        <v>15</v>
      </c>
      <c r="B84" t="str">
        <f t="shared" si="10"/>
        <v>CD28SQE152QBT05</v>
      </c>
      <c r="C84" t="str">
        <f t="shared" si="11"/>
        <v>CD-CHA-SQE-QEL-QBT-05</v>
      </c>
      <c r="E84" t="s">
        <v>37</v>
      </c>
      <c r="F84" t="str">
        <f>VLOOKUP(E84,Localizacoes!$A$3:$B$100,2,FALSE)</f>
        <v>CD</v>
      </c>
      <c r="G84" t="str">
        <f>VLOOKUP(E84,ID!$A$3:$B$100,2,FALSE)</f>
        <v>CD</v>
      </c>
      <c r="H84" s="14" t="s">
        <v>31</v>
      </c>
      <c r="I84" t="str">
        <f>VLOOKUP(H84,Localizacoes!$C$3:$D$100,2,FALSE)</f>
        <v>CHA</v>
      </c>
      <c r="J84">
        <f>VLOOKUP(H84,ID!$C$3:$D$100,2,FALSE)</f>
        <v>28</v>
      </c>
      <c r="K84" t="s">
        <v>494</v>
      </c>
      <c r="L84" t="str">
        <f>VLOOKUP(K84,Localizacoes!$E$3:$F$100,2,FALSE)</f>
        <v>SQE</v>
      </c>
      <c r="M84" t="str">
        <f>VLOOKUP(K84,ID!$E$3:$F$100,2,FALSE)</f>
        <v>SQE</v>
      </c>
      <c r="N84" t="s">
        <v>286</v>
      </c>
      <c r="O84" t="str">
        <f>VLOOKUP(N84,Localizacoes!$G$3:$H$100,2,FALSE)</f>
        <v>QEL</v>
      </c>
      <c r="P84">
        <f>VLOOKUP(N84,ID!$G$3:$H$100,2,FALSE)</f>
        <v>152</v>
      </c>
      <c r="Q84" t="s">
        <v>443</v>
      </c>
      <c r="R84" t="str">
        <f>VLOOKUP(Q84,Localizacoes!$I$3:$J$100,2,FALSE)</f>
        <v>QBT</v>
      </c>
      <c r="S84" t="str">
        <f>VLOOKUP(Q84,ID!$I$3:$J$100,2,FALSE)</f>
        <v>QBT</v>
      </c>
      <c r="T84" s="4" t="s">
        <v>189</v>
      </c>
      <c r="U84" t="s">
        <v>265</v>
      </c>
      <c r="Y84" t="s">
        <v>270</v>
      </c>
      <c r="Z84" t="str">
        <f t="shared" si="23"/>
        <v>Quadro de Baixa Tensão 05</v>
      </c>
      <c r="AA84">
        <v>45318</v>
      </c>
      <c r="AD84" s="23" t="s">
        <v>267</v>
      </c>
      <c r="AF84" t="str">
        <f t="shared" si="24"/>
        <v>Quadro EléctricoQuadro de Baixa Tensão</v>
      </c>
      <c r="AG84" s="28" t="str">
        <f>VLOOKUP(AF84,Imagens!$C$2:$D$42,2,FALSE)</f>
        <v>65d1346bf3835</v>
      </c>
      <c r="AH84" t="str">
        <f>_xlfn.CONCAT(Imagens!$H$2,'registo_ativo-CDs (1)'!AG84)</f>
        <v>assets/imagens/products/65d1346bf3835</v>
      </c>
      <c r="AI84" s="67">
        <v>45366</v>
      </c>
      <c r="AK84" s="32"/>
    </row>
    <row r="85" spans="1:37" ht="16.8" customHeight="1" x14ac:dyDescent="0.3">
      <c r="A85">
        <f t="shared" si="14"/>
        <v>15</v>
      </c>
      <c r="B85" t="str">
        <f t="shared" ref="B85:B150" si="25">CONCATENATE(G85,J85,M85,P85,S85,T85)</f>
        <v>CD28CAN152CAN01</v>
      </c>
      <c r="C85" t="str">
        <f t="shared" ref="C85:C150" si="26">CONCATENATE(F85, "-", I85, "-", L85, "-", O85, "-", R85, "-", T85)</f>
        <v>CD-CHA-CAN-QEL-CAN-01</v>
      </c>
      <c r="E85" t="s">
        <v>37</v>
      </c>
      <c r="F85" t="str">
        <f>VLOOKUP(E85,Localizacoes!$A$3:$B$100,2,FALSE)</f>
        <v>CD</v>
      </c>
      <c r="G85" t="str">
        <f>VLOOKUP(E85,ID!$A$3:$B$100,2,FALSE)</f>
        <v>CD</v>
      </c>
      <c r="H85" s="14" t="s">
        <v>31</v>
      </c>
      <c r="I85" t="str">
        <f>VLOOKUP(H85,Localizacoes!$C$3:$D$100,2,FALSE)</f>
        <v>CHA</v>
      </c>
      <c r="J85">
        <f>VLOOKUP(H85,ID!$C$3:$D$100,2,FALSE)</f>
        <v>28</v>
      </c>
      <c r="K85" t="s">
        <v>101</v>
      </c>
      <c r="L85" t="str">
        <f>VLOOKUP(K85,Localizacoes!$E$3:$F$100,2,FALSE)</f>
        <v>CAN</v>
      </c>
      <c r="M85" t="str">
        <f>VLOOKUP(K85,ID!$E$3:$F$100,2,FALSE)</f>
        <v>CAN</v>
      </c>
      <c r="N85" t="s">
        <v>286</v>
      </c>
      <c r="O85" t="str">
        <f>VLOOKUP(N85,Localizacoes!$G$3:$H$100,2,FALSE)</f>
        <v>QEL</v>
      </c>
      <c r="P85">
        <f>VLOOKUP(N85,ID!$G$3:$H$100,2,FALSE)</f>
        <v>152</v>
      </c>
      <c r="Q85" t="s">
        <v>101</v>
      </c>
      <c r="R85" t="str">
        <f>VLOOKUP(Q85,Localizacoes!$I$3:$J$100,2,FALSE)</f>
        <v>CAN</v>
      </c>
      <c r="S85" t="str">
        <f>VLOOKUP(Q85,ID!$I$3:$J$100,2,FALSE)</f>
        <v>CAN</v>
      </c>
      <c r="T85" s="4" t="s">
        <v>182</v>
      </c>
      <c r="U85" t="s">
        <v>265</v>
      </c>
      <c r="Y85" t="s">
        <v>270</v>
      </c>
      <c r="Z85" t="str">
        <f t="shared" si="23"/>
        <v>Canalização Eléctrica 01</v>
      </c>
      <c r="AA85">
        <v>45318</v>
      </c>
      <c r="AD85" s="23" t="s">
        <v>266</v>
      </c>
      <c r="AF85" t="str">
        <f t="shared" si="24"/>
        <v>Quadro EléctricoCanalização Eléctrica</v>
      </c>
      <c r="AG85" s="28" t="str">
        <f>VLOOKUP(AF85,Imagens!$C$2:$D$42,2,FALSE)</f>
        <v>65e8e4bb71249</v>
      </c>
      <c r="AH85" t="str">
        <f>_xlfn.CONCAT(Imagens!$H$2,'registo_ativo-CDs (1)'!AG85)</f>
        <v>assets/imagens/products/65e8e4bb71249</v>
      </c>
      <c r="AI85" s="67">
        <v>45450</v>
      </c>
      <c r="AK85" s="32"/>
    </row>
    <row r="86" spans="1:37" ht="16.8" customHeight="1" x14ac:dyDescent="0.3">
      <c r="A86">
        <f t="shared" si="14"/>
        <v>15</v>
      </c>
      <c r="B86" t="str">
        <f t="shared" si="25"/>
        <v>CD28SB1165TRA01</v>
      </c>
      <c r="C86" t="str">
        <f t="shared" si="26"/>
        <v>CD-CHA-SB1-SUB-TRA-01</v>
      </c>
      <c r="E86" t="s">
        <v>37</v>
      </c>
      <c r="F86" t="str">
        <f>VLOOKUP(E86,Localizacoes!$A$3:$B$100,2,FALSE)</f>
        <v>CD</v>
      </c>
      <c r="G86" t="str">
        <f>VLOOKUP(E86,ID!$A$3:$B$100,2,FALSE)</f>
        <v>CD</v>
      </c>
      <c r="H86" s="14" t="s">
        <v>31</v>
      </c>
      <c r="I86" t="str">
        <f>VLOOKUP(H86,Localizacoes!$C$3:$D$100,2,FALSE)</f>
        <v>CHA</v>
      </c>
      <c r="J86">
        <f>VLOOKUP(H86,ID!$C$3:$D$100,2,FALSE)</f>
        <v>28</v>
      </c>
      <c r="K86" t="s">
        <v>127</v>
      </c>
      <c r="L86" t="str">
        <f>VLOOKUP(K86,Localizacoes!$E$3:$F$100,2,FALSE)</f>
        <v>SB1</v>
      </c>
      <c r="M86" t="str">
        <f>VLOOKUP(K86,ID!$E$3:$F$100,2,FALSE)</f>
        <v>SB1</v>
      </c>
      <c r="N86" t="s">
        <v>112</v>
      </c>
      <c r="O86" t="str">
        <f>VLOOKUP(N86,Localizacoes!$G$3:$H$100,2,FALSE)</f>
        <v>SUB</v>
      </c>
      <c r="P86">
        <f>VLOOKUP(N86,ID!$G$3:$H$100,2,FALSE)</f>
        <v>165</v>
      </c>
      <c r="Q86" t="s">
        <v>176</v>
      </c>
      <c r="R86" t="str">
        <f>VLOOKUP(Q86,Localizacoes!$I$3:$J$100,2,FALSE)</f>
        <v>TRA</v>
      </c>
      <c r="S86" t="str">
        <f>VLOOKUP(Q86,ID!$I$3:$J$100,2,FALSE)</f>
        <v>TRA</v>
      </c>
      <c r="T86" s="4" t="s">
        <v>182</v>
      </c>
      <c r="U86" t="s">
        <v>265</v>
      </c>
      <c r="Y86" t="s">
        <v>270</v>
      </c>
      <c r="Z86" t="str">
        <f t="shared" si="23"/>
        <v>Transformador 01</v>
      </c>
      <c r="AA86">
        <v>45318</v>
      </c>
      <c r="AD86" s="23" t="s">
        <v>267</v>
      </c>
      <c r="AF86" t="str">
        <f t="shared" si="24"/>
        <v>SubestaçãoTransformador</v>
      </c>
      <c r="AG86" s="28" t="str">
        <f>VLOOKUP(AF86,Imagens!$C$2:$D$42,2,FALSE)</f>
        <v>65e8d98d73a3d</v>
      </c>
      <c r="AH86" t="str">
        <f>_xlfn.CONCAT(Imagens!$H$2,'registo_ativo-CDs (1)'!AG86)</f>
        <v>assets/imagens/products/65e8d98d73a3d</v>
      </c>
      <c r="AI86" s="67">
        <v>45324</v>
      </c>
      <c r="AK86" s="32"/>
    </row>
    <row r="87" spans="1:37" ht="16.8" customHeight="1" x14ac:dyDescent="0.3">
      <c r="A87">
        <f t="shared" si="14"/>
        <v>15</v>
      </c>
      <c r="B87" t="str">
        <f t="shared" si="25"/>
        <v>CD28SB1165TRA02</v>
      </c>
      <c r="C87" t="str">
        <f t="shared" si="26"/>
        <v>CD-CHA-SB1-SUB-TRA-02</v>
      </c>
      <c r="E87" t="s">
        <v>37</v>
      </c>
      <c r="F87" t="str">
        <f>VLOOKUP(E87,Localizacoes!$A$3:$B$100,2,FALSE)</f>
        <v>CD</v>
      </c>
      <c r="G87" t="str">
        <f>VLOOKUP(E87,ID!$A$3:$B$100,2,FALSE)</f>
        <v>CD</v>
      </c>
      <c r="H87" s="14" t="s">
        <v>31</v>
      </c>
      <c r="I87" t="str">
        <f>VLOOKUP(H87,Localizacoes!$C$3:$D$100,2,FALSE)</f>
        <v>CHA</v>
      </c>
      <c r="J87">
        <f>VLOOKUP(H87,ID!$C$3:$D$100,2,FALSE)</f>
        <v>28</v>
      </c>
      <c r="K87" t="s">
        <v>127</v>
      </c>
      <c r="L87" t="str">
        <f>VLOOKUP(K87,Localizacoes!$E$3:$F$100,2,FALSE)</f>
        <v>SB1</v>
      </c>
      <c r="M87" t="str">
        <f>VLOOKUP(K87,ID!$E$3:$F$100,2,FALSE)</f>
        <v>SB1</v>
      </c>
      <c r="N87" t="s">
        <v>112</v>
      </c>
      <c r="O87" t="str">
        <f>VLOOKUP(N87,Localizacoes!$G$3:$H$100,2,FALSE)</f>
        <v>SUB</v>
      </c>
      <c r="P87">
        <f>VLOOKUP(N87,ID!$G$3:$H$100,2,FALSE)</f>
        <v>165</v>
      </c>
      <c r="Q87" t="s">
        <v>176</v>
      </c>
      <c r="R87" t="str">
        <f>VLOOKUP(Q87,Localizacoes!$I$3:$J$100,2,FALSE)</f>
        <v>TRA</v>
      </c>
      <c r="S87" t="str">
        <f>VLOOKUP(Q87,ID!$I$3:$J$100,2,FALSE)</f>
        <v>TRA</v>
      </c>
      <c r="T87" s="4" t="s">
        <v>186</v>
      </c>
      <c r="U87" t="s">
        <v>265</v>
      </c>
      <c r="Y87" t="s">
        <v>270</v>
      </c>
      <c r="Z87" t="str">
        <f t="shared" si="23"/>
        <v>Transformador 02</v>
      </c>
      <c r="AA87">
        <v>45318</v>
      </c>
      <c r="AD87" s="23" t="s">
        <v>267</v>
      </c>
      <c r="AF87" t="str">
        <f t="shared" si="24"/>
        <v>SubestaçãoTransformador</v>
      </c>
      <c r="AG87" s="28" t="str">
        <f>VLOOKUP(AF87,Imagens!$C$2:$D$42,2,FALSE)</f>
        <v>65e8d98d73a3d</v>
      </c>
      <c r="AH87" t="str">
        <f>_xlfn.CONCAT(Imagens!$H$2,'registo_ativo-CDs (1)'!AG87)</f>
        <v>assets/imagens/products/65e8d98d73a3d</v>
      </c>
      <c r="AI87" s="67">
        <v>45324</v>
      </c>
      <c r="AK87" s="32"/>
    </row>
    <row r="88" spans="1:37" ht="16.8" customHeight="1" x14ac:dyDescent="0.3">
      <c r="A88">
        <f t="shared" si="14"/>
        <v>15</v>
      </c>
      <c r="B88" t="str">
        <f t="shared" si="25"/>
        <v>CD28SB1165TRA03</v>
      </c>
      <c r="C88" t="str">
        <f t="shared" si="26"/>
        <v>CD-CHA-SB1-SUB-TRA-03</v>
      </c>
      <c r="E88" t="s">
        <v>37</v>
      </c>
      <c r="F88" t="str">
        <f>VLOOKUP(E88,Localizacoes!$A$3:$B$100,2,FALSE)</f>
        <v>CD</v>
      </c>
      <c r="G88" t="str">
        <f>VLOOKUP(E88,ID!$A$3:$B$100,2,FALSE)</f>
        <v>CD</v>
      </c>
      <c r="H88" s="14" t="s">
        <v>31</v>
      </c>
      <c r="I88" t="str">
        <f>VLOOKUP(H88,Localizacoes!$C$3:$D$100,2,FALSE)</f>
        <v>CHA</v>
      </c>
      <c r="J88">
        <f>VLOOKUP(H88,ID!$C$3:$D$100,2,FALSE)</f>
        <v>28</v>
      </c>
      <c r="K88" t="s">
        <v>127</v>
      </c>
      <c r="L88" t="str">
        <f>VLOOKUP(K88,Localizacoes!$E$3:$F$100,2,FALSE)</f>
        <v>SB1</v>
      </c>
      <c r="M88" t="str">
        <f>VLOOKUP(K88,ID!$E$3:$F$100,2,FALSE)</f>
        <v>SB1</v>
      </c>
      <c r="N88" t="s">
        <v>112</v>
      </c>
      <c r="O88" t="str">
        <f>VLOOKUP(N88,Localizacoes!$G$3:$H$100,2,FALSE)</f>
        <v>SUB</v>
      </c>
      <c r="P88">
        <f>VLOOKUP(N88,ID!$G$3:$H$100,2,FALSE)</f>
        <v>165</v>
      </c>
      <c r="Q88" t="s">
        <v>176</v>
      </c>
      <c r="R88" t="str">
        <f>VLOOKUP(Q88,Localizacoes!$I$3:$J$100,2,FALSE)</f>
        <v>TRA</v>
      </c>
      <c r="S88" t="str">
        <f>VLOOKUP(Q88,ID!$I$3:$J$100,2,FALSE)</f>
        <v>TRA</v>
      </c>
      <c r="T88" s="4" t="s">
        <v>187</v>
      </c>
      <c r="U88" t="s">
        <v>265</v>
      </c>
      <c r="Y88" t="s">
        <v>270</v>
      </c>
      <c r="Z88" t="str">
        <f t="shared" si="23"/>
        <v>Transformador 03</v>
      </c>
      <c r="AA88">
        <v>45318</v>
      </c>
      <c r="AD88" s="23" t="s">
        <v>267</v>
      </c>
      <c r="AF88" t="str">
        <f t="shared" si="24"/>
        <v>SubestaçãoTransformador</v>
      </c>
      <c r="AG88" s="28" t="str">
        <f>VLOOKUP(AF88,Imagens!$C$2:$D$42,2,FALSE)</f>
        <v>65e8d98d73a3d</v>
      </c>
      <c r="AH88" t="str">
        <f>_xlfn.CONCAT(Imagens!$H$2,'registo_ativo-CDs (1)'!AG88)</f>
        <v>assets/imagens/products/65e8d98d73a3d</v>
      </c>
      <c r="AI88" s="67">
        <v>45324</v>
      </c>
      <c r="AK88" s="32"/>
    </row>
    <row r="89" spans="1:37" ht="16.8" customHeight="1" x14ac:dyDescent="0.3">
      <c r="A89">
        <f t="shared" si="14"/>
        <v>15</v>
      </c>
      <c r="B89" t="str">
        <f t="shared" si="25"/>
        <v>CD28SB1165TRA04</v>
      </c>
      <c r="C89" t="str">
        <f t="shared" si="26"/>
        <v>CD-CHA-SB1-SUB-TRA-04</v>
      </c>
      <c r="E89" t="s">
        <v>37</v>
      </c>
      <c r="F89" t="str">
        <f>VLOOKUP(E89,Localizacoes!$A$3:$B$100,2,FALSE)</f>
        <v>CD</v>
      </c>
      <c r="G89" t="str">
        <f>VLOOKUP(E89,ID!$A$3:$B$100,2,FALSE)</f>
        <v>CD</v>
      </c>
      <c r="H89" s="14" t="s">
        <v>31</v>
      </c>
      <c r="I89" t="str">
        <f>VLOOKUP(H89,Localizacoes!$C$3:$D$100,2,FALSE)</f>
        <v>CHA</v>
      </c>
      <c r="J89">
        <f>VLOOKUP(H89,ID!$C$3:$D$100,2,FALSE)</f>
        <v>28</v>
      </c>
      <c r="K89" t="s">
        <v>127</v>
      </c>
      <c r="L89" t="str">
        <f>VLOOKUP(K89,Localizacoes!$E$3:$F$100,2,FALSE)</f>
        <v>SB1</v>
      </c>
      <c r="M89" t="str">
        <f>VLOOKUP(K89,ID!$E$3:$F$100,2,FALSE)</f>
        <v>SB1</v>
      </c>
      <c r="N89" t="s">
        <v>112</v>
      </c>
      <c r="O89" t="str">
        <f>VLOOKUP(N89,Localizacoes!$G$3:$H$100,2,FALSE)</f>
        <v>SUB</v>
      </c>
      <c r="P89">
        <f>VLOOKUP(N89,ID!$G$3:$H$100,2,FALSE)</f>
        <v>165</v>
      </c>
      <c r="Q89" t="s">
        <v>176</v>
      </c>
      <c r="R89" t="str">
        <f>VLOOKUP(Q89,Localizacoes!$I$3:$J$100,2,FALSE)</f>
        <v>TRA</v>
      </c>
      <c r="S89" t="str">
        <f>VLOOKUP(Q89,ID!$I$3:$J$100,2,FALSE)</f>
        <v>TRA</v>
      </c>
      <c r="T89" s="4" t="s">
        <v>188</v>
      </c>
      <c r="U89" t="s">
        <v>265</v>
      </c>
      <c r="Y89" t="s">
        <v>270</v>
      </c>
      <c r="Z89" t="str">
        <f t="shared" si="23"/>
        <v>Transformador 04</v>
      </c>
      <c r="AA89">
        <v>45318</v>
      </c>
      <c r="AD89" s="23" t="s">
        <v>267</v>
      </c>
      <c r="AF89" t="str">
        <f t="shared" si="24"/>
        <v>SubestaçãoTransformador</v>
      </c>
      <c r="AG89" s="28" t="str">
        <f>VLOOKUP(AF89,Imagens!$C$2:$D$42,2,FALSE)</f>
        <v>65e8d98d73a3d</v>
      </c>
      <c r="AH89" t="str">
        <f>_xlfn.CONCAT(Imagens!$H$2,'registo_ativo-CDs (1)'!AG89)</f>
        <v>assets/imagens/products/65e8d98d73a3d</v>
      </c>
      <c r="AI89" s="67">
        <v>45324</v>
      </c>
      <c r="AK89" s="32"/>
    </row>
    <row r="90" spans="1:37" ht="16.8" customHeight="1" x14ac:dyDescent="0.3">
      <c r="A90">
        <f t="shared" ref="A90:A152" si="27">LEN(B90)</f>
        <v>15</v>
      </c>
      <c r="B90" t="str">
        <f t="shared" si="25"/>
        <v>CD28SB1165TRA05</v>
      </c>
      <c r="C90" t="str">
        <f t="shared" si="26"/>
        <v>CD-CHA-SB1-SUB-TRA-05</v>
      </c>
      <c r="E90" t="s">
        <v>37</v>
      </c>
      <c r="F90" t="str">
        <f>VLOOKUP(E90,Localizacoes!$A$3:$B$100,2,FALSE)</f>
        <v>CD</v>
      </c>
      <c r="G90" t="str">
        <f>VLOOKUP(E90,ID!$A$3:$B$100,2,FALSE)</f>
        <v>CD</v>
      </c>
      <c r="H90" s="14" t="s">
        <v>31</v>
      </c>
      <c r="I90" t="str">
        <f>VLOOKUP(H90,Localizacoes!$C$3:$D$100,2,FALSE)</f>
        <v>CHA</v>
      </c>
      <c r="J90">
        <f>VLOOKUP(H90,ID!$C$3:$D$100,2,FALSE)</f>
        <v>28</v>
      </c>
      <c r="K90" t="s">
        <v>127</v>
      </c>
      <c r="L90" t="str">
        <f>VLOOKUP(K90,Localizacoes!$E$3:$F$100,2,FALSE)</f>
        <v>SB1</v>
      </c>
      <c r="M90" t="str">
        <f>VLOOKUP(K90,ID!$E$3:$F$100,2,FALSE)</f>
        <v>SB1</v>
      </c>
      <c r="N90" t="s">
        <v>112</v>
      </c>
      <c r="O90" t="str">
        <f>VLOOKUP(N90,Localizacoes!$G$3:$H$100,2,FALSE)</f>
        <v>SUB</v>
      </c>
      <c r="P90">
        <f>VLOOKUP(N90,ID!$G$3:$H$100,2,FALSE)</f>
        <v>165</v>
      </c>
      <c r="Q90" t="s">
        <v>176</v>
      </c>
      <c r="R90" t="str">
        <f>VLOOKUP(Q90,Localizacoes!$I$3:$J$100,2,FALSE)</f>
        <v>TRA</v>
      </c>
      <c r="S90" t="str">
        <f>VLOOKUP(Q90,ID!$I$3:$J$100,2,FALSE)</f>
        <v>TRA</v>
      </c>
      <c r="T90" s="4" t="s">
        <v>189</v>
      </c>
      <c r="U90" t="s">
        <v>265</v>
      </c>
      <c r="Y90" t="s">
        <v>270</v>
      </c>
      <c r="Z90" t="str">
        <f t="shared" si="23"/>
        <v>Transformador 05</v>
      </c>
      <c r="AA90">
        <v>45318</v>
      </c>
      <c r="AD90" s="23" t="s">
        <v>267</v>
      </c>
      <c r="AF90" t="str">
        <f t="shared" si="24"/>
        <v>SubestaçãoTransformador</v>
      </c>
      <c r="AG90" s="28" t="str">
        <f>VLOOKUP(AF90,Imagens!$C$2:$D$42,2,FALSE)</f>
        <v>65e8d98d73a3d</v>
      </c>
      <c r="AH90" t="str">
        <f>_xlfn.CONCAT(Imagens!$H$2,'registo_ativo-CDs (1)'!AG90)</f>
        <v>assets/imagens/products/65e8d98d73a3d</v>
      </c>
      <c r="AI90" s="67">
        <v>45324</v>
      </c>
      <c r="AK90" s="32"/>
    </row>
    <row r="91" spans="1:37" ht="16.8" customHeight="1" x14ac:dyDescent="0.3">
      <c r="A91">
        <f t="shared" si="27"/>
        <v>15</v>
      </c>
      <c r="B91" t="str">
        <f t="shared" si="25"/>
        <v>CD10BBG131BOM01</v>
      </c>
      <c r="C91" t="str">
        <f t="shared" si="26"/>
        <v>CD-AM-BBG-EBC-BOM-01</v>
      </c>
      <c r="E91" t="s">
        <v>37</v>
      </c>
      <c r="F91" t="str">
        <f>VLOOKUP(E91,Localizacoes!$A$3:$B$100,2,FALSE)</f>
        <v>CD</v>
      </c>
      <c r="G91" t="str">
        <f>VLOOKUP(E91,ID!$A$3:$B$100,2,FALSE)</f>
        <v>CD</v>
      </c>
      <c r="H91" s="14" t="s">
        <v>229</v>
      </c>
      <c r="I91" t="str">
        <f>VLOOKUP(H91,Localizacoes!$C$3:$D$100,2,FALSE)</f>
        <v>AM</v>
      </c>
      <c r="J91">
        <f>VLOOKUP(H91,ID!$C$3:$D$100,2,FALSE)</f>
        <v>10</v>
      </c>
      <c r="K91" t="s">
        <v>274</v>
      </c>
      <c r="L91" t="str">
        <f>VLOOKUP(K91,Localizacoes!$E$3:$F$100,2,FALSE)</f>
        <v>BBG</v>
      </c>
      <c r="M91" t="str">
        <f>VLOOKUP(K91,ID!$E$3:$F$100,2,FALSE)</f>
        <v>BBG</v>
      </c>
      <c r="N91" t="s">
        <v>704</v>
      </c>
      <c r="O91" t="str">
        <f>VLOOKUP(N91,Localizacoes!$G$3:$H$100,2,FALSE)</f>
        <v>EBC</v>
      </c>
      <c r="P91">
        <f>VLOOKUP(N91,ID!$G$3:$H$100,2,FALSE)</f>
        <v>131</v>
      </c>
      <c r="Q91" t="s">
        <v>150</v>
      </c>
      <c r="R91" t="str">
        <f>VLOOKUP(Q91,Localizacoes!$I$3:$J$100,2,FALSE)</f>
        <v>BOM</v>
      </c>
      <c r="S91" t="str">
        <f>VLOOKUP(Q91,ID!$I$3:$J$100,2,FALSE)</f>
        <v>BOM</v>
      </c>
      <c r="T91" s="4" t="s">
        <v>182</v>
      </c>
      <c r="U91" t="s">
        <v>264</v>
      </c>
      <c r="V91" t="s">
        <v>355</v>
      </c>
      <c r="W91" t="s">
        <v>371</v>
      </c>
      <c r="X91" t="s">
        <v>6</v>
      </c>
      <c r="Y91" t="s">
        <v>270</v>
      </c>
      <c r="Z91" t="str">
        <f t="shared" si="23"/>
        <v>Bomba 01</v>
      </c>
      <c r="AA91">
        <v>2016</v>
      </c>
      <c r="AD91" s="13" t="s">
        <v>7</v>
      </c>
      <c r="AF91" t="str">
        <f t="shared" si="24"/>
        <v>Electrobomba centrífugaBomba</v>
      </c>
      <c r="AG91" s="28" t="str">
        <f>VLOOKUP(AF91,Imagens!$C$2:$D$42,2,FALSE)</f>
        <v>65e96125c1d11</v>
      </c>
      <c r="AH91" t="str">
        <f>_xlfn.CONCAT(Imagens!$H$2,'registo_ativo-CDs (1)'!AG91)</f>
        <v>assets/imagens/products/65e96125c1d11</v>
      </c>
      <c r="AI91" s="67">
        <v>45299</v>
      </c>
      <c r="AK91" s="32"/>
    </row>
    <row r="92" spans="1:37" ht="16.8" customHeight="1" x14ac:dyDescent="0.3">
      <c r="A92">
        <f t="shared" si="27"/>
        <v>15</v>
      </c>
      <c r="B92" t="str">
        <f t="shared" si="25"/>
        <v>CD10BBG131BOM02</v>
      </c>
      <c r="C92" t="str">
        <f t="shared" si="26"/>
        <v>CD-AM-BBG-EBC-BOM-02</v>
      </c>
      <c r="E92" t="s">
        <v>37</v>
      </c>
      <c r="F92" t="str">
        <f>VLOOKUP(E92,Localizacoes!$A$3:$B$100,2,FALSE)</f>
        <v>CD</v>
      </c>
      <c r="G92" t="str">
        <f>VLOOKUP(E92,ID!$A$3:$B$100,2,FALSE)</f>
        <v>CD</v>
      </c>
      <c r="H92" s="14" t="s">
        <v>229</v>
      </c>
      <c r="I92" t="str">
        <f>VLOOKUP(H92,Localizacoes!$C$3:$D$100,2,FALSE)</f>
        <v>AM</v>
      </c>
      <c r="J92">
        <f>VLOOKUP(H92,ID!$C$3:$D$100,2,FALSE)</f>
        <v>10</v>
      </c>
      <c r="K92" t="s">
        <v>274</v>
      </c>
      <c r="L92" t="str">
        <f>VLOOKUP(K92,Localizacoes!$E$3:$F$100,2,FALSE)</f>
        <v>BBG</v>
      </c>
      <c r="M92" t="str">
        <f>VLOOKUP(K92,ID!$E$3:$F$100,2,FALSE)</f>
        <v>BBG</v>
      </c>
      <c r="N92" t="s">
        <v>704</v>
      </c>
      <c r="O92" t="str">
        <f>VLOOKUP(N92,Localizacoes!$G$3:$H$100,2,FALSE)</f>
        <v>EBC</v>
      </c>
      <c r="P92">
        <f>VLOOKUP(N92,ID!$G$3:$H$100,2,FALSE)</f>
        <v>131</v>
      </c>
      <c r="Q92" t="s">
        <v>150</v>
      </c>
      <c r="R92" t="str">
        <f>VLOOKUP(Q92,Localizacoes!$I$3:$J$100,2,FALSE)</f>
        <v>BOM</v>
      </c>
      <c r="S92" t="str">
        <f>VLOOKUP(Q92,ID!$I$3:$J$100,2,FALSE)</f>
        <v>BOM</v>
      </c>
      <c r="T92" s="4" t="s">
        <v>186</v>
      </c>
      <c r="U92" t="s">
        <v>264</v>
      </c>
      <c r="V92" t="s">
        <v>355</v>
      </c>
      <c r="W92" t="s">
        <v>371</v>
      </c>
      <c r="X92" t="s">
        <v>6</v>
      </c>
      <c r="Y92" t="s">
        <v>270</v>
      </c>
      <c r="Z92" t="str">
        <f t="shared" si="23"/>
        <v>Bomba 02</v>
      </c>
      <c r="AA92">
        <v>2016</v>
      </c>
      <c r="AD92" s="13" t="s">
        <v>7</v>
      </c>
      <c r="AF92" t="str">
        <f t="shared" si="24"/>
        <v>Electrobomba centrífugaBomba</v>
      </c>
      <c r="AG92" s="28" t="str">
        <f>VLOOKUP(AF92,Imagens!$C$2:$D$42,2,FALSE)</f>
        <v>65e96125c1d11</v>
      </c>
      <c r="AH92" t="str">
        <f>_xlfn.CONCAT(Imagens!$H$2,'registo_ativo-CDs (1)'!AG92)</f>
        <v>assets/imagens/products/65e96125c1d11</v>
      </c>
      <c r="AI92" s="67">
        <v>45299</v>
      </c>
      <c r="AK92" s="32"/>
    </row>
    <row r="93" spans="1:37" ht="16.8" customHeight="1" x14ac:dyDescent="0.3">
      <c r="A93">
        <f t="shared" si="27"/>
        <v>15</v>
      </c>
      <c r="B93" t="str">
        <f t="shared" si="25"/>
        <v>CD10BBG131BOM03</v>
      </c>
      <c r="C93" t="str">
        <f t="shared" si="26"/>
        <v>CD-AM-BBG-EBC-BOM-03</v>
      </c>
      <c r="E93" t="s">
        <v>37</v>
      </c>
      <c r="F93" t="str">
        <f>VLOOKUP(E93,Localizacoes!$A$3:$B$100,2,FALSE)</f>
        <v>CD</v>
      </c>
      <c r="G93" t="str">
        <f>VLOOKUP(E93,ID!$A$3:$B$100,2,FALSE)</f>
        <v>CD</v>
      </c>
      <c r="H93" s="14" t="s">
        <v>229</v>
      </c>
      <c r="I93" t="str">
        <f>VLOOKUP(H93,Localizacoes!$C$3:$D$100,2,FALSE)</f>
        <v>AM</v>
      </c>
      <c r="J93">
        <f>VLOOKUP(H93,ID!$C$3:$D$100,2,FALSE)</f>
        <v>10</v>
      </c>
      <c r="K93" t="s">
        <v>274</v>
      </c>
      <c r="L93" t="str">
        <f>VLOOKUP(K93,Localizacoes!$E$3:$F$100,2,FALSE)</f>
        <v>BBG</v>
      </c>
      <c r="M93" t="str">
        <f>VLOOKUP(K93,ID!$E$3:$F$100,2,FALSE)</f>
        <v>BBG</v>
      </c>
      <c r="N93" t="s">
        <v>704</v>
      </c>
      <c r="O93" t="str">
        <f>VLOOKUP(N93,Localizacoes!$G$3:$H$100,2,FALSE)</f>
        <v>EBC</v>
      </c>
      <c r="P93">
        <f>VLOOKUP(N93,ID!$G$3:$H$100,2,FALSE)</f>
        <v>131</v>
      </c>
      <c r="Q93" t="s">
        <v>150</v>
      </c>
      <c r="R93" t="str">
        <f>VLOOKUP(Q93,Localizacoes!$I$3:$J$100,2,FALSE)</f>
        <v>BOM</v>
      </c>
      <c r="S93" t="str">
        <f>VLOOKUP(Q93,ID!$I$3:$J$100,2,FALSE)</f>
        <v>BOM</v>
      </c>
      <c r="T93" s="4" t="s">
        <v>187</v>
      </c>
      <c r="U93" t="s">
        <v>264</v>
      </c>
      <c r="V93" t="s">
        <v>355</v>
      </c>
      <c r="W93" t="s">
        <v>371</v>
      </c>
      <c r="X93" t="s">
        <v>356</v>
      </c>
      <c r="Y93" t="s">
        <v>270</v>
      </c>
      <c r="Z93" t="str">
        <f t="shared" si="23"/>
        <v>Bomba 03</v>
      </c>
      <c r="AA93">
        <v>2016</v>
      </c>
      <c r="AD93" s="13" t="s">
        <v>7</v>
      </c>
      <c r="AF93" t="str">
        <f t="shared" si="24"/>
        <v>Electrobomba centrífugaBomba</v>
      </c>
      <c r="AG93" s="28" t="str">
        <f>VLOOKUP(AF93,Imagens!$C$2:$D$42,2,FALSE)</f>
        <v>65e96125c1d11</v>
      </c>
      <c r="AH93" t="str">
        <f>_xlfn.CONCAT(Imagens!$H$2,'registo_ativo-CDs (1)'!AG93)</f>
        <v>assets/imagens/products/65e96125c1d11</v>
      </c>
      <c r="AI93" s="67">
        <v>45299</v>
      </c>
      <c r="AK93" s="32"/>
    </row>
    <row r="94" spans="1:37" ht="16.8" customHeight="1" x14ac:dyDescent="0.3">
      <c r="A94">
        <f t="shared" si="27"/>
        <v>15</v>
      </c>
      <c r="B94" t="str">
        <f t="shared" si="25"/>
        <v>CD10BBG131MOT01</v>
      </c>
      <c r="C94" t="str">
        <f t="shared" si="26"/>
        <v>CD-AM-BBG-EBC-MOT-01</v>
      </c>
      <c r="E94" t="s">
        <v>37</v>
      </c>
      <c r="F94" t="str">
        <f>VLOOKUP(E94,Localizacoes!$A$3:$B$100,2,FALSE)</f>
        <v>CD</v>
      </c>
      <c r="G94" t="str">
        <f>VLOOKUP(E94,ID!$A$3:$B$100,2,FALSE)</f>
        <v>CD</v>
      </c>
      <c r="H94" s="14" t="s">
        <v>229</v>
      </c>
      <c r="I94" t="str">
        <f>VLOOKUP(H94,Localizacoes!$C$3:$D$100,2,FALSE)</f>
        <v>AM</v>
      </c>
      <c r="J94">
        <f>VLOOKUP(H94,ID!$C$3:$D$100,2,FALSE)</f>
        <v>10</v>
      </c>
      <c r="K94" t="s">
        <v>274</v>
      </c>
      <c r="L94" t="str">
        <f>VLOOKUP(K94,Localizacoes!$E$3:$F$100,2,FALSE)</f>
        <v>BBG</v>
      </c>
      <c r="M94" t="str">
        <f>VLOOKUP(K94,ID!$E$3:$F$100,2,FALSE)</f>
        <v>BBG</v>
      </c>
      <c r="N94" t="s">
        <v>704</v>
      </c>
      <c r="O94" t="str">
        <f>VLOOKUP(N94,Localizacoes!$G$3:$H$100,2,FALSE)</f>
        <v>EBC</v>
      </c>
      <c r="P94">
        <f>VLOOKUP(N94,ID!$G$3:$H$100,2,FALSE)</f>
        <v>131</v>
      </c>
      <c r="Q94" t="s">
        <v>21</v>
      </c>
      <c r="R94" t="str">
        <f>VLOOKUP(Q94,Localizacoes!$I$3:$J$100,2,FALSE)</f>
        <v>MOT</v>
      </c>
      <c r="S94" t="str">
        <f>VLOOKUP(Q94,ID!$I$3:$J$100,2,FALSE)</f>
        <v>MOT</v>
      </c>
      <c r="T94" s="4" t="s">
        <v>182</v>
      </c>
      <c r="U94" t="s">
        <v>265</v>
      </c>
      <c r="V94" t="s">
        <v>357</v>
      </c>
      <c r="W94" t="s">
        <v>358</v>
      </c>
      <c r="X94" t="s">
        <v>6</v>
      </c>
      <c r="Y94" t="s">
        <v>270</v>
      </c>
      <c r="Z94" t="str">
        <f t="shared" si="23"/>
        <v>Motor 01</v>
      </c>
      <c r="AA94">
        <v>2016</v>
      </c>
      <c r="AD94" s="13" t="s">
        <v>7</v>
      </c>
      <c r="AF94" t="str">
        <f t="shared" si="24"/>
        <v>Electrobomba centrífugaMotor</v>
      </c>
      <c r="AG94" s="28" t="str">
        <f>VLOOKUP(AF94,Imagens!$C$2:$D$42,2,FALSE)</f>
        <v>65d04210323a4</v>
      </c>
      <c r="AH94" t="str">
        <f>_xlfn.CONCAT(Imagens!$H$2,'registo_ativo-CDs (1)'!AG94)</f>
        <v>assets/imagens/products/65d04210323a4</v>
      </c>
      <c r="AI94" s="67">
        <v>45299</v>
      </c>
      <c r="AK94" s="32"/>
    </row>
    <row r="95" spans="1:37" ht="16.8" customHeight="1" x14ac:dyDescent="0.3">
      <c r="A95">
        <f t="shared" si="27"/>
        <v>15</v>
      </c>
      <c r="B95" t="str">
        <f t="shared" si="25"/>
        <v>CD10BBG131MOT02</v>
      </c>
      <c r="C95" t="str">
        <f t="shared" si="26"/>
        <v>CD-AM-BBG-EBC-MOT-02</v>
      </c>
      <c r="E95" t="s">
        <v>37</v>
      </c>
      <c r="F95" t="str">
        <f>VLOOKUP(E95,Localizacoes!$A$3:$B$100,2,FALSE)</f>
        <v>CD</v>
      </c>
      <c r="G95" t="str">
        <f>VLOOKUP(E95,ID!$A$3:$B$100,2,FALSE)</f>
        <v>CD</v>
      </c>
      <c r="H95" s="14" t="s">
        <v>229</v>
      </c>
      <c r="I95" t="str">
        <f>VLOOKUP(H95,Localizacoes!$C$3:$D$100,2,FALSE)</f>
        <v>AM</v>
      </c>
      <c r="J95">
        <f>VLOOKUP(H95,ID!$C$3:$D$100,2,FALSE)</f>
        <v>10</v>
      </c>
      <c r="K95" t="s">
        <v>274</v>
      </c>
      <c r="L95" t="str">
        <f>VLOOKUP(K95,Localizacoes!$E$3:$F$100,2,FALSE)</f>
        <v>BBG</v>
      </c>
      <c r="M95" t="str">
        <f>VLOOKUP(K95,ID!$E$3:$F$100,2,FALSE)</f>
        <v>BBG</v>
      </c>
      <c r="N95" t="s">
        <v>704</v>
      </c>
      <c r="O95" t="str">
        <f>VLOOKUP(N95,Localizacoes!$G$3:$H$100,2,FALSE)</f>
        <v>EBC</v>
      </c>
      <c r="P95">
        <f>VLOOKUP(N95,ID!$G$3:$H$100,2,FALSE)</f>
        <v>131</v>
      </c>
      <c r="Q95" t="s">
        <v>21</v>
      </c>
      <c r="R95" t="str">
        <f>VLOOKUP(Q95,Localizacoes!$I$3:$J$100,2,FALSE)</f>
        <v>MOT</v>
      </c>
      <c r="S95" t="str">
        <f>VLOOKUP(Q95,ID!$I$3:$J$100,2,FALSE)</f>
        <v>MOT</v>
      </c>
      <c r="T95" s="4" t="s">
        <v>186</v>
      </c>
      <c r="U95" t="s">
        <v>265</v>
      </c>
      <c r="V95" t="s">
        <v>357</v>
      </c>
      <c r="W95" t="s">
        <v>359</v>
      </c>
      <c r="X95" t="s">
        <v>6</v>
      </c>
      <c r="Y95" t="s">
        <v>270</v>
      </c>
      <c r="Z95" t="str">
        <f t="shared" si="23"/>
        <v>Motor 02</v>
      </c>
      <c r="AA95">
        <v>2016</v>
      </c>
      <c r="AD95" s="13" t="s">
        <v>7</v>
      </c>
      <c r="AF95" t="str">
        <f t="shared" si="24"/>
        <v>Electrobomba centrífugaMotor</v>
      </c>
      <c r="AG95" s="28" t="str">
        <f>VLOOKUP(AF95,Imagens!$C$2:$D$42,2,FALSE)</f>
        <v>65d04210323a4</v>
      </c>
      <c r="AH95" t="str">
        <f>_xlfn.CONCAT(Imagens!$H$2,'registo_ativo-CDs (1)'!AG95)</f>
        <v>assets/imagens/products/65d04210323a4</v>
      </c>
      <c r="AI95" s="67">
        <v>45299</v>
      </c>
      <c r="AK95" s="32"/>
    </row>
    <row r="96" spans="1:37" ht="16.8" customHeight="1" x14ac:dyDescent="0.3">
      <c r="A96">
        <f t="shared" si="27"/>
        <v>15</v>
      </c>
      <c r="B96" t="str">
        <f t="shared" si="25"/>
        <v>CD10BBG131MOT03</v>
      </c>
      <c r="C96" t="str">
        <f t="shared" si="26"/>
        <v>CD-AM-BBG-EBC-MOT-03</v>
      </c>
      <c r="E96" t="s">
        <v>37</v>
      </c>
      <c r="F96" t="str">
        <f>VLOOKUP(E96,Localizacoes!$A$3:$B$100,2,FALSE)</f>
        <v>CD</v>
      </c>
      <c r="G96" t="str">
        <f>VLOOKUP(E96,ID!$A$3:$B$100,2,FALSE)</f>
        <v>CD</v>
      </c>
      <c r="H96" s="14" t="s">
        <v>229</v>
      </c>
      <c r="I96" t="str">
        <f>VLOOKUP(H96,Localizacoes!$C$3:$D$100,2,FALSE)</f>
        <v>AM</v>
      </c>
      <c r="J96">
        <f>VLOOKUP(H96,ID!$C$3:$D$100,2,FALSE)</f>
        <v>10</v>
      </c>
      <c r="K96" t="s">
        <v>274</v>
      </c>
      <c r="L96" t="str">
        <f>VLOOKUP(K96,Localizacoes!$E$3:$F$100,2,FALSE)</f>
        <v>BBG</v>
      </c>
      <c r="M96" t="str">
        <f>VLOOKUP(K96,ID!$E$3:$F$100,2,FALSE)</f>
        <v>BBG</v>
      </c>
      <c r="N96" t="s">
        <v>704</v>
      </c>
      <c r="O96" t="str">
        <f>VLOOKUP(N96,Localizacoes!$G$3:$H$100,2,FALSE)</f>
        <v>EBC</v>
      </c>
      <c r="P96">
        <f>VLOOKUP(N96,ID!$G$3:$H$100,2,FALSE)</f>
        <v>131</v>
      </c>
      <c r="Q96" t="s">
        <v>21</v>
      </c>
      <c r="R96" t="str">
        <f>VLOOKUP(Q96,Localizacoes!$I$3:$J$100,2,FALSE)</f>
        <v>MOT</v>
      </c>
      <c r="S96" t="str">
        <f>VLOOKUP(Q96,ID!$I$3:$J$100,2,FALSE)</f>
        <v>MOT</v>
      </c>
      <c r="T96" s="4" t="s">
        <v>187</v>
      </c>
      <c r="U96" t="s">
        <v>265</v>
      </c>
      <c r="V96" t="s">
        <v>357</v>
      </c>
      <c r="W96" t="s">
        <v>360</v>
      </c>
      <c r="X96" t="s">
        <v>356</v>
      </c>
      <c r="Y96" t="s">
        <v>270</v>
      </c>
      <c r="Z96" t="str">
        <f t="shared" si="23"/>
        <v>Motor 03</v>
      </c>
      <c r="AA96">
        <v>2016</v>
      </c>
      <c r="AD96" s="13" t="s">
        <v>7</v>
      </c>
      <c r="AF96" t="str">
        <f t="shared" si="24"/>
        <v>Electrobomba centrífugaMotor</v>
      </c>
      <c r="AG96" s="28" t="str">
        <f>VLOOKUP(AF96,Imagens!$C$2:$D$42,2,FALSE)</f>
        <v>65d04210323a4</v>
      </c>
      <c r="AH96" t="str">
        <f>_xlfn.CONCAT(Imagens!$H$2,'registo_ativo-CDs (1)'!AG96)</f>
        <v>assets/imagens/products/65d04210323a4</v>
      </c>
      <c r="AI96" s="67">
        <v>45299</v>
      </c>
      <c r="AK96" s="32"/>
    </row>
    <row r="97" spans="1:37" ht="16.8" customHeight="1" x14ac:dyDescent="0.3">
      <c r="A97">
        <f t="shared" si="27"/>
        <v>15</v>
      </c>
      <c r="B97" t="str">
        <f t="shared" si="25"/>
        <v>CD10BBG131AEL01</v>
      </c>
      <c r="C97" t="str">
        <f t="shared" si="26"/>
        <v>CD-AM-BBG-EBC-AEL-01</v>
      </c>
      <c r="E97" t="s">
        <v>37</v>
      </c>
      <c r="F97" t="str">
        <f>VLOOKUP(E97,Localizacoes!$A$3:$B$100,2,FALSE)</f>
        <v>CD</v>
      </c>
      <c r="G97" t="str">
        <f>VLOOKUP(E97,ID!$A$3:$B$100,2,FALSE)</f>
        <v>CD</v>
      </c>
      <c r="H97" s="14" t="s">
        <v>229</v>
      </c>
      <c r="I97" t="str">
        <f>VLOOKUP(H97,Localizacoes!$C$3:$D$100,2,FALSE)</f>
        <v>AM</v>
      </c>
      <c r="J97">
        <f>VLOOKUP(H97,ID!$C$3:$D$100,2,FALSE)</f>
        <v>10</v>
      </c>
      <c r="K97" t="s">
        <v>274</v>
      </c>
      <c r="L97" t="str">
        <f>VLOOKUP(K97,Localizacoes!$E$3:$F$100,2,FALSE)</f>
        <v>BBG</v>
      </c>
      <c r="M97" t="str">
        <f>VLOOKUP(K97,ID!$E$3:$F$100,2,FALSE)</f>
        <v>BBG</v>
      </c>
      <c r="N97" t="s">
        <v>704</v>
      </c>
      <c r="O97" t="str">
        <f>VLOOKUP(N97,Localizacoes!$G$3:$H$100,2,FALSE)</f>
        <v>EBC</v>
      </c>
      <c r="P97">
        <f>VLOOKUP(N97,ID!$G$3:$H$100,2,FALSE)</f>
        <v>131</v>
      </c>
      <c r="Q97" t="s">
        <v>149</v>
      </c>
      <c r="R97" t="str">
        <f>VLOOKUP(Q97,Localizacoes!$I$3:$J$100,2,FALSE)</f>
        <v>AEL</v>
      </c>
      <c r="S97" t="str">
        <f>VLOOKUP(Q97,ID!$I$3:$J$100,2,FALSE)</f>
        <v>AEL</v>
      </c>
      <c r="T97" s="4" t="s">
        <v>182</v>
      </c>
      <c r="U97" t="s">
        <v>264</v>
      </c>
      <c r="V97" t="s">
        <v>363</v>
      </c>
      <c r="W97" t="s">
        <v>362</v>
      </c>
      <c r="X97" t="s">
        <v>6</v>
      </c>
      <c r="Y97" t="s">
        <v>270</v>
      </c>
      <c r="Z97" t="str">
        <f t="shared" si="23"/>
        <v>Actuador Eléctrico 01</v>
      </c>
      <c r="AA97">
        <v>2016</v>
      </c>
      <c r="AD97" s="13" t="s">
        <v>267</v>
      </c>
      <c r="AF97" t="str">
        <f t="shared" si="24"/>
        <v>Electrobomba centrífugaActuador Eléctrico</v>
      </c>
      <c r="AG97" s="28" t="str">
        <f>VLOOKUP(AF97,Imagens!$C$2:$D$42,2,FALSE)</f>
        <v>65e8db8f62d7b</v>
      </c>
      <c r="AH97" t="str">
        <f>_xlfn.CONCAT(Imagens!$H$2,'registo_ativo-CDs (1)'!AG97)</f>
        <v>assets/imagens/products/65e8db8f62d7b</v>
      </c>
      <c r="AI97" s="67">
        <v>45355</v>
      </c>
      <c r="AK97" s="32"/>
    </row>
    <row r="98" spans="1:37" ht="16.8" customHeight="1" x14ac:dyDescent="0.3">
      <c r="A98">
        <f t="shared" si="27"/>
        <v>15</v>
      </c>
      <c r="B98" t="str">
        <f t="shared" si="25"/>
        <v>CD10BBG131AEL02</v>
      </c>
      <c r="C98" t="str">
        <f t="shared" si="26"/>
        <v>CD-AM-BBG-EBC-AEL-02</v>
      </c>
      <c r="E98" t="s">
        <v>37</v>
      </c>
      <c r="F98" t="str">
        <f>VLOOKUP(E98,Localizacoes!$A$3:$B$100,2,FALSE)</f>
        <v>CD</v>
      </c>
      <c r="G98" t="str">
        <f>VLOOKUP(E98,ID!$A$3:$B$100,2,FALSE)</f>
        <v>CD</v>
      </c>
      <c r="H98" s="14" t="s">
        <v>229</v>
      </c>
      <c r="I98" t="str">
        <f>VLOOKUP(H98,Localizacoes!$C$3:$D$100,2,FALSE)</f>
        <v>AM</v>
      </c>
      <c r="J98">
        <f>VLOOKUP(H98,ID!$C$3:$D$100,2,FALSE)</f>
        <v>10</v>
      </c>
      <c r="K98" t="s">
        <v>274</v>
      </c>
      <c r="L98" t="str">
        <f>VLOOKUP(K98,Localizacoes!$E$3:$F$100,2,FALSE)</f>
        <v>BBG</v>
      </c>
      <c r="M98" t="str">
        <f>VLOOKUP(K98,ID!$E$3:$F$100,2,FALSE)</f>
        <v>BBG</v>
      </c>
      <c r="N98" t="s">
        <v>704</v>
      </c>
      <c r="O98" t="str">
        <f>VLOOKUP(N98,Localizacoes!$G$3:$H$100,2,FALSE)</f>
        <v>EBC</v>
      </c>
      <c r="P98">
        <f>VLOOKUP(N98,ID!$G$3:$H$100,2,FALSE)</f>
        <v>131</v>
      </c>
      <c r="Q98" t="s">
        <v>149</v>
      </c>
      <c r="R98" t="str">
        <f>VLOOKUP(Q98,Localizacoes!$I$3:$J$100,2,FALSE)</f>
        <v>AEL</v>
      </c>
      <c r="S98" t="str">
        <f>VLOOKUP(Q98,ID!$I$3:$J$100,2,FALSE)</f>
        <v>AEL</v>
      </c>
      <c r="T98" s="4" t="s">
        <v>186</v>
      </c>
      <c r="U98" t="s">
        <v>264</v>
      </c>
      <c r="V98" t="s">
        <v>361</v>
      </c>
      <c r="W98" t="s">
        <v>364</v>
      </c>
      <c r="X98" t="s">
        <v>6</v>
      </c>
      <c r="Y98" t="s">
        <v>270</v>
      </c>
      <c r="Z98" t="str">
        <f t="shared" si="23"/>
        <v>Actuador Eléctrico 02</v>
      </c>
      <c r="AA98">
        <v>2016</v>
      </c>
      <c r="AD98" s="13" t="s">
        <v>267</v>
      </c>
      <c r="AF98" t="str">
        <f t="shared" si="24"/>
        <v>Electrobomba centrífugaActuador Eléctrico</v>
      </c>
      <c r="AG98" s="28" t="str">
        <f>VLOOKUP(AF98,Imagens!$C$2:$D$42,2,FALSE)</f>
        <v>65e8db8f62d7b</v>
      </c>
      <c r="AH98" t="str">
        <f>_xlfn.CONCAT(Imagens!$H$2,'registo_ativo-CDs (1)'!AG98)</f>
        <v>assets/imagens/products/65e8db8f62d7b</v>
      </c>
      <c r="AI98" s="67">
        <v>45355</v>
      </c>
      <c r="AK98" s="32"/>
    </row>
    <row r="99" spans="1:37" ht="16.8" customHeight="1" x14ac:dyDescent="0.3">
      <c r="A99">
        <f t="shared" si="27"/>
        <v>15</v>
      </c>
      <c r="B99" t="str">
        <f t="shared" si="25"/>
        <v>CD10BBG131AEL03</v>
      </c>
      <c r="C99" t="str">
        <f t="shared" si="26"/>
        <v>CD-AM-BBG-EBC-AEL-03</v>
      </c>
      <c r="E99" t="s">
        <v>37</v>
      </c>
      <c r="F99" t="str">
        <f>VLOOKUP(E99,Localizacoes!$A$3:$B$100,2,FALSE)</f>
        <v>CD</v>
      </c>
      <c r="G99" t="str">
        <f>VLOOKUP(E99,ID!$A$3:$B$100,2,FALSE)</f>
        <v>CD</v>
      </c>
      <c r="H99" s="14" t="s">
        <v>229</v>
      </c>
      <c r="I99" t="str">
        <f>VLOOKUP(H99,Localizacoes!$C$3:$D$100,2,FALSE)</f>
        <v>AM</v>
      </c>
      <c r="J99">
        <f>VLOOKUP(H99,ID!$C$3:$D$100,2,FALSE)</f>
        <v>10</v>
      </c>
      <c r="K99" t="s">
        <v>274</v>
      </c>
      <c r="L99" t="str">
        <f>VLOOKUP(K99,Localizacoes!$E$3:$F$100,2,FALSE)</f>
        <v>BBG</v>
      </c>
      <c r="M99" t="str">
        <f>VLOOKUP(K99,ID!$E$3:$F$100,2,FALSE)</f>
        <v>BBG</v>
      </c>
      <c r="N99" t="s">
        <v>704</v>
      </c>
      <c r="O99" t="str">
        <f>VLOOKUP(N99,Localizacoes!$G$3:$H$100,2,FALSE)</f>
        <v>EBC</v>
      </c>
      <c r="P99">
        <f>VLOOKUP(N99,ID!$G$3:$H$100,2,FALSE)</f>
        <v>131</v>
      </c>
      <c r="Q99" t="s">
        <v>149</v>
      </c>
      <c r="R99" t="str">
        <f>VLOOKUP(Q99,Localizacoes!$I$3:$J$100,2,FALSE)</f>
        <v>AEL</v>
      </c>
      <c r="S99" t="str">
        <f>VLOOKUP(Q99,ID!$I$3:$J$100,2,FALSE)</f>
        <v>AEL</v>
      </c>
      <c r="T99" s="4" t="s">
        <v>187</v>
      </c>
      <c r="U99" t="s">
        <v>264</v>
      </c>
      <c r="V99" t="s">
        <v>361</v>
      </c>
      <c r="W99" t="s">
        <v>365</v>
      </c>
      <c r="X99" t="s">
        <v>6</v>
      </c>
      <c r="Y99" t="s">
        <v>270</v>
      </c>
      <c r="Z99" t="str">
        <f t="shared" si="23"/>
        <v>Actuador Eléctrico 03</v>
      </c>
      <c r="AA99">
        <v>2016</v>
      </c>
      <c r="AD99" s="13" t="s">
        <v>267</v>
      </c>
      <c r="AF99" t="str">
        <f t="shared" si="24"/>
        <v>Electrobomba centrífugaActuador Eléctrico</v>
      </c>
      <c r="AG99" s="28" t="str">
        <f>VLOOKUP(AF99,Imagens!$C$2:$D$42,2,FALSE)</f>
        <v>65e8db8f62d7b</v>
      </c>
      <c r="AH99" t="str">
        <f>_xlfn.CONCAT(Imagens!$H$2,'registo_ativo-CDs (1)'!AG99)</f>
        <v>assets/imagens/products/65e8db8f62d7b</v>
      </c>
      <c r="AI99" s="67">
        <v>45355</v>
      </c>
      <c r="AK99" s="32"/>
    </row>
    <row r="100" spans="1:37" ht="16.8" customHeight="1" x14ac:dyDescent="0.3">
      <c r="A100">
        <f t="shared" si="27"/>
        <v>15</v>
      </c>
      <c r="B100" t="str">
        <f t="shared" si="25"/>
        <v>CD10BBG131VSU01</v>
      </c>
      <c r="C100" t="str">
        <f t="shared" si="26"/>
        <v>CD-AM-BBG-EBC-VSU-01</v>
      </c>
      <c r="E100" t="s">
        <v>37</v>
      </c>
      <c r="F100" t="str">
        <f>VLOOKUP(E100,Localizacoes!$A$3:$B$100,2,FALSE)</f>
        <v>CD</v>
      </c>
      <c r="G100" t="str">
        <f>VLOOKUP(E100,ID!$A$3:$B$100,2,FALSE)</f>
        <v>CD</v>
      </c>
      <c r="H100" s="14" t="s">
        <v>229</v>
      </c>
      <c r="I100" t="str">
        <f>VLOOKUP(H100,Localizacoes!$C$3:$D$100,2,FALSE)</f>
        <v>AM</v>
      </c>
      <c r="J100">
        <f>VLOOKUP(H100,ID!$C$3:$D$100,2,FALSE)</f>
        <v>10</v>
      </c>
      <c r="K100" t="s">
        <v>274</v>
      </c>
      <c r="L100" t="str">
        <f>VLOOKUP(K100,Localizacoes!$E$3:$F$100,2,FALSE)</f>
        <v>BBG</v>
      </c>
      <c r="M100" t="str">
        <f>VLOOKUP(K100,ID!$E$3:$F$100,2,FALSE)</f>
        <v>BBG</v>
      </c>
      <c r="N100" t="s">
        <v>704</v>
      </c>
      <c r="O100" t="str">
        <f>VLOOKUP(N100,Localizacoes!$G$3:$H$100,2,FALSE)</f>
        <v>EBC</v>
      </c>
      <c r="P100">
        <f>VLOOKUP(N100,ID!$G$3:$H$100,2,FALSE)</f>
        <v>131</v>
      </c>
      <c r="Q100" t="s">
        <v>276</v>
      </c>
      <c r="R100" t="str">
        <f>VLOOKUP(Q100,Localizacoes!$I$3:$J$100,2,FALSE)</f>
        <v>VSU</v>
      </c>
      <c r="S100" t="str">
        <f>VLOOKUP(Q100,ID!$I$3:$J$100,2,FALSE)</f>
        <v>VSU</v>
      </c>
      <c r="T100" s="4" t="s">
        <v>182</v>
      </c>
      <c r="U100" t="s">
        <v>264</v>
      </c>
      <c r="V100" t="s">
        <v>366</v>
      </c>
      <c r="W100" t="s">
        <v>367</v>
      </c>
      <c r="X100" t="s">
        <v>6</v>
      </c>
      <c r="Y100" t="s">
        <v>270</v>
      </c>
      <c r="Z100" t="str">
        <f t="shared" si="23"/>
        <v>Válvula Sucção 01</v>
      </c>
      <c r="AA100">
        <v>2016</v>
      </c>
      <c r="AD100" s="13" t="s">
        <v>267</v>
      </c>
      <c r="AF100" t="str">
        <f t="shared" si="24"/>
        <v>Electrobomba centrífugaVálvula Sucção</v>
      </c>
      <c r="AG100" s="28" t="str">
        <f>VLOOKUP(AF100,Imagens!$C$2:$D$42,2,FALSE)</f>
        <v>65e8cda0676b7</v>
      </c>
      <c r="AH100" t="str">
        <f>_xlfn.CONCAT(Imagens!$H$2,'registo_ativo-CDs (1)'!AG100)</f>
        <v>assets/imagens/products/65e8cda0676b7</v>
      </c>
      <c r="AI100" s="67">
        <v>45355</v>
      </c>
      <c r="AK100" s="32"/>
    </row>
    <row r="101" spans="1:37" ht="16.8" customHeight="1" x14ac:dyDescent="0.3">
      <c r="A101">
        <f t="shared" si="27"/>
        <v>15</v>
      </c>
      <c r="B101" t="str">
        <f t="shared" si="25"/>
        <v>CD10BBG131VSU02</v>
      </c>
      <c r="C101" t="str">
        <f t="shared" si="26"/>
        <v>CD-AM-BBG-EBC-VSU-02</v>
      </c>
      <c r="E101" t="s">
        <v>37</v>
      </c>
      <c r="F101" t="str">
        <f>VLOOKUP(E101,Localizacoes!$A$3:$B$100,2,FALSE)</f>
        <v>CD</v>
      </c>
      <c r="G101" t="str">
        <f>VLOOKUP(E101,ID!$A$3:$B$100,2,FALSE)</f>
        <v>CD</v>
      </c>
      <c r="H101" s="14" t="s">
        <v>229</v>
      </c>
      <c r="I101" t="str">
        <f>VLOOKUP(H101,Localizacoes!$C$3:$D$100,2,FALSE)</f>
        <v>AM</v>
      </c>
      <c r="J101">
        <f>VLOOKUP(H101,ID!$C$3:$D$100,2,FALSE)</f>
        <v>10</v>
      </c>
      <c r="K101" t="s">
        <v>274</v>
      </c>
      <c r="L101" t="str">
        <f>VLOOKUP(K101,Localizacoes!$E$3:$F$100,2,FALSE)</f>
        <v>BBG</v>
      </c>
      <c r="M101" t="str">
        <f>VLOOKUP(K101,ID!$E$3:$F$100,2,FALSE)</f>
        <v>BBG</v>
      </c>
      <c r="N101" t="s">
        <v>704</v>
      </c>
      <c r="O101" t="str">
        <f>VLOOKUP(N101,Localizacoes!$G$3:$H$100,2,FALSE)</f>
        <v>EBC</v>
      </c>
      <c r="P101">
        <f>VLOOKUP(N101,ID!$G$3:$H$100,2,FALSE)</f>
        <v>131</v>
      </c>
      <c r="Q101" t="s">
        <v>276</v>
      </c>
      <c r="R101" t="str">
        <f>VLOOKUP(Q101,Localizacoes!$I$3:$J$100,2,FALSE)</f>
        <v>VSU</v>
      </c>
      <c r="S101" t="str">
        <f>VLOOKUP(Q101,ID!$I$3:$J$100,2,FALSE)</f>
        <v>VSU</v>
      </c>
      <c r="T101" s="4" t="s">
        <v>186</v>
      </c>
      <c r="U101" t="s">
        <v>264</v>
      </c>
      <c r="V101" t="s">
        <v>366</v>
      </c>
      <c r="W101" t="s">
        <v>367</v>
      </c>
      <c r="X101" t="s">
        <v>6</v>
      </c>
      <c r="Y101" t="s">
        <v>270</v>
      </c>
      <c r="Z101" t="str">
        <f t="shared" si="23"/>
        <v>Válvula Sucção 02</v>
      </c>
      <c r="AA101">
        <v>2016</v>
      </c>
      <c r="AD101" s="13" t="s">
        <v>267</v>
      </c>
      <c r="AF101" t="str">
        <f t="shared" si="24"/>
        <v>Electrobomba centrífugaVálvula Sucção</v>
      </c>
      <c r="AG101" s="28" t="str">
        <f>VLOOKUP(AF101,Imagens!$C$2:$D$42,2,FALSE)</f>
        <v>65e8cda0676b7</v>
      </c>
      <c r="AH101" t="str">
        <f>_xlfn.CONCAT(Imagens!$H$2,'registo_ativo-CDs (1)'!AG101)</f>
        <v>assets/imagens/products/65e8cda0676b7</v>
      </c>
      <c r="AI101" s="67">
        <v>45355</v>
      </c>
      <c r="AK101" s="32"/>
    </row>
    <row r="102" spans="1:37" ht="16.8" customHeight="1" x14ac:dyDescent="0.3">
      <c r="A102">
        <f t="shared" si="27"/>
        <v>15</v>
      </c>
      <c r="B102" t="str">
        <f t="shared" si="25"/>
        <v>CD10BBG131VSU03</v>
      </c>
      <c r="C102" t="str">
        <f t="shared" si="26"/>
        <v>CD-AM-BBG-EBC-VSU-03</v>
      </c>
      <c r="E102" t="s">
        <v>37</v>
      </c>
      <c r="F102" t="str">
        <f>VLOOKUP(E102,Localizacoes!$A$3:$B$100,2,FALSE)</f>
        <v>CD</v>
      </c>
      <c r="G102" t="str">
        <f>VLOOKUP(E102,ID!$A$3:$B$100,2,FALSE)</f>
        <v>CD</v>
      </c>
      <c r="H102" s="14" t="s">
        <v>229</v>
      </c>
      <c r="I102" t="str">
        <f>VLOOKUP(H102,Localizacoes!$C$3:$D$100,2,FALSE)</f>
        <v>AM</v>
      </c>
      <c r="J102">
        <f>VLOOKUP(H102,ID!$C$3:$D$100,2,FALSE)</f>
        <v>10</v>
      </c>
      <c r="K102" t="s">
        <v>274</v>
      </c>
      <c r="L102" t="str">
        <f>VLOOKUP(K102,Localizacoes!$E$3:$F$100,2,FALSE)</f>
        <v>BBG</v>
      </c>
      <c r="M102" t="str">
        <f>VLOOKUP(K102,ID!$E$3:$F$100,2,FALSE)</f>
        <v>BBG</v>
      </c>
      <c r="N102" t="s">
        <v>704</v>
      </c>
      <c r="O102" t="str">
        <f>VLOOKUP(N102,Localizacoes!$G$3:$H$100,2,FALSE)</f>
        <v>EBC</v>
      </c>
      <c r="P102">
        <f>VLOOKUP(N102,ID!$G$3:$H$100,2,FALSE)</f>
        <v>131</v>
      </c>
      <c r="Q102" t="s">
        <v>276</v>
      </c>
      <c r="R102" t="str">
        <f>VLOOKUP(Q102,Localizacoes!$I$3:$J$100,2,FALSE)</f>
        <v>VSU</v>
      </c>
      <c r="S102" t="str">
        <f>VLOOKUP(Q102,ID!$I$3:$J$100,2,FALSE)</f>
        <v>VSU</v>
      </c>
      <c r="T102" s="4" t="s">
        <v>187</v>
      </c>
      <c r="U102" t="s">
        <v>264</v>
      </c>
      <c r="V102" t="s">
        <v>366</v>
      </c>
      <c r="W102" t="s">
        <v>367</v>
      </c>
      <c r="X102" t="s">
        <v>6</v>
      </c>
      <c r="Y102" t="s">
        <v>270</v>
      </c>
      <c r="Z102" t="str">
        <f t="shared" si="23"/>
        <v>Válvula Sucção 03</v>
      </c>
      <c r="AA102">
        <v>2016</v>
      </c>
      <c r="AD102" s="13" t="s">
        <v>267</v>
      </c>
      <c r="AF102" t="str">
        <f t="shared" si="24"/>
        <v>Electrobomba centrífugaVálvula Sucção</v>
      </c>
      <c r="AG102" s="28" t="str">
        <f>VLOOKUP(AF102,Imagens!$C$2:$D$42,2,FALSE)</f>
        <v>65e8cda0676b7</v>
      </c>
      <c r="AH102" t="str">
        <f>_xlfn.CONCAT(Imagens!$H$2,'registo_ativo-CDs (1)'!AG102)</f>
        <v>assets/imagens/products/65e8cda0676b7</v>
      </c>
      <c r="AI102" s="67">
        <v>45355</v>
      </c>
      <c r="AK102" s="32"/>
    </row>
    <row r="103" spans="1:37" s="2" customFormat="1" ht="16.8" customHeight="1" x14ac:dyDescent="0.3">
      <c r="A103">
        <f t="shared" si="27"/>
        <v>15</v>
      </c>
      <c r="B103" t="str">
        <f t="shared" si="25"/>
        <v>CD10BBG131QEA01</v>
      </c>
      <c r="C103" t="str">
        <f t="shared" si="26"/>
        <v>CD-AM-BBG-EBC-QEA-01</v>
      </c>
      <c r="D103"/>
      <c r="E103" t="s">
        <v>37</v>
      </c>
      <c r="F103" t="str">
        <f>VLOOKUP(E103,Localizacoes!$A$3:$B$100,2,FALSE)</f>
        <v>CD</v>
      </c>
      <c r="G103" t="str">
        <f>VLOOKUP(E103,ID!$A$3:$B$100,2,FALSE)</f>
        <v>CD</v>
      </c>
      <c r="H103" s="14" t="s">
        <v>229</v>
      </c>
      <c r="I103" t="str">
        <f>VLOOKUP(H103,Localizacoes!$C$3:$D$100,2,FALSE)</f>
        <v>AM</v>
      </c>
      <c r="J103">
        <f>VLOOKUP(H103,ID!$C$3:$D$100,2,FALSE)</f>
        <v>10</v>
      </c>
      <c r="K103" t="s">
        <v>274</v>
      </c>
      <c r="L103" t="str">
        <f>VLOOKUP(K103,Localizacoes!$E$3:$F$100,2,FALSE)</f>
        <v>BBG</v>
      </c>
      <c r="M103" t="str">
        <f>VLOOKUP(K103,ID!$E$3:$F$100,2,FALSE)</f>
        <v>BBG</v>
      </c>
      <c r="N103" t="s">
        <v>704</v>
      </c>
      <c r="O103" t="str">
        <f>VLOOKUP(N103,Localizacoes!$G$3:$H$100,2,FALSE)</f>
        <v>EBC</v>
      </c>
      <c r="P103">
        <f>VLOOKUP(N103,ID!$G$3:$H$100,2,FALSE)</f>
        <v>131</v>
      </c>
      <c r="Q103" t="s">
        <v>154</v>
      </c>
      <c r="R103" t="str">
        <f>VLOOKUP(Q103,Localizacoes!$I$3:$J$100,2,FALSE)</f>
        <v>QEA</v>
      </c>
      <c r="S103" t="str">
        <f>VLOOKUP(Q103,ID!$I$3:$J$100,2,FALSE)</f>
        <v>QEA</v>
      </c>
      <c r="T103" s="4" t="s">
        <v>182</v>
      </c>
      <c r="U103" t="s">
        <v>265</v>
      </c>
      <c r="V103" t="s">
        <v>369</v>
      </c>
      <c r="W103" t="s">
        <v>368</v>
      </c>
      <c r="X103" t="s">
        <v>6</v>
      </c>
      <c r="Y103" t="s">
        <v>270</v>
      </c>
      <c r="Z103" t="str">
        <f t="shared" si="23"/>
        <v>Quadros Eléctricos de Arranque 01</v>
      </c>
      <c r="AA103">
        <v>2016</v>
      </c>
      <c r="AB103" s="11"/>
      <c r="AC103" s="11"/>
      <c r="AD103" s="13" t="s">
        <v>267</v>
      </c>
      <c r="AE103"/>
      <c r="AF103" t="str">
        <f t="shared" si="24"/>
        <v>Electrobomba centrífugaQuadros Eléctricos de Arranque</v>
      </c>
      <c r="AG103" s="28" t="str">
        <f>VLOOKUP(AF103,Imagens!$C$2:$D$42,2,FALSE)</f>
        <v>65e8d2fa35c12</v>
      </c>
      <c r="AH103" t="str">
        <f>_xlfn.CONCAT(Imagens!$H$2,'registo_ativo-CDs (1)'!AG103)</f>
        <v>assets/imagens/products/65e8d2fa35c12</v>
      </c>
      <c r="AI103" s="67">
        <v>45355</v>
      </c>
      <c r="AJ103" s="30"/>
      <c r="AK103" s="32"/>
    </row>
    <row r="104" spans="1:37" ht="16.8" customHeight="1" x14ac:dyDescent="0.3">
      <c r="A104">
        <f t="shared" si="27"/>
        <v>15</v>
      </c>
      <c r="B104" t="str">
        <f t="shared" si="25"/>
        <v>CD10BBG131QEA02</v>
      </c>
      <c r="C104" t="str">
        <f t="shared" si="26"/>
        <v>CD-AM-BBG-EBC-QEA-02</v>
      </c>
      <c r="E104" t="s">
        <v>37</v>
      </c>
      <c r="F104" t="str">
        <f>VLOOKUP(E104,Localizacoes!$A$3:$B$100,2,FALSE)</f>
        <v>CD</v>
      </c>
      <c r="G104" t="str">
        <f>VLOOKUP(E104,ID!$A$3:$B$100,2,FALSE)</f>
        <v>CD</v>
      </c>
      <c r="H104" s="14" t="s">
        <v>229</v>
      </c>
      <c r="I104" t="str">
        <f>VLOOKUP(H104,Localizacoes!$C$3:$D$100,2,FALSE)</f>
        <v>AM</v>
      </c>
      <c r="J104">
        <f>VLOOKUP(H104,ID!$C$3:$D$100,2,FALSE)</f>
        <v>10</v>
      </c>
      <c r="K104" t="s">
        <v>274</v>
      </c>
      <c r="L104" t="str">
        <f>VLOOKUP(K104,Localizacoes!$E$3:$F$100,2,FALSE)</f>
        <v>BBG</v>
      </c>
      <c r="M104" t="str">
        <f>VLOOKUP(K104,ID!$E$3:$F$100,2,FALSE)</f>
        <v>BBG</v>
      </c>
      <c r="N104" t="s">
        <v>704</v>
      </c>
      <c r="O104" t="str">
        <f>VLOOKUP(N104,Localizacoes!$G$3:$H$100,2,FALSE)</f>
        <v>EBC</v>
      </c>
      <c r="P104">
        <f>VLOOKUP(N104,ID!$G$3:$H$100,2,FALSE)</f>
        <v>131</v>
      </c>
      <c r="Q104" t="s">
        <v>154</v>
      </c>
      <c r="R104" t="str">
        <f>VLOOKUP(Q104,Localizacoes!$I$3:$J$100,2,FALSE)</f>
        <v>QEA</v>
      </c>
      <c r="S104" t="str">
        <f>VLOOKUP(Q104,ID!$I$3:$J$100,2,FALSE)</f>
        <v>QEA</v>
      </c>
      <c r="T104" s="4" t="s">
        <v>186</v>
      </c>
      <c r="U104" t="s">
        <v>265</v>
      </c>
      <c r="V104" t="s">
        <v>369</v>
      </c>
      <c r="W104" t="s">
        <v>368</v>
      </c>
      <c r="X104" t="s">
        <v>6</v>
      </c>
      <c r="Y104" t="s">
        <v>270</v>
      </c>
      <c r="Z104" t="str">
        <f t="shared" si="23"/>
        <v>Quadros Eléctricos de Arranque 02</v>
      </c>
      <c r="AA104">
        <v>2016</v>
      </c>
      <c r="AD104" s="13" t="s">
        <v>267</v>
      </c>
      <c r="AF104" t="str">
        <f t="shared" si="24"/>
        <v>Electrobomba centrífugaQuadros Eléctricos de Arranque</v>
      </c>
      <c r="AG104" s="28" t="str">
        <f>VLOOKUP(AF104,Imagens!$C$2:$D$42,2,FALSE)</f>
        <v>65e8d2fa35c12</v>
      </c>
      <c r="AH104" t="str">
        <f>_xlfn.CONCAT(Imagens!$H$2,'registo_ativo-CDs (1)'!AG104)</f>
        <v>assets/imagens/products/65e8d2fa35c12</v>
      </c>
      <c r="AI104" s="67">
        <v>45355</v>
      </c>
      <c r="AK104" s="32"/>
    </row>
    <row r="105" spans="1:37" ht="16.8" customHeight="1" x14ac:dyDescent="0.3">
      <c r="A105">
        <f t="shared" si="27"/>
        <v>15</v>
      </c>
      <c r="B105" t="str">
        <f t="shared" si="25"/>
        <v>CD10BBG131QEA03</v>
      </c>
      <c r="C105" t="str">
        <f t="shared" si="26"/>
        <v>CD-AM-BBG-EBC-QEA-03</v>
      </c>
      <c r="E105" t="s">
        <v>37</v>
      </c>
      <c r="F105" t="str">
        <f>VLOOKUP(E105,Localizacoes!$A$3:$B$100,2,FALSE)</f>
        <v>CD</v>
      </c>
      <c r="G105" t="str">
        <f>VLOOKUP(E105,ID!$A$3:$B$100,2,FALSE)</f>
        <v>CD</v>
      </c>
      <c r="H105" s="14" t="s">
        <v>229</v>
      </c>
      <c r="I105" t="str">
        <f>VLOOKUP(H105,Localizacoes!$C$3:$D$100,2,FALSE)</f>
        <v>AM</v>
      </c>
      <c r="J105">
        <f>VLOOKUP(H105,ID!$C$3:$D$100,2,FALSE)</f>
        <v>10</v>
      </c>
      <c r="K105" t="s">
        <v>274</v>
      </c>
      <c r="L105" t="str">
        <f>VLOOKUP(K105,Localizacoes!$E$3:$F$100,2,FALSE)</f>
        <v>BBG</v>
      </c>
      <c r="M105" t="str">
        <f>VLOOKUP(K105,ID!$E$3:$F$100,2,FALSE)</f>
        <v>BBG</v>
      </c>
      <c r="N105" t="s">
        <v>704</v>
      </c>
      <c r="O105" t="str">
        <f>VLOOKUP(N105,Localizacoes!$G$3:$H$100,2,FALSE)</f>
        <v>EBC</v>
      </c>
      <c r="P105">
        <f>VLOOKUP(N105,ID!$G$3:$H$100,2,FALSE)</f>
        <v>131</v>
      </c>
      <c r="Q105" t="s">
        <v>154</v>
      </c>
      <c r="R105" t="str">
        <f>VLOOKUP(Q105,Localizacoes!$I$3:$J$100,2,FALSE)</f>
        <v>QEA</v>
      </c>
      <c r="S105" t="str">
        <f>VLOOKUP(Q105,ID!$I$3:$J$100,2,FALSE)</f>
        <v>QEA</v>
      </c>
      <c r="T105" s="4" t="s">
        <v>187</v>
      </c>
      <c r="U105" t="s">
        <v>265</v>
      </c>
      <c r="V105" t="s">
        <v>369</v>
      </c>
      <c r="W105" t="s">
        <v>368</v>
      </c>
      <c r="X105" t="s">
        <v>356</v>
      </c>
      <c r="Y105" t="s">
        <v>270</v>
      </c>
      <c r="Z105" t="str">
        <f t="shared" si="23"/>
        <v>Quadros Eléctricos de Arranque 03</v>
      </c>
      <c r="AA105">
        <v>2016</v>
      </c>
      <c r="AD105" s="13" t="s">
        <v>267</v>
      </c>
      <c r="AF105" t="str">
        <f t="shared" si="24"/>
        <v>Electrobomba centrífugaQuadros Eléctricos de Arranque</v>
      </c>
      <c r="AG105" s="28" t="str">
        <f>VLOOKUP(AF105,Imagens!$C$2:$D$42,2,FALSE)</f>
        <v>65e8d2fa35c12</v>
      </c>
      <c r="AH105" t="str">
        <f>_xlfn.CONCAT(Imagens!$H$2,'registo_ativo-CDs (1)'!AG105)</f>
        <v>assets/imagens/products/65e8d2fa35c12</v>
      </c>
      <c r="AI105" s="67">
        <v>45355</v>
      </c>
      <c r="AK105" s="32"/>
    </row>
    <row r="106" spans="1:37" ht="16.8" customHeight="1" x14ac:dyDescent="0.3">
      <c r="A106" s="2">
        <f t="shared" si="27"/>
        <v>15</v>
      </c>
      <c r="B106" s="2" t="str">
        <f t="shared" si="25"/>
        <v>CD10BBG127QEA02</v>
      </c>
      <c r="C106" s="2" t="str">
        <f t="shared" si="26"/>
        <v>CD-AM-BBG-CPI-QEA-02</v>
      </c>
      <c r="D106" s="2"/>
      <c r="E106" s="2" t="s">
        <v>37</v>
      </c>
      <c r="F106" s="2" t="str">
        <f>VLOOKUP(E106,Localizacoes!$A$3:$B$100,2,FALSE)</f>
        <v>CD</v>
      </c>
      <c r="G106" s="2" t="str">
        <f>VLOOKUP(E106,ID!$A$3:$B$100,2,FALSE)</f>
        <v>CD</v>
      </c>
      <c r="H106" s="36" t="s">
        <v>229</v>
      </c>
      <c r="I106" s="2" t="str">
        <f>VLOOKUP(H106,Localizacoes!$C$3:$D$100,2,FALSE)</f>
        <v>AM</v>
      </c>
      <c r="J106" s="2">
        <f>VLOOKUP(H106,ID!$C$3:$D$100,2,FALSE)</f>
        <v>10</v>
      </c>
      <c r="K106" s="2" t="s">
        <v>274</v>
      </c>
      <c r="L106" s="2" t="str">
        <f>VLOOKUP(K106,Localizacoes!$E$3:$F$100,2,FALSE)</f>
        <v>BBG</v>
      </c>
      <c r="M106" s="2" t="str">
        <f>VLOOKUP(K106,ID!$E$3:$F$100,2,FALSE)</f>
        <v>BBG</v>
      </c>
      <c r="N106" s="2" t="s">
        <v>650</v>
      </c>
      <c r="O106" s="2" t="str">
        <f>VLOOKUP(N106,Localizacoes!$G$3:$H$100,2,FALSE)</f>
        <v>CPI</v>
      </c>
      <c r="P106" s="2">
        <f>VLOOKUP(N106,ID!$G$3:$H$100,2,FALSE)</f>
        <v>127</v>
      </c>
      <c r="Q106" s="2" t="s">
        <v>154</v>
      </c>
      <c r="R106" s="2" t="str">
        <f>VLOOKUP(Q106,Localizacoes!$I$3:$J$100,2,FALSE)</f>
        <v>QEA</v>
      </c>
      <c r="S106" s="2" t="str">
        <f>VLOOKUP(Q106,ID!$I$3:$J$100,2,FALSE)</f>
        <v>QEA</v>
      </c>
      <c r="T106" s="40" t="s">
        <v>186</v>
      </c>
      <c r="U106" s="2" t="s">
        <v>265</v>
      </c>
      <c r="V106" s="2"/>
      <c r="W106" s="2"/>
      <c r="X106" s="2"/>
      <c r="Y106" s="2" t="s">
        <v>270</v>
      </c>
      <c r="Z106" s="2" t="str">
        <f t="shared" si="23"/>
        <v>Quadros Eléctricos de Arranque 02</v>
      </c>
      <c r="AA106" s="2">
        <v>2016</v>
      </c>
      <c r="AB106" s="41"/>
      <c r="AC106" s="41"/>
      <c r="AD106" s="15" t="s">
        <v>267</v>
      </c>
      <c r="AE106" s="2"/>
      <c r="AF106" s="2" t="str">
        <f t="shared" si="24"/>
        <v>Compressor PistãoQuadros Eléctricos de Arranque</v>
      </c>
      <c r="AG106" s="42" t="str">
        <f>VLOOKUP(AF106,Imagens!$C$2:$D$42,2,FALSE)</f>
        <v>65e8d2fa35c12</v>
      </c>
      <c r="AH106" t="str">
        <f>_xlfn.CONCAT(Imagens!$H$2,'registo_ativo-CDs (1)'!AG106)</f>
        <v>assets/imagens/products/65e8d2fa35c12</v>
      </c>
      <c r="AI106" s="69">
        <v>45355</v>
      </c>
      <c r="AJ106" s="43"/>
      <c r="AK106" s="44"/>
    </row>
    <row r="107" spans="1:37" ht="16.8" customHeight="1" x14ac:dyDescent="0.3">
      <c r="A107">
        <f t="shared" si="27"/>
        <v>15</v>
      </c>
      <c r="B107" t="str">
        <f t="shared" si="25"/>
        <v>CD10SQE164ILL01</v>
      </c>
      <c r="C107" t="str">
        <f t="shared" si="26"/>
        <v>CD-AM-SQE-SIL-ILL-01</v>
      </c>
      <c r="E107" t="s">
        <v>37</v>
      </c>
      <c r="F107" t="str">
        <f>VLOOKUP(E107,Localizacoes!$A$3:$B$100,2,FALSE)</f>
        <v>CD</v>
      </c>
      <c r="G107" t="str">
        <f>VLOOKUP(E107,ID!$A$3:$B$100,2,FALSE)</f>
        <v>CD</v>
      </c>
      <c r="H107" s="14" t="s">
        <v>229</v>
      </c>
      <c r="I107" t="str">
        <f>VLOOKUP(H107,Localizacoes!$C$3:$D$100,2,FALSE)</f>
        <v>AM</v>
      </c>
      <c r="J107">
        <f>VLOOKUP(H107,ID!$C$3:$D$100,2,FALSE)</f>
        <v>10</v>
      </c>
      <c r="K107" t="s">
        <v>494</v>
      </c>
      <c r="L107" t="str">
        <f>VLOOKUP(K107,Localizacoes!$E$3:$F$100,2,FALSE)</f>
        <v>SQE</v>
      </c>
      <c r="M107" t="str">
        <f>VLOOKUP(K107,ID!$E$3:$F$100,2,FALSE)</f>
        <v>SQE</v>
      </c>
      <c r="N107" t="s">
        <v>688</v>
      </c>
      <c r="O107" t="str">
        <f>VLOOKUP(N107,Localizacoes!$G$3:$H$100,2,FALSE)</f>
        <v>SIL</v>
      </c>
      <c r="P107">
        <f>VLOOKUP(N107,ID!$G$3:$H$100,2,FALSE)</f>
        <v>164</v>
      </c>
      <c r="Q107" t="s">
        <v>141</v>
      </c>
      <c r="R107" t="str">
        <f>VLOOKUP(Q107,Localizacoes!$I$3:$J$100,2,FALSE)</f>
        <v>ILL</v>
      </c>
      <c r="S107" t="str">
        <f>VLOOKUP(Q107,ID!$I$3:$J$100,2,FALSE)</f>
        <v>ILL</v>
      </c>
      <c r="T107" s="4" t="s">
        <v>182</v>
      </c>
      <c r="U107" t="s">
        <v>265</v>
      </c>
      <c r="X107" t="s">
        <v>6</v>
      </c>
      <c r="Y107" t="s">
        <v>270</v>
      </c>
      <c r="Z107" t="str">
        <f t="shared" si="23"/>
        <v>Iluminação 01</v>
      </c>
      <c r="AA107">
        <v>2016</v>
      </c>
      <c r="AD107" s="13" t="s">
        <v>267</v>
      </c>
      <c r="AF107" t="str">
        <f t="shared" si="24"/>
        <v>Sistema de IluminaçãoIluminação</v>
      </c>
      <c r="AG107" s="28" t="str">
        <f>VLOOKUP(AF107,Imagens!$C$2:$D$42,2,FALSE)</f>
        <v>65e8e579bfe6c</v>
      </c>
      <c r="AH107" t="str">
        <f>_xlfn.CONCAT(Imagens!$H$2,'registo_ativo-CDs (1)'!AG107)</f>
        <v>assets/imagens/products/65e8e579bfe6c</v>
      </c>
      <c r="AI107" s="67">
        <v>45299</v>
      </c>
      <c r="AK107" s="32"/>
    </row>
    <row r="108" spans="1:37" ht="16.8" customHeight="1" x14ac:dyDescent="0.3">
      <c r="A108">
        <f t="shared" si="27"/>
        <v>15</v>
      </c>
      <c r="B108" t="str">
        <f t="shared" si="25"/>
        <v>CD10SQE152QBT02</v>
      </c>
      <c r="C108" t="str">
        <f t="shared" si="26"/>
        <v>CD-AM-SQE-QEL-QBT-02</v>
      </c>
      <c r="E108" t="s">
        <v>37</v>
      </c>
      <c r="F108" t="str">
        <f>VLOOKUP(E108,Localizacoes!$A$3:$B$100,2,FALSE)</f>
        <v>CD</v>
      </c>
      <c r="G108" t="str">
        <f>VLOOKUP(E108,ID!$A$3:$B$100,2,FALSE)</f>
        <v>CD</v>
      </c>
      <c r="H108" s="14" t="s">
        <v>229</v>
      </c>
      <c r="I108" t="str">
        <f>VLOOKUP(H108,Localizacoes!$C$3:$D$100,2,FALSE)</f>
        <v>AM</v>
      </c>
      <c r="J108">
        <f>VLOOKUP(H108,ID!$C$3:$D$100,2,FALSE)</f>
        <v>10</v>
      </c>
      <c r="K108" t="s">
        <v>494</v>
      </c>
      <c r="L108" t="str">
        <f>VLOOKUP(K108,Localizacoes!$E$3:$F$100,2,FALSE)</f>
        <v>SQE</v>
      </c>
      <c r="M108" t="str">
        <f>VLOOKUP(K108,ID!$E$3:$F$100,2,FALSE)</f>
        <v>SQE</v>
      </c>
      <c r="N108" t="s">
        <v>286</v>
      </c>
      <c r="O108" t="str">
        <f>VLOOKUP(N108,Localizacoes!$G$3:$H$100,2,FALSE)</f>
        <v>QEL</v>
      </c>
      <c r="P108">
        <f>VLOOKUP(N108,ID!$G$3:$H$100,2,FALSE)</f>
        <v>152</v>
      </c>
      <c r="Q108" t="s">
        <v>443</v>
      </c>
      <c r="R108" t="str">
        <f>VLOOKUP(Q108,Localizacoes!$I$3:$J$100,2,FALSE)</f>
        <v>QBT</v>
      </c>
      <c r="S108" t="str">
        <f>VLOOKUP(Q108,ID!$I$3:$J$100,2,FALSE)</f>
        <v>QBT</v>
      </c>
      <c r="T108" s="4" t="s">
        <v>186</v>
      </c>
      <c r="U108" t="s">
        <v>265</v>
      </c>
      <c r="Y108" t="s">
        <v>270</v>
      </c>
      <c r="Z108" t="str">
        <f t="shared" si="23"/>
        <v>Quadro de Baixa Tensão 02</v>
      </c>
      <c r="AA108">
        <v>2016</v>
      </c>
      <c r="AD108" s="13" t="s">
        <v>267</v>
      </c>
      <c r="AF108" t="str">
        <f t="shared" si="24"/>
        <v>Quadro EléctricoQuadro de Baixa Tensão</v>
      </c>
      <c r="AG108" s="28" t="str">
        <f>VLOOKUP(AF108,Imagens!$C$2:$D$42,2,FALSE)</f>
        <v>65d1346bf3835</v>
      </c>
      <c r="AH108" t="str">
        <f>_xlfn.CONCAT(Imagens!$H$2,'registo_ativo-CDs (1)'!AG108)</f>
        <v>assets/imagens/products/65d1346bf3835</v>
      </c>
      <c r="AI108" s="67">
        <v>45327</v>
      </c>
      <c r="AK108" s="32"/>
    </row>
    <row r="109" spans="1:37" ht="16.8" customHeight="1" x14ac:dyDescent="0.3">
      <c r="A109">
        <f t="shared" si="27"/>
        <v>15</v>
      </c>
      <c r="B109" t="str">
        <f t="shared" si="25"/>
        <v>CD10SQE152QBT03</v>
      </c>
      <c r="C109" t="str">
        <f t="shared" si="26"/>
        <v>CD-AM-SQE-QEL-QBT-03</v>
      </c>
      <c r="E109" t="s">
        <v>37</v>
      </c>
      <c r="F109" t="str">
        <f>VLOOKUP(E109,Localizacoes!$A$3:$B$100,2,FALSE)</f>
        <v>CD</v>
      </c>
      <c r="G109" t="str">
        <f>VLOOKUP(E109,ID!$A$3:$B$100,2,FALSE)</f>
        <v>CD</v>
      </c>
      <c r="H109" s="14" t="s">
        <v>229</v>
      </c>
      <c r="I109" t="str">
        <f>VLOOKUP(H109,Localizacoes!$C$3:$D$100,2,FALSE)</f>
        <v>AM</v>
      </c>
      <c r="J109">
        <f>VLOOKUP(H109,ID!$C$3:$D$100,2,FALSE)</f>
        <v>10</v>
      </c>
      <c r="K109" t="s">
        <v>494</v>
      </c>
      <c r="L109" t="str">
        <f>VLOOKUP(K109,Localizacoes!$E$3:$F$100,2,FALSE)</f>
        <v>SQE</v>
      </c>
      <c r="M109" t="str">
        <f>VLOOKUP(K109,ID!$E$3:$F$100,2,FALSE)</f>
        <v>SQE</v>
      </c>
      <c r="N109" t="s">
        <v>286</v>
      </c>
      <c r="O109" t="str">
        <f>VLOOKUP(N109,Localizacoes!$G$3:$H$100,2,FALSE)</f>
        <v>QEL</v>
      </c>
      <c r="P109">
        <f>VLOOKUP(N109,ID!$G$3:$H$100,2,FALSE)</f>
        <v>152</v>
      </c>
      <c r="Q109" t="s">
        <v>443</v>
      </c>
      <c r="R109" t="str">
        <f>VLOOKUP(Q109,Localizacoes!$I$3:$J$100,2,FALSE)</f>
        <v>QBT</v>
      </c>
      <c r="S109" t="str">
        <f>VLOOKUP(Q109,ID!$I$3:$J$100,2,FALSE)</f>
        <v>QBT</v>
      </c>
      <c r="T109" s="4" t="s">
        <v>187</v>
      </c>
      <c r="U109" t="s">
        <v>265</v>
      </c>
      <c r="Y109" t="s">
        <v>270</v>
      </c>
      <c r="Z109" t="str">
        <f t="shared" si="23"/>
        <v>Quadro de Baixa Tensão 03</v>
      </c>
      <c r="AA109">
        <v>2016</v>
      </c>
      <c r="AD109" s="13" t="s">
        <v>267</v>
      </c>
      <c r="AF109" t="str">
        <f t="shared" si="24"/>
        <v>Quadro EléctricoQuadro de Baixa Tensão</v>
      </c>
      <c r="AG109" s="28" t="str">
        <f>VLOOKUP(AF109,Imagens!$C$2:$D$42,2,FALSE)</f>
        <v>65d1346bf3835</v>
      </c>
      <c r="AH109" t="str">
        <f>_xlfn.CONCAT(Imagens!$H$2,'registo_ativo-CDs (1)'!AG109)</f>
        <v>assets/imagens/products/65d1346bf3835</v>
      </c>
      <c r="AI109" s="67">
        <v>45327</v>
      </c>
      <c r="AK109" s="32"/>
    </row>
    <row r="110" spans="1:37" ht="16.8" customHeight="1" x14ac:dyDescent="0.3">
      <c r="A110">
        <f t="shared" si="27"/>
        <v>15</v>
      </c>
      <c r="B110" t="str">
        <f t="shared" si="25"/>
        <v>CD10CAN152QEI01</v>
      </c>
      <c r="C110" t="str">
        <f t="shared" si="26"/>
        <v>CD-AM-CAN-QEL-QEI-01</v>
      </c>
      <c r="E110" t="s">
        <v>37</v>
      </c>
      <c r="F110" t="str">
        <f>VLOOKUP(E110,Localizacoes!$A$3:$B$100,2,FALSE)</f>
        <v>CD</v>
      </c>
      <c r="G110" t="str">
        <f>VLOOKUP(E110,ID!$A$3:$B$100,2,FALSE)</f>
        <v>CD</v>
      </c>
      <c r="H110" s="14" t="s">
        <v>229</v>
      </c>
      <c r="I110" t="str">
        <f>VLOOKUP(H110,Localizacoes!$C$3:$D$100,2,FALSE)</f>
        <v>AM</v>
      </c>
      <c r="J110">
        <f>VLOOKUP(H110,ID!$C$3:$D$100,2,FALSE)</f>
        <v>10</v>
      </c>
      <c r="K110" t="s">
        <v>101</v>
      </c>
      <c r="L110" t="str">
        <f>VLOOKUP(K110,Localizacoes!$E$3:$F$100,2,FALSE)</f>
        <v>CAN</v>
      </c>
      <c r="M110" t="str">
        <f>VLOOKUP(K110,ID!$E$3:$F$100,2,FALSE)</f>
        <v>CAN</v>
      </c>
      <c r="N110" t="s">
        <v>286</v>
      </c>
      <c r="O110" t="str">
        <f>VLOOKUP(N110,Localizacoes!$G$3:$H$100,2,FALSE)</f>
        <v>QEL</v>
      </c>
      <c r="P110">
        <f>VLOOKUP(N110,ID!$G$3:$H$100,2,FALSE)</f>
        <v>152</v>
      </c>
      <c r="Q110" t="s">
        <v>446</v>
      </c>
      <c r="R110" t="str">
        <f>VLOOKUP(Q110,Localizacoes!$I$3:$J$100,2,FALSE)</f>
        <v>QEI</v>
      </c>
      <c r="S110" t="str">
        <f>VLOOKUP(Q110,ID!$I$3:$J$100,2,FALSE)</f>
        <v>QEI</v>
      </c>
      <c r="T110" s="4" t="s">
        <v>182</v>
      </c>
      <c r="U110" t="s">
        <v>265</v>
      </c>
      <c r="Y110" t="s">
        <v>270</v>
      </c>
      <c r="Z110" t="str">
        <f t="shared" si="23"/>
        <v>Quadro Eléctrico de Instrumentação 01</v>
      </c>
      <c r="AA110">
        <v>2016</v>
      </c>
      <c r="AD110" s="13" t="s">
        <v>267</v>
      </c>
      <c r="AF110" t="str">
        <f t="shared" si="24"/>
        <v>Quadro EléctricoQuadro Eléctrico de Instrumentação</v>
      </c>
      <c r="AG110" s="28" t="str">
        <f>VLOOKUP(AF110,Imagens!$C$2:$D$42,2,FALSE)</f>
        <v>65d1346bf3835</v>
      </c>
      <c r="AH110" t="str">
        <f>_xlfn.CONCAT(Imagens!$H$2,'registo_ativo-CDs (1)'!AG110)</f>
        <v>assets/imagens/products/65d1346bf3835</v>
      </c>
      <c r="AI110" s="67">
        <v>45355</v>
      </c>
      <c r="AK110" s="32"/>
    </row>
    <row r="111" spans="1:37" ht="19.8" customHeight="1" x14ac:dyDescent="0.3">
      <c r="A111">
        <f t="shared" si="27"/>
        <v>15</v>
      </c>
      <c r="B111" t="str">
        <f t="shared" si="25"/>
        <v>CD10BBG143PRO01</v>
      </c>
      <c r="C111" t="str">
        <f t="shared" si="26"/>
        <v>CD-AM-BBG-GRU-PRO-01</v>
      </c>
      <c r="E111" t="s">
        <v>37</v>
      </c>
      <c r="F111" t="str">
        <f>VLOOKUP(E111,Localizacoes!$A$3:$B$100,2,FALSE)</f>
        <v>CD</v>
      </c>
      <c r="G111" t="str">
        <f>VLOOKUP(E111,ID!$A$3:$B$100,2,FALSE)</f>
        <v>CD</v>
      </c>
      <c r="H111" s="14" t="s">
        <v>229</v>
      </c>
      <c r="I111" t="str">
        <f>VLOOKUP(H111,Localizacoes!$C$3:$D$100,2,FALSE)</f>
        <v>AM</v>
      </c>
      <c r="J111">
        <f>VLOOKUP(H111,ID!$C$3:$D$100,2,FALSE)</f>
        <v>10</v>
      </c>
      <c r="K111" t="s">
        <v>274</v>
      </c>
      <c r="L111" t="str">
        <f>VLOOKUP(K111,Localizacoes!$E$3:$F$100,2,FALSE)</f>
        <v>BBG</v>
      </c>
      <c r="M111" t="str">
        <f>VLOOKUP(K111,ID!$E$3:$F$100,2,FALSE)</f>
        <v>BBG</v>
      </c>
      <c r="N111" t="s">
        <v>104</v>
      </c>
      <c r="O111" t="str">
        <f>VLOOKUP(N111,Localizacoes!$G$3:$H$100,2,FALSE)</f>
        <v>GRU</v>
      </c>
      <c r="P111">
        <f>VLOOKUP(N111,ID!$G$3:$H$100,2,FALSE)</f>
        <v>143</v>
      </c>
      <c r="Q111" t="s">
        <v>153</v>
      </c>
      <c r="R111" t="str">
        <f>VLOOKUP(Q111,Localizacoes!$I$3:$J$100,2,FALSE)</f>
        <v>PRO</v>
      </c>
      <c r="S111" t="str">
        <f>VLOOKUP(Q111,ID!$I$3:$J$100,2,FALSE)</f>
        <v>PRO</v>
      </c>
      <c r="T111" s="4" t="s">
        <v>182</v>
      </c>
      <c r="U111" t="s">
        <v>264</v>
      </c>
      <c r="Y111" t="s">
        <v>270</v>
      </c>
      <c r="Z111" t="str">
        <f t="shared" si="23"/>
        <v>Ponte Rolante 01</v>
      </c>
      <c r="AA111">
        <v>2016</v>
      </c>
      <c r="AD111" s="13" t="s">
        <v>266</v>
      </c>
      <c r="AF111" t="str">
        <f t="shared" si="24"/>
        <v>GruaPonte Rolante</v>
      </c>
      <c r="AG111" s="28" t="str">
        <f>VLOOKUP(AF111,Imagens!$C$2:$D$42,2,FALSE)</f>
        <v>65c75d2748c4a</v>
      </c>
      <c r="AH111" t="str">
        <f>_xlfn.CONCAT(Imagens!$H$2,'registo_ativo-CDs (1)'!AG111)</f>
        <v>assets/imagens/products/65c75d2748c4a</v>
      </c>
      <c r="AI111" s="67">
        <v>45327</v>
      </c>
      <c r="AK111" s="32"/>
    </row>
    <row r="112" spans="1:37" ht="19.8" customHeight="1" x14ac:dyDescent="0.3">
      <c r="A112">
        <f t="shared" si="27"/>
        <v>15</v>
      </c>
      <c r="B112" t="str">
        <f t="shared" si="25"/>
        <v>CD10SB1165TRA01</v>
      </c>
      <c r="C112" t="str">
        <f t="shared" si="26"/>
        <v>CD-AM-SB1-SUB-TRA-01</v>
      </c>
      <c r="E112" t="s">
        <v>37</v>
      </c>
      <c r="F112" t="str">
        <f>VLOOKUP(E112,Localizacoes!$A$3:$B$100,2,FALSE)</f>
        <v>CD</v>
      </c>
      <c r="G112" t="str">
        <f>VLOOKUP(E112,ID!$A$3:$B$100,2,FALSE)</f>
        <v>CD</v>
      </c>
      <c r="H112" s="14" t="s">
        <v>229</v>
      </c>
      <c r="I112" t="str">
        <f>VLOOKUP(H112,Localizacoes!$C$3:$D$100,2,FALSE)</f>
        <v>AM</v>
      </c>
      <c r="J112">
        <f>VLOOKUP(H112,ID!$C$3:$D$100,2,FALSE)</f>
        <v>10</v>
      </c>
      <c r="K112" t="s">
        <v>127</v>
      </c>
      <c r="L112" t="str">
        <f>VLOOKUP(K112,Localizacoes!$E$3:$F$100,2,FALSE)</f>
        <v>SB1</v>
      </c>
      <c r="M112" t="str">
        <f>VLOOKUP(K112,ID!$E$3:$F$100,2,FALSE)</f>
        <v>SB1</v>
      </c>
      <c r="N112" t="s">
        <v>112</v>
      </c>
      <c r="O112" t="str">
        <f>VLOOKUP(N112,Localizacoes!$G$3:$H$100,2,FALSE)</f>
        <v>SUB</v>
      </c>
      <c r="P112">
        <f>VLOOKUP(N112,ID!$G$3:$H$100,2,FALSE)</f>
        <v>165</v>
      </c>
      <c r="Q112" t="s">
        <v>176</v>
      </c>
      <c r="R112" t="str">
        <f>VLOOKUP(Q112,Localizacoes!$I$3:$J$100,2,FALSE)</f>
        <v>TRA</v>
      </c>
      <c r="S112" t="str">
        <f>VLOOKUP(Q112,ID!$I$3:$J$100,2,FALSE)</f>
        <v>TRA</v>
      </c>
      <c r="T112" s="4" t="s">
        <v>182</v>
      </c>
      <c r="U112" t="s">
        <v>265</v>
      </c>
      <c r="Y112" t="s">
        <v>270</v>
      </c>
      <c r="Z112" t="str">
        <f t="shared" si="23"/>
        <v>Transformador 01</v>
      </c>
      <c r="AA112">
        <v>2016</v>
      </c>
      <c r="AD112" s="13" t="s">
        <v>267</v>
      </c>
      <c r="AF112" t="str">
        <f t="shared" si="24"/>
        <v>SubestaçãoTransformador</v>
      </c>
      <c r="AG112" s="28" t="str">
        <f>VLOOKUP(AF112,Imagens!$C$2:$D$42,2,FALSE)</f>
        <v>65e8d98d73a3d</v>
      </c>
      <c r="AH112" t="str">
        <f>_xlfn.CONCAT(Imagens!$H$2,'registo_ativo-CDs (1)'!AG112)</f>
        <v>assets/imagens/products/65e8d98d73a3d</v>
      </c>
      <c r="AI112" s="67">
        <v>45299</v>
      </c>
      <c r="AK112" s="32"/>
    </row>
    <row r="113" spans="1:37" ht="19.8" customHeight="1" x14ac:dyDescent="0.3">
      <c r="A113">
        <f t="shared" si="27"/>
        <v>15</v>
      </c>
      <c r="B113" t="str">
        <f t="shared" si="25"/>
        <v>CD10CAN152CAN01</v>
      </c>
      <c r="C113" t="str">
        <f t="shared" si="26"/>
        <v>CD-AM-CAN-QEL-CAN-01</v>
      </c>
      <c r="E113" t="s">
        <v>37</v>
      </c>
      <c r="F113" t="str">
        <f>VLOOKUP(E113,Localizacoes!$A$3:$B$100,2,FALSE)</f>
        <v>CD</v>
      </c>
      <c r="G113" t="str">
        <f>VLOOKUP(E113,ID!$A$3:$B$100,2,FALSE)</f>
        <v>CD</v>
      </c>
      <c r="H113" s="14" t="s">
        <v>229</v>
      </c>
      <c r="I113" t="str">
        <f>VLOOKUP(H113,Localizacoes!$C$3:$D$100,2,FALSE)</f>
        <v>AM</v>
      </c>
      <c r="J113">
        <f>VLOOKUP(H113,ID!$C$3:$D$100,2,FALSE)</f>
        <v>10</v>
      </c>
      <c r="K113" t="s">
        <v>101</v>
      </c>
      <c r="L113" t="str">
        <f>VLOOKUP(K113,Localizacoes!$E$3:$F$100,2,FALSE)</f>
        <v>CAN</v>
      </c>
      <c r="M113" t="str">
        <f>VLOOKUP(K113,ID!$E$3:$F$100,2,FALSE)</f>
        <v>CAN</v>
      </c>
      <c r="N113" t="s">
        <v>286</v>
      </c>
      <c r="O113" t="str">
        <f>VLOOKUP(N113,Localizacoes!$G$3:$H$100,2,FALSE)</f>
        <v>QEL</v>
      </c>
      <c r="P113">
        <f>VLOOKUP(N113,ID!$G$3:$H$100,2,FALSE)</f>
        <v>152</v>
      </c>
      <c r="Q113" t="s">
        <v>101</v>
      </c>
      <c r="R113" t="str">
        <f>VLOOKUP(Q113,Localizacoes!$I$3:$J$100,2,FALSE)</f>
        <v>CAN</v>
      </c>
      <c r="S113" t="str">
        <f>VLOOKUP(Q113,ID!$I$3:$J$100,2,FALSE)</f>
        <v>CAN</v>
      </c>
      <c r="T113" s="4" t="s">
        <v>182</v>
      </c>
      <c r="U113" t="s">
        <v>265</v>
      </c>
      <c r="Y113" t="s">
        <v>270</v>
      </c>
      <c r="Z113" t="str">
        <f t="shared" si="23"/>
        <v>Canalização Eléctrica 01</v>
      </c>
      <c r="AA113">
        <v>2016</v>
      </c>
      <c r="AD113" s="13" t="s">
        <v>266</v>
      </c>
      <c r="AF113" t="str">
        <f t="shared" si="24"/>
        <v>Quadro EléctricoCanalização Eléctrica</v>
      </c>
      <c r="AG113" s="28" t="str">
        <f>VLOOKUP(AF113,Imagens!$C$2:$D$42,2,FALSE)</f>
        <v>65e8e4bb71249</v>
      </c>
      <c r="AH113" t="str">
        <f>_xlfn.CONCAT(Imagens!$H$2,'registo_ativo-CDs (1)'!AG113)</f>
        <v>assets/imagens/products/65e8e4bb71249</v>
      </c>
      <c r="AI113" s="67">
        <v>45467</v>
      </c>
      <c r="AK113" s="32"/>
    </row>
    <row r="114" spans="1:37" ht="19.8" customHeight="1" x14ac:dyDescent="0.3">
      <c r="A114">
        <f t="shared" ref="A114:A117" si="28">LEN(B114)</f>
        <v>15</v>
      </c>
      <c r="B114" t="str">
        <f t="shared" ref="B114:B117" si="29">CONCATENATE(G114,J114,M114,P114,S114,T114)</f>
        <v>CD10BBG165GEL01</v>
      </c>
      <c r="C114" t="str">
        <f t="shared" ref="C114:C117" si="30">CONCATENATE(F114, "-", I114, "-", L114, "-", O114, "-", R114, "-", T114)</f>
        <v>CD-AM-BBG-SUB-GEL-01</v>
      </c>
      <c r="E114" t="s">
        <v>37</v>
      </c>
      <c r="F114" t="str">
        <f>VLOOKUP(E114,Localizacoes!$A$3:$B$100,2,FALSE)</f>
        <v>CD</v>
      </c>
      <c r="G114" t="str">
        <f>VLOOKUP(E114,ID!$A$3:$B$100,2,FALSE)</f>
        <v>CD</v>
      </c>
      <c r="H114" s="14" t="s">
        <v>229</v>
      </c>
      <c r="I114" t="str">
        <f>VLOOKUP(H114,Localizacoes!$C$3:$D$100,2,FALSE)</f>
        <v>AM</v>
      </c>
      <c r="J114">
        <f>VLOOKUP(H114,ID!$C$3:$D$100,2,FALSE)</f>
        <v>10</v>
      </c>
      <c r="K114" t="s">
        <v>274</v>
      </c>
      <c r="L114" t="str">
        <f>VLOOKUP(K114,Localizacoes!$E$3:$F$100,2,FALSE)</f>
        <v>BBG</v>
      </c>
      <c r="M114" t="str">
        <f>VLOOKUP(K114,ID!$E$3:$F$100,2,FALSE)</f>
        <v>BBG</v>
      </c>
      <c r="N114" t="s">
        <v>112</v>
      </c>
      <c r="O114" t="str">
        <f>VLOOKUP(N114,Localizacoes!$G$3:$H$100,2,FALSE)</f>
        <v>SUB</v>
      </c>
      <c r="P114">
        <f>VLOOKUP(N114,ID!$G$3:$H$100,2,FALSE)</f>
        <v>165</v>
      </c>
      <c r="Q114" t="s">
        <v>654</v>
      </c>
      <c r="R114" t="str">
        <f>VLOOKUP(Q114,Localizacoes!$I$3:$J$100,2,FALSE)</f>
        <v>GEL</v>
      </c>
      <c r="S114" t="str">
        <f>VLOOKUP(Q114,ID!$I$3:$J$100,2,FALSE)</f>
        <v>GEL</v>
      </c>
      <c r="T114" s="4" t="s">
        <v>182</v>
      </c>
      <c r="U114" t="s">
        <v>265</v>
      </c>
      <c r="X114" t="s">
        <v>273</v>
      </c>
      <c r="Y114" t="s">
        <v>270</v>
      </c>
      <c r="Z114" t="str">
        <f t="shared" ref="Z114:Z117" si="31">Q114&amp;" "&amp; T114</f>
        <v>Gerador Eléctrica 01</v>
      </c>
      <c r="AA114">
        <v>2016</v>
      </c>
      <c r="AD114" s="13" t="s">
        <v>7</v>
      </c>
      <c r="AF114" t="str">
        <f t="shared" ref="AF114:AF117" si="32">_xlfn.CONCAT(N114,Q114)</f>
        <v>SubestaçãoGerador Eléctrica</v>
      </c>
      <c r="AG114" s="28" t="str">
        <f>VLOOKUP(AF114,Imagens!$C$2:$D$42,2,FALSE)</f>
        <v>65e8da741759f</v>
      </c>
      <c r="AH114" t="str">
        <f>_xlfn.CONCAT(Imagens!$H$2,'registo_ativo-CDs (1)'!AG114)</f>
        <v>assets/imagens/products/65e8da741759f</v>
      </c>
      <c r="AI114" s="67">
        <v>45299</v>
      </c>
      <c r="AK114" s="32"/>
    </row>
    <row r="115" spans="1:37" ht="19.8" customHeight="1" x14ac:dyDescent="0.3">
      <c r="A115">
        <f t="shared" si="28"/>
        <v>15</v>
      </c>
      <c r="B115" t="str">
        <f t="shared" si="29"/>
        <v>CD10BBG146MCD01</v>
      </c>
      <c r="C115" t="str">
        <f t="shared" si="30"/>
        <v>CD-AM-BBG-MDD-MCD-01</v>
      </c>
      <c r="E115" t="s">
        <v>37</v>
      </c>
      <c r="F115" t="str">
        <f>VLOOKUP(E115,Localizacoes!$A$3:$B$100,2,FALSE)</f>
        <v>CD</v>
      </c>
      <c r="G115" t="str">
        <f>VLOOKUP(E115,ID!$A$3:$B$100,2,FALSE)</f>
        <v>CD</v>
      </c>
      <c r="H115" s="14" t="s">
        <v>229</v>
      </c>
      <c r="I115" t="str">
        <f>VLOOKUP(H115,Localizacoes!$C$3:$D$100,2,FALSE)</f>
        <v>AM</v>
      </c>
      <c r="J115">
        <f>VLOOKUP(H115,ID!$C$3:$D$100,2,FALSE)</f>
        <v>10</v>
      </c>
      <c r="K115" t="s">
        <v>274</v>
      </c>
      <c r="L115" t="str">
        <f>VLOOKUP(K115,Localizacoes!$E$3:$F$100,2,FALSE)</f>
        <v>BBG</v>
      </c>
      <c r="M115" t="str">
        <f>VLOOKUP(K115,ID!$E$3:$F$100,2,FALSE)</f>
        <v>BBG</v>
      </c>
      <c r="N115" t="s">
        <v>672</v>
      </c>
      <c r="O115" t="str">
        <f>VLOOKUP(N115,Localizacoes!$G$3:$H$100,2,FALSE)</f>
        <v>MDD</v>
      </c>
      <c r="P115">
        <f>VLOOKUP(N115,ID!$G$3:$H$100,2,FALSE)</f>
        <v>146</v>
      </c>
      <c r="Q115" t="s">
        <v>370</v>
      </c>
      <c r="R115" t="str">
        <f>VLOOKUP(Q115,Localizacoes!$I$3:$J$100,2,FALSE)</f>
        <v>MCD</v>
      </c>
      <c r="S115" t="str">
        <f>VLOOKUP(Q115,ID!$I$3:$J$100,2,FALSE)</f>
        <v>MCD</v>
      </c>
      <c r="T115" s="4" t="s">
        <v>182</v>
      </c>
      <c r="U115" t="s">
        <v>265</v>
      </c>
      <c r="X115">
        <v>0</v>
      </c>
      <c r="Y115" t="s">
        <v>270</v>
      </c>
      <c r="Z115" t="str">
        <f t="shared" si="31"/>
        <v>Macromedidor 01</v>
      </c>
      <c r="AA115">
        <v>2016</v>
      </c>
      <c r="AD115" s="13" t="s">
        <v>266</v>
      </c>
      <c r="AF115" t="str">
        <f t="shared" si="32"/>
        <v>MedidorMacromedidor</v>
      </c>
      <c r="AG115" s="28" t="str">
        <f>VLOOKUP(AF115,Imagens!$C$2:$D$42,2,FALSE)</f>
        <v>65e8dd4a9cd58</v>
      </c>
      <c r="AH115" t="str">
        <f>_xlfn.CONCAT(Imagens!$H$2,'registo_ativo-CDs (1)'!AG115)</f>
        <v>assets/imagens/products/65e8dd4a9cd58</v>
      </c>
      <c r="AI115" s="67">
        <v>45327</v>
      </c>
      <c r="AK115" s="32"/>
    </row>
    <row r="116" spans="1:37" ht="19.8" customHeight="1" x14ac:dyDescent="0.3">
      <c r="A116">
        <f t="shared" si="28"/>
        <v>15</v>
      </c>
      <c r="B116" t="str">
        <f t="shared" si="29"/>
        <v>CD10BBG146MCD02</v>
      </c>
      <c r="C116" t="str">
        <f t="shared" si="30"/>
        <v>CD-AM-BBG-MDD-MCD-02</v>
      </c>
      <c r="E116" t="s">
        <v>37</v>
      </c>
      <c r="F116" t="str">
        <f>VLOOKUP(E116,Localizacoes!$A$3:$B$100,2,FALSE)</f>
        <v>CD</v>
      </c>
      <c r="G116" t="str">
        <f>VLOOKUP(E116,ID!$A$3:$B$100,2,FALSE)</f>
        <v>CD</v>
      </c>
      <c r="H116" s="14" t="s">
        <v>229</v>
      </c>
      <c r="I116" t="str">
        <f>VLOOKUP(H116,Localizacoes!$C$3:$D$100,2,FALSE)</f>
        <v>AM</v>
      </c>
      <c r="J116">
        <f>VLOOKUP(H116,ID!$C$3:$D$100,2,FALSE)</f>
        <v>10</v>
      </c>
      <c r="K116" t="s">
        <v>274</v>
      </c>
      <c r="L116" t="str">
        <f>VLOOKUP(K116,Localizacoes!$E$3:$F$100,2,FALSE)</f>
        <v>BBG</v>
      </c>
      <c r="M116" t="str">
        <f>VLOOKUP(K116,ID!$E$3:$F$100,2,FALSE)</f>
        <v>BBG</v>
      </c>
      <c r="N116" t="s">
        <v>672</v>
      </c>
      <c r="O116" t="str">
        <f>VLOOKUP(N116,Localizacoes!$G$3:$H$100,2,FALSE)</f>
        <v>MDD</v>
      </c>
      <c r="P116">
        <f>VLOOKUP(N116,ID!$G$3:$H$100,2,FALSE)</f>
        <v>146</v>
      </c>
      <c r="Q116" t="s">
        <v>370</v>
      </c>
      <c r="R116" t="str">
        <f>VLOOKUP(Q116,Localizacoes!$I$3:$J$100,2,FALSE)</f>
        <v>MCD</v>
      </c>
      <c r="S116" t="str">
        <f>VLOOKUP(Q116,ID!$I$3:$J$100,2,FALSE)</f>
        <v>MCD</v>
      </c>
      <c r="T116" s="4" t="s">
        <v>186</v>
      </c>
      <c r="U116" t="s">
        <v>265</v>
      </c>
      <c r="Y116" t="s">
        <v>270</v>
      </c>
      <c r="Z116" t="str">
        <f t="shared" si="31"/>
        <v>Macromedidor 02</v>
      </c>
      <c r="AA116">
        <v>2016</v>
      </c>
      <c r="AD116" s="13" t="s">
        <v>266</v>
      </c>
      <c r="AF116" t="str">
        <f t="shared" si="32"/>
        <v>MedidorMacromedidor</v>
      </c>
      <c r="AG116" s="28" t="str">
        <f>VLOOKUP(AF116,Imagens!$C$2:$D$42,2,FALSE)</f>
        <v>65e8dd4a9cd58</v>
      </c>
      <c r="AH116" t="str">
        <f>_xlfn.CONCAT(Imagens!$H$2,'registo_ativo-CDs (1)'!AG116)</f>
        <v>assets/imagens/products/65e8dd4a9cd58</v>
      </c>
      <c r="AI116" s="67">
        <v>45327</v>
      </c>
      <c r="AK116" s="32"/>
    </row>
    <row r="117" spans="1:37" ht="19.8" customHeight="1" x14ac:dyDescent="0.3">
      <c r="A117">
        <f t="shared" si="28"/>
        <v>15</v>
      </c>
      <c r="B117" t="str">
        <f t="shared" si="29"/>
        <v>CD10BBG146MCD03</v>
      </c>
      <c r="C117" t="str">
        <f t="shared" si="30"/>
        <v>CD-AM-BBG-MDD-MCD-03</v>
      </c>
      <c r="E117" t="s">
        <v>37</v>
      </c>
      <c r="F117" t="str">
        <f>VLOOKUP(E117,Localizacoes!$A$3:$B$100,2,FALSE)</f>
        <v>CD</v>
      </c>
      <c r="G117" t="str">
        <f>VLOOKUP(E117,ID!$A$3:$B$100,2,FALSE)</f>
        <v>CD</v>
      </c>
      <c r="H117" s="14" t="s">
        <v>229</v>
      </c>
      <c r="I117" t="str">
        <f>VLOOKUP(H117,Localizacoes!$C$3:$D$100,2,FALSE)</f>
        <v>AM</v>
      </c>
      <c r="J117">
        <f>VLOOKUP(H117,ID!$C$3:$D$100,2,FALSE)</f>
        <v>10</v>
      </c>
      <c r="K117" t="s">
        <v>274</v>
      </c>
      <c r="L117" t="str">
        <f>VLOOKUP(K117,Localizacoes!$E$3:$F$100,2,FALSE)</f>
        <v>BBG</v>
      </c>
      <c r="M117" t="str">
        <f>VLOOKUP(K117,ID!$E$3:$F$100,2,FALSE)</f>
        <v>BBG</v>
      </c>
      <c r="N117" t="s">
        <v>672</v>
      </c>
      <c r="O117" t="str">
        <f>VLOOKUP(N117,Localizacoes!$G$3:$H$100,2,FALSE)</f>
        <v>MDD</v>
      </c>
      <c r="P117">
        <f>VLOOKUP(N117,ID!$G$3:$H$100,2,FALSE)</f>
        <v>146</v>
      </c>
      <c r="Q117" t="s">
        <v>370</v>
      </c>
      <c r="R117" t="str">
        <f>VLOOKUP(Q117,Localizacoes!$I$3:$J$100,2,FALSE)</f>
        <v>MCD</v>
      </c>
      <c r="S117" t="str">
        <f>VLOOKUP(Q117,ID!$I$3:$J$100,2,FALSE)</f>
        <v>MCD</v>
      </c>
      <c r="T117" s="4" t="s">
        <v>187</v>
      </c>
      <c r="U117" t="s">
        <v>265</v>
      </c>
      <c r="Y117" t="s">
        <v>270</v>
      </c>
      <c r="Z117" t="str">
        <f t="shared" si="31"/>
        <v>Macromedidor 03</v>
      </c>
      <c r="AA117">
        <v>2016</v>
      </c>
      <c r="AD117" s="13" t="s">
        <v>266</v>
      </c>
      <c r="AF117" t="str">
        <f t="shared" si="32"/>
        <v>MedidorMacromedidor</v>
      </c>
      <c r="AG117" s="28" t="str">
        <f>VLOOKUP(AF117,Imagens!$C$2:$D$42,2,FALSE)</f>
        <v>65e8dd4a9cd58</v>
      </c>
      <c r="AH117" t="str">
        <f>_xlfn.CONCAT(Imagens!$H$2,'registo_ativo-CDs (1)'!AG117)</f>
        <v>assets/imagens/products/65e8dd4a9cd58</v>
      </c>
      <c r="AI117" s="67">
        <v>45327</v>
      </c>
      <c r="AK117" s="32"/>
    </row>
    <row r="118" spans="1:37" ht="19.8" customHeight="1" x14ac:dyDescent="0.3">
      <c r="A118">
        <f t="shared" si="27"/>
        <v>15</v>
      </c>
      <c r="B118" t="str">
        <f t="shared" si="25"/>
        <v>CD10BBG165GMC01</v>
      </c>
      <c r="C118" t="str">
        <f t="shared" si="26"/>
        <v>CD-AM-BBG-SUB-GMC-01</v>
      </c>
      <c r="E118" t="s">
        <v>37</v>
      </c>
      <c r="F118" t="str">
        <f>VLOOKUP(E118,Localizacoes!$A$3:$B$100,2,FALSE)</f>
        <v>CD</v>
      </c>
      <c r="G118" t="str">
        <f>VLOOKUP(E118,ID!$A$3:$B$100,2,FALSE)</f>
        <v>CD</v>
      </c>
      <c r="H118" s="14" t="s">
        <v>229</v>
      </c>
      <c r="I118" t="str">
        <f>VLOOKUP(H118,Localizacoes!$C$3:$D$100,2,FALSE)</f>
        <v>AM</v>
      </c>
      <c r="J118">
        <f>VLOOKUP(H118,ID!$C$3:$D$100,2,FALSE)</f>
        <v>10</v>
      </c>
      <c r="K118" t="s">
        <v>274</v>
      </c>
      <c r="L118" t="str">
        <f>VLOOKUP(K118,Localizacoes!$E$3:$F$100,2,FALSE)</f>
        <v>BBG</v>
      </c>
      <c r="M118" t="str">
        <f>VLOOKUP(K118,ID!$E$3:$F$100,2,FALSE)</f>
        <v>BBG</v>
      </c>
      <c r="N118" t="s">
        <v>112</v>
      </c>
      <c r="O118" t="str">
        <f>VLOOKUP(N118,Localizacoes!$G$3:$H$100,2,FALSE)</f>
        <v>SUB</v>
      </c>
      <c r="P118">
        <f>VLOOKUP(N118,ID!$G$3:$H$100,2,FALSE)</f>
        <v>165</v>
      </c>
      <c r="Q118" t="s">
        <v>658</v>
      </c>
      <c r="R118" t="str">
        <f>VLOOKUP(Q118,Localizacoes!$I$3:$J$100,2,FALSE)</f>
        <v>GMC</v>
      </c>
      <c r="S118" t="str">
        <f>VLOOKUP(Q118,ID!$I$3:$J$100,2,FALSE)</f>
        <v>GMC</v>
      </c>
      <c r="T118" s="4" t="s">
        <v>182</v>
      </c>
      <c r="U118" t="s">
        <v>264</v>
      </c>
      <c r="X118" t="s">
        <v>273</v>
      </c>
      <c r="Y118" t="s">
        <v>270</v>
      </c>
      <c r="Z118" t="str">
        <f t="shared" si="23"/>
        <v>Gerador Mecânica 01</v>
      </c>
      <c r="AA118">
        <v>2016</v>
      </c>
      <c r="AD118" s="13" t="s">
        <v>7</v>
      </c>
      <c r="AF118" t="str">
        <f t="shared" si="24"/>
        <v>SubestaçãoGerador Mecânica</v>
      </c>
      <c r="AG118" s="28" t="str">
        <f>VLOOKUP(AF118,Imagens!$C$2:$D$42,2,FALSE)</f>
        <v>65e8da741759f</v>
      </c>
      <c r="AH118" t="str">
        <f>_xlfn.CONCAT(Imagens!$H$2,'registo_ativo-CDs (1)'!AG118)</f>
        <v>assets/imagens/products/65e8da741759f</v>
      </c>
      <c r="AI118" s="67">
        <v>45299</v>
      </c>
      <c r="AK118" s="32"/>
    </row>
    <row r="119" spans="1:37" ht="19.8" customHeight="1" x14ac:dyDescent="0.3">
      <c r="A119">
        <f t="shared" si="27"/>
        <v>15</v>
      </c>
      <c r="B119" t="str">
        <f t="shared" si="25"/>
        <v>CD51BBG131BOM01</v>
      </c>
      <c r="C119" t="str">
        <f t="shared" si="26"/>
        <v>CD-MAX-BBG-EBC-BOM-01</v>
      </c>
      <c r="E119" t="s">
        <v>37</v>
      </c>
      <c r="F119" t="str">
        <f>VLOOKUP(E119,Localizacoes!$A$3:$B$100,2,FALSE)</f>
        <v>CD</v>
      </c>
      <c r="G119" t="str">
        <f>VLOOKUP(E119,ID!$A$3:$B$100,2,FALSE)</f>
        <v>CD</v>
      </c>
      <c r="H119" s="14" t="s">
        <v>32</v>
      </c>
      <c r="I119" t="str">
        <f>VLOOKUP(H119,Localizacoes!$C$3:$D$100,2,FALSE)</f>
        <v>MAX</v>
      </c>
      <c r="J119">
        <f>VLOOKUP(H119,ID!$C$3:$D$100,2,FALSE)</f>
        <v>51</v>
      </c>
      <c r="K119" t="s">
        <v>274</v>
      </c>
      <c r="L119" t="str">
        <f>VLOOKUP(K119,Localizacoes!$E$3:$F$100,2,FALSE)</f>
        <v>BBG</v>
      </c>
      <c r="M119" t="str">
        <f>VLOOKUP(K119,ID!$E$3:$F$100,2,FALSE)</f>
        <v>BBG</v>
      </c>
      <c r="N119" t="s">
        <v>704</v>
      </c>
      <c r="O119" t="str">
        <f>VLOOKUP(N119,Localizacoes!$G$3:$H$100,2,FALSE)</f>
        <v>EBC</v>
      </c>
      <c r="P119">
        <f>VLOOKUP(N119,ID!$G$3:$H$100,2,FALSE)</f>
        <v>131</v>
      </c>
      <c r="Q119" t="s">
        <v>150</v>
      </c>
      <c r="R119" t="str">
        <f>VLOOKUP(Q119,Localizacoes!$I$3:$J$100,2,FALSE)</f>
        <v>BOM</v>
      </c>
      <c r="S119" t="str">
        <f>VLOOKUP(Q119,ID!$I$3:$J$100,2,FALSE)</f>
        <v>BOM</v>
      </c>
      <c r="T119" s="4" t="s">
        <v>182</v>
      </c>
      <c r="U119" t="s">
        <v>264</v>
      </c>
      <c r="V119" t="s">
        <v>567</v>
      </c>
      <c r="W119" t="s">
        <v>568</v>
      </c>
      <c r="Y119" t="s">
        <v>270</v>
      </c>
      <c r="Z119" t="s">
        <v>598</v>
      </c>
      <c r="AA119">
        <v>0</v>
      </c>
      <c r="AD119" s="13" t="s">
        <v>7</v>
      </c>
      <c r="AF119" t="str">
        <f t="shared" si="24"/>
        <v>Electrobomba centrífugaBomba</v>
      </c>
      <c r="AG119" s="28" t="str">
        <f>VLOOKUP(AF119,Imagens!$C$2:$D$42,2,FALSE)</f>
        <v>65e96125c1d11</v>
      </c>
      <c r="AH119" t="str">
        <f>_xlfn.CONCAT(Imagens!$H$2,'registo_ativo-CDs (1)'!AG119)</f>
        <v>assets/imagens/products/65e96125c1d11</v>
      </c>
      <c r="AI119" s="67">
        <v>45306</v>
      </c>
      <c r="AK119" s="32"/>
    </row>
    <row r="120" spans="1:37" ht="19.8" customHeight="1" x14ac:dyDescent="0.3">
      <c r="A120">
        <f t="shared" si="27"/>
        <v>15</v>
      </c>
      <c r="B120" t="str">
        <f t="shared" si="25"/>
        <v>CD51BBG131MOT01</v>
      </c>
      <c r="C120" t="str">
        <f t="shared" si="26"/>
        <v>CD-MAX-BBG-EBC-MOT-01</v>
      </c>
      <c r="E120" t="s">
        <v>37</v>
      </c>
      <c r="F120" t="str">
        <f>VLOOKUP(E120,Localizacoes!$A$3:$B$100,2,FALSE)</f>
        <v>CD</v>
      </c>
      <c r="G120" t="str">
        <f>VLOOKUP(E120,ID!$A$3:$B$100,2,FALSE)</f>
        <v>CD</v>
      </c>
      <c r="H120" s="14" t="s">
        <v>32</v>
      </c>
      <c r="I120" t="str">
        <f>VLOOKUP(H120,Localizacoes!$C$3:$D$100,2,FALSE)</f>
        <v>MAX</v>
      </c>
      <c r="J120">
        <f>VLOOKUP(H120,ID!$C$3:$D$100,2,FALSE)</f>
        <v>51</v>
      </c>
      <c r="K120" t="s">
        <v>274</v>
      </c>
      <c r="L120" t="str">
        <f>VLOOKUP(K120,Localizacoes!$E$3:$F$100,2,FALSE)</f>
        <v>BBG</v>
      </c>
      <c r="M120" t="str">
        <f>VLOOKUP(K120,ID!$E$3:$F$100,2,FALSE)</f>
        <v>BBG</v>
      </c>
      <c r="N120" t="s">
        <v>704</v>
      </c>
      <c r="O120" t="str">
        <f>VLOOKUP(N120,Localizacoes!$G$3:$H$100,2,FALSE)</f>
        <v>EBC</v>
      </c>
      <c r="P120">
        <f>VLOOKUP(N120,ID!$G$3:$H$100,2,FALSE)</f>
        <v>131</v>
      </c>
      <c r="Q120" t="s">
        <v>21</v>
      </c>
      <c r="R120" t="str">
        <f>VLOOKUP(Q120,Localizacoes!$I$3:$J$100,2,FALSE)</f>
        <v>MOT</v>
      </c>
      <c r="S120" t="str">
        <f>VLOOKUP(Q120,ID!$I$3:$J$100,2,FALSE)</f>
        <v>MOT</v>
      </c>
      <c r="T120" s="4" t="s">
        <v>182</v>
      </c>
      <c r="U120" t="s">
        <v>265</v>
      </c>
      <c r="V120" t="s">
        <v>569</v>
      </c>
      <c r="W120" t="s">
        <v>570</v>
      </c>
      <c r="Y120" t="s">
        <v>270</v>
      </c>
      <c r="Z120" t="str">
        <f t="shared" si="23"/>
        <v>Motor 01</v>
      </c>
      <c r="AA120">
        <v>1994</v>
      </c>
      <c r="AD120" s="13" t="s">
        <v>7</v>
      </c>
      <c r="AF120" t="str">
        <f t="shared" si="24"/>
        <v>Electrobomba centrífugaMotor</v>
      </c>
      <c r="AG120" s="28" t="str">
        <f>VLOOKUP(AF120,Imagens!$C$2:$D$42,2,FALSE)</f>
        <v>65d04210323a4</v>
      </c>
      <c r="AH120" t="str">
        <f>_xlfn.CONCAT(Imagens!$H$2,'registo_ativo-CDs (1)'!AG120)</f>
        <v>assets/imagens/products/65d04210323a4</v>
      </c>
      <c r="AI120" s="67">
        <v>45306</v>
      </c>
      <c r="AK120" s="32"/>
    </row>
    <row r="121" spans="1:37" ht="19.8" customHeight="1" x14ac:dyDescent="0.3">
      <c r="A121">
        <f t="shared" si="27"/>
        <v>15</v>
      </c>
      <c r="B121" t="str">
        <f t="shared" si="25"/>
        <v>CD51BBG131QEA01</v>
      </c>
      <c r="C121" t="str">
        <f t="shared" si="26"/>
        <v>CD-MAX-BBG-EBC-QEA-01</v>
      </c>
      <c r="E121" t="s">
        <v>37</v>
      </c>
      <c r="F121" t="str">
        <f>VLOOKUP(E121,Localizacoes!$A$3:$B$100,2,FALSE)</f>
        <v>CD</v>
      </c>
      <c r="G121" t="str">
        <f>VLOOKUP(E121,ID!$A$3:$B$100,2,FALSE)</f>
        <v>CD</v>
      </c>
      <c r="H121" s="14" t="s">
        <v>32</v>
      </c>
      <c r="I121" t="str">
        <f>VLOOKUP(H121,Localizacoes!$C$3:$D$100,2,FALSE)</f>
        <v>MAX</v>
      </c>
      <c r="J121">
        <f>VLOOKUP(H121,ID!$C$3:$D$100,2,FALSE)</f>
        <v>51</v>
      </c>
      <c r="K121" t="s">
        <v>274</v>
      </c>
      <c r="L121" t="str">
        <f>VLOOKUP(K121,Localizacoes!$E$3:$F$100,2,FALSE)</f>
        <v>BBG</v>
      </c>
      <c r="M121" t="str">
        <f>VLOOKUP(K121,ID!$E$3:$F$100,2,FALSE)</f>
        <v>BBG</v>
      </c>
      <c r="N121" t="s">
        <v>704</v>
      </c>
      <c r="O121" t="str">
        <f>VLOOKUP(N121,Localizacoes!$G$3:$H$100,2,FALSE)</f>
        <v>EBC</v>
      </c>
      <c r="P121">
        <f>VLOOKUP(N121,ID!$G$3:$H$100,2,FALSE)</f>
        <v>131</v>
      </c>
      <c r="Q121" t="s">
        <v>154</v>
      </c>
      <c r="R121" t="str">
        <f>VLOOKUP(Q121,Localizacoes!$I$3:$J$100,2,FALSE)</f>
        <v>QEA</v>
      </c>
      <c r="S121" t="str">
        <f>VLOOKUP(Q121,ID!$I$3:$J$100,2,FALSE)</f>
        <v>QEA</v>
      </c>
      <c r="T121" s="4" t="s">
        <v>182</v>
      </c>
      <c r="U121" t="s">
        <v>265</v>
      </c>
      <c r="V121" t="s">
        <v>571</v>
      </c>
      <c r="W121" t="s">
        <v>571</v>
      </c>
      <c r="Y121" t="s">
        <v>270</v>
      </c>
      <c r="Z121" t="str">
        <f t="shared" si="23"/>
        <v>Quadros Eléctricos de Arranque 01</v>
      </c>
      <c r="AA121">
        <v>1994</v>
      </c>
      <c r="AD121" s="13" t="s">
        <v>267</v>
      </c>
      <c r="AF121" t="str">
        <f t="shared" si="24"/>
        <v>Electrobomba centrífugaQuadros Eléctricos de Arranque</v>
      </c>
      <c r="AG121" s="28" t="str">
        <f>VLOOKUP(AF121,Imagens!$C$2:$D$42,2,FALSE)</f>
        <v>65e8d2fa35c12</v>
      </c>
      <c r="AH121" t="str">
        <f>_xlfn.CONCAT(Imagens!$H$2,'registo_ativo-CDs (1)'!AG121)</f>
        <v>assets/imagens/products/65e8d2fa35c12</v>
      </c>
      <c r="AI121" s="67">
        <v>45362</v>
      </c>
      <c r="AK121" s="32"/>
    </row>
    <row r="122" spans="1:37" ht="19.8" customHeight="1" x14ac:dyDescent="0.3">
      <c r="A122">
        <f t="shared" si="27"/>
        <v>15</v>
      </c>
      <c r="B122" t="str">
        <f t="shared" si="25"/>
        <v>CD51BBG131VSU01</v>
      </c>
      <c r="C122" t="str">
        <f t="shared" si="26"/>
        <v>CD-MAX-BBG-EBC-VSU-01</v>
      </c>
      <c r="E122" t="s">
        <v>37</v>
      </c>
      <c r="F122" t="str">
        <f>VLOOKUP(E122,Localizacoes!$A$3:$B$100,2,FALSE)</f>
        <v>CD</v>
      </c>
      <c r="G122" t="str">
        <f>VLOOKUP(E122,ID!$A$3:$B$100,2,FALSE)</f>
        <v>CD</v>
      </c>
      <c r="H122" s="14" t="s">
        <v>32</v>
      </c>
      <c r="I122" t="str">
        <f>VLOOKUP(H122,Localizacoes!$C$3:$D$100,2,FALSE)</f>
        <v>MAX</v>
      </c>
      <c r="J122">
        <f>VLOOKUP(H122,ID!$C$3:$D$100,2,FALSE)</f>
        <v>51</v>
      </c>
      <c r="K122" t="s">
        <v>274</v>
      </c>
      <c r="L122" t="str">
        <f>VLOOKUP(K122,Localizacoes!$E$3:$F$100,2,FALSE)</f>
        <v>BBG</v>
      </c>
      <c r="M122" t="str">
        <f>VLOOKUP(K122,ID!$E$3:$F$100,2,FALSE)</f>
        <v>BBG</v>
      </c>
      <c r="N122" t="s">
        <v>704</v>
      </c>
      <c r="O122" t="str">
        <f>VLOOKUP(N122,Localizacoes!$G$3:$H$100,2,FALSE)</f>
        <v>EBC</v>
      </c>
      <c r="P122">
        <f>VLOOKUP(N122,ID!$G$3:$H$100,2,FALSE)</f>
        <v>131</v>
      </c>
      <c r="Q122" t="s">
        <v>276</v>
      </c>
      <c r="R122" t="str">
        <f>VLOOKUP(Q122,Localizacoes!$I$3:$J$100,2,FALSE)</f>
        <v>VSU</v>
      </c>
      <c r="S122" t="str">
        <f>VLOOKUP(Q122,ID!$I$3:$J$100,2,FALSE)</f>
        <v>VSU</v>
      </c>
      <c r="T122" s="4" t="s">
        <v>182</v>
      </c>
      <c r="U122" t="s">
        <v>264</v>
      </c>
      <c r="V122" t="s">
        <v>572</v>
      </c>
      <c r="W122" t="s">
        <v>573</v>
      </c>
      <c r="Y122" t="s">
        <v>270</v>
      </c>
      <c r="Z122" t="str">
        <f t="shared" si="23"/>
        <v>Válvula Sucção 01</v>
      </c>
      <c r="AA122">
        <v>1994</v>
      </c>
      <c r="AD122" s="13" t="s">
        <v>267</v>
      </c>
      <c r="AF122" t="str">
        <f t="shared" si="24"/>
        <v>Electrobomba centrífugaVálvula Sucção</v>
      </c>
      <c r="AG122" s="28" t="str">
        <f>VLOOKUP(AF122,Imagens!$C$2:$D$42,2,FALSE)</f>
        <v>65e8cda0676b7</v>
      </c>
      <c r="AH122" t="str">
        <f>_xlfn.CONCAT(Imagens!$H$2,'registo_ativo-CDs (1)'!AG122)</f>
        <v>assets/imagens/products/65e8cda0676b7</v>
      </c>
      <c r="AI122" s="67">
        <v>45362</v>
      </c>
      <c r="AK122" s="32"/>
    </row>
    <row r="123" spans="1:37" ht="19.8" customHeight="1" x14ac:dyDescent="0.3">
      <c r="A123">
        <f t="shared" si="27"/>
        <v>15</v>
      </c>
      <c r="B123" t="str">
        <f t="shared" si="25"/>
        <v>CD51BBG131VDE01</v>
      </c>
      <c r="C123" t="str">
        <f t="shared" si="26"/>
        <v>CD-MAX-BBG-EBC-VDE-01</v>
      </c>
      <c r="E123" t="s">
        <v>37</v>
      </c>
      <c r="F123" t="str">
        <f>VLOOKUP(E123,Localizacoes!$A$3:$B$100,2,FALSE)</f>
        <v>CD</v>
      </c>
      <c r="G123" t="str">
        <f>VLOOKUP(E123,ID!$A$3:$B$100,2,FALSE)</f>
        <v>CD</v>
      </c>
      <c r="H123" s="14" t="s">
        <v>32</v>
      </c>
      <c r="I123" t="str">
        <f>VLOOKUP(H123,Localizacoes!$C$3:$D$100,2,FALSE)</f>
        <v>MAX</v>
      </c>
      <c r="J123">
        <f>VLOOKUP(H123,ID!$C$3:$D$100,2,FALSE)</f>
        <v>51</v>
      </c>
      <c r="K123" t="s">
        <v>274</v>
      </c>
      <c r="L123" t="str">
        <f>VLOOKUP(K123,Localizacoes!$E$3:$F$100,2,FALSE)</f>
        <v>BBG</v>
      </c>
      <c r="M123" t="str">
        <f>VLOOKUP(K123,ID!$E$3:$F$100,2,FALSE)</f>
        <v>BBG</v>
      </c>
      <c r="N123" t="s">
        <v>704</v>
      </c>
      <c r="O123" t="str">
        <f>VLOOKUP(N123,Localizacoes!$G$3:$H$100,2,FALSE)</f>
        <v>EBC</v>
      </c>
      <c r="P123">
        <f>VLOOKUP(N123,ID!$G$3:$H$100,2,FALSE)</f>
        <v>131</v>
      </c>
      <c r="Q123" t="s">
        <v>279</v>
      </c>
      <c r="R123" t="str">
        <f>VLOOKUP(Q123,Localizacoes!$I$3:$J$100,2,FALSE)</f>
        <v>VDE</v>
      </c>
      <c r="S123" t="str">
        <f>VLOOKUP(Q123,ID!$I$3:$J$100,2,FALSE)</f>
        <v>VDE</v>
      </c>
      <c r="T123" s="4" t="s">
        <v>182</v>
      </c>
      <c r="U123" t="s">
        <v>264</v>
      </c>
      <c r="V123" t="s">
        <v>572</v>
      </c>
      <c r="W123" t="s">
        <v>573</v>
      </c>
      <c r="Y123" t="s">
        <v>270</v>
      </c>
      <c r="Z123" t="str">
        <f t="shared" si="23"/>
        <v>Válvula Descarga 01</v>
      </c>
      <c r="AA123">
        <v>1994</v>
      </c>
      <c r="AD123" s="13" t="s">
        <v>267</v>
      </c>
      <c r="AF123" t="str">
        <f t="shared" si="24"/>
        <v>Electrobomba centrífugaVálvula Descarga</v>
      </c>
      <c r="AG123" s="28" t="str">
        <f>VLOOKUP(AF123,Imagens!$C$2:$D$42,2,FALSE)</f>
        <v>65e8cda0676b7</v>
      </c>
      <c r="AH123" t="str">
        <f>_xlfn.CONCAT(Imagens!$H$2,'registo_ativo-CDs (1)'!AG123)</f>
        <v>assets/imagens/products/65e8cda0676b7</v>
      </c>
      <c r="AI123" s="67">
        <v>45362</v>
      </c>
      <c r="AK123" s="32"/>
    </row>
    <row r="124" spans="1:37" ht="19.8" customHeight="1" x14ac:dyDescent="0.3">
      <c r="A124">
        <f t="shared" si="27"/>
        <v>15</v>
      </c>
      <c r="B124" t="str">
        <f t="shared" si="25"/>
        <v>CD51BBG131BOM02</v>
      </c>
      <c r="C124" t="str">
        <f t="shared" si="26"/>
        <v>CD-MAX-BBG-EBC-BOM-02</v>
      </c>
      <c r="E124" t="s">
        <v>37</v>
      </c>
      <c r="F124" t="str">
        <f>VLOOKUP(E124,Localizacoes!$A$3:$B$100,2,FALSE)</f>
        <v>CD</v>
      </c>
      <c r="G124" t="str">
        <f>VLOOKUP(E124,ID!$A$3:$B$100,2,FALSE)</f>
        <v>CD</v>
      </c>
      <c r="H124" s="14" t="s">
        <v>32</v>
      </c>
      <c r="I124" t="str">
        <f>VLOOKUP(H124,Localizacoes!$C$3:$D$100,2,FALSE)</f>
        <v>MAX</v>
      </c>
      <c r="J124">
        <f>VLOOKUP(H124,ID!$C$3:$D$100,2,FALSE)</f>
        <v>51</v>
      </c>
      <c r="K124" t="s">
        <v>274</v>
      </c>
      <c r="L124" t="str">
        <f>VLOOKUP(K124,Localizacoes!$E$3:$F$100,2,FALSE)</f>
        <v>BBG</v>
      </c>
      <c r="M124" t="str">
        <f>VLOOKUP(K124,ID!$E$3:$F$100,2,FALSE)</f>
        <v>BBG</v>
      </c>
      <c r="N124" t="s">
        <v>704</v>
      </c>
      <c r="O124" t="str">
        <f>VLOOKUP(N124,Localizacoes!$G$3:$H$100,2,FALSE)</f>
        <v>EBC</v>
      </c>
      <c r="P124">
        <f>VLOOKUP(N124,ID!$G$3:$H$100,2,FALSE)</f>
        <v>131</v>
      </c>
      <c r="Q124" t="s">
        <v>150</v>
      </c>
      <c r="R124" t="str">
        <f>VLOOKUP(Q124,Localizacoes!$I$3:$J$100,2,FALSE)</f>
        <v>BOM</v>
      </c>
      <c r="S124" t="str">
        <f>VLOOKUP(Q124,ID!$I$3:$J$100,2,FALSE)</f>
        <v>BOM</v>
      </c>
      <c r="T124" s="4" t="s">
        <v>186</v>
      </c>
      <c r="U124" t="s">
        <v>264</v>
      </c>
      <c r="V124" t="s">
        <v>567</v>
      </c>
      <c r="W124" t="s">
        <v>568</v>
      </c>
      <c r="Y124" t="s">
        <v>270</v>
      </c>
      <c r="Z124" t="str">
        <f t="shared" si="23"/>
        <v>Bomba 02</v>
      </c>
      <c r="AA124">
        <v>1994</v>
      </c>
      <c r="AD124" s="13" t="s">
        <v>7</v>
      </c>
      <c r="AF124" t="str">
        <f t="shared" si="24"/>
        <v>Electrobomba centrífugaBomba</v>
      </c>
      <c r="AG124" s="28" t="str">
        <f>VLOOKUP(AF124,Imagens!$C$2:$D$42,2,FALSE)</f>
        <v>65e96125c1d11</v>
      </c>
      <c r="AH124" t="str">
        <f>_xlfn.CONCAT(Imagens!$H$2,'registo_ativo-CDs (1)'!AG124)</f>
        <v>assets/imagens/products/65e96125c1d11</v>
      </c>
      <c r="AI124" s="67">
        <v>45306</v>
      </c>
      <c r="AK124" s="32"/>
    </row>
    <row r="125" spans="1:37" ht="19.8" customHeight="1" x14ac:dyDescent="0.3">
      <c r="A125">
        <f t="shared" si="27"/>
        <v>15</v>
      </c>
      <c r="B125" t="str">
        <f t="shared" si="25"/>
        <v>CD51BBG131MOT02</v>
      </c>
      <c r="C125" t="str">
        <f t="shared" si="26"/>
        <v>CD-MAX-BBG-EBC-MOT-02</v>
      </c>
      <c r="E125" t="s">
        <v>37</v>
      </c>
      <c r="F125" t="str">
        <f>VLOOKUP(E125,Localizacoes!$A$3:$B$100,2,FALSE)</f>
        <v>CD</v>
      </c>
      <c r="G125" t="str">
        <f>VLOOKUP(E125,ID!$A$3:$B$100,2,FALSE)</f>
        <v>CD</v>
      </c>
      <c r="H125" s="14" t="s">
        <v>32</v>
      </c>
      <c r="I125" t="str">
        <f>VLOOKUP(H125,Localizacoes!$C$3:$D$100,2,FALSE)</f>
        <v>MAX</v>
      </c>
      <c r="J125">
        <f>VLOOKUP(H125,ID!$C$3:$D$100,2,FALSE)</f>
        <v>51</v>
      </c>
      <c r="K125" t="s">
        <v>274</v>
      </c>
      <c r="L125" t="str">
        <f>VLOOKUP(K125,Localizacoes!$E$3:$F$100,2,FALSE)</f>
        <v>BBG</v>
      </c>
      <c r="M125" t="str">
        <f>VLOOKUP(K125,ID!$E$3:$F$100,2,FALSE)</f>
        <v>BBG</v>
      </c>
      <c r="N125" t="s">
        <v>704</v>
      </c>
      <c r="O125" t="str">
        <f>VLOOKUP(N125,Localizacoes!$G$3:$H$100,2,FALSE)</f>
        <v>EBC</v>
      </c>
      <c r="P125">
        <f>VLOOKUP(N125,ID!$G$3:$H$100,2,FALSE)</f>
        <v>131</v>
      </c>
      <c r="Q125" t="s">
        <v>21</v>
      </c>
      <c r="R125" t="str">
        <f>VLOOKUP(Q125,Localizacoes!$I$3:$J$100,2,FALSE)</f>
        <v>MOT</v>
      </c>
      <c r="S125" t="str">
        <f>VLOOKUP(Q125,ID!$I$3:$J$100,2,FALSE)</f>
        <v>MOT</v>
      </c>
      <c r="T125" s="4" t="s">
        <v>186</v>
      </c>
      <c r="U125" t="s">
        <v>265</v>
      </c>
      <c r="V125" t="s">
        <v>569</v>
      </c>
      <c r="W125" t="s">
        <v>570</v>
      </c>
      <c r="Y125" t="s">
        <v>270</v>
      </c>
      <c r="Z125" t="str">
        <f t="shared" si="23"/>
        <v>Motor 02</v>
      </c>
      <c r="AA125">
        <v>1994</v>
      </c>
      <c r="AD125" s="13" t="s">
        <v>7</v>
      </c>
      <c r="AF125" t="str">
        <f t="shared" si="24"/>
        <v>Electrobomba centrífugaMotor</v>
      </c>
      <c r="AG125" s="28" t="str">
        <f>VLOOKUP(AF125,Imagens!$C$2:$D$42,2,FALSE)</f>
        <v>65d04210323a4</v>
      </c>
      <c r="AH125" t="str">
        <f>_xlfn.CONCAT(Imagens!$H$2,'registo_ativo-CDs (1)'!AG125)</f>
        <v>assets/imagens/products/65d04210323a4</v>
      </c>
      <c r="AI125" s="67">
        <v>45306</v>
      </c>
      <c r="AK125" s="32"/>
    </row>
    <row r="126" spans="1:37" ht="19.8" customHeight="1" x14ac:dyDescent="0.3">
      <c r="A126">
        <f t="shared" si="27"/>
        <v>15</v>
      </c>
      <c r="B126" t="str">
        <f t="shared" si="25"/>
        <v>CD51BBG131QEA02</v>
      </c>
      <c r="C126" t="str">
        <f t="shared" si="26"/>
        <v>CD-MAX-BBG-EBC-QEA-02</v>
      </c>
      <c r="E126" t="s">
        <v>37</v>
      </c>
      <c r="F126" t="str">
        <f>VLOOKUP(E126,Localizacoes!$A$3:$B$100,2,FALSE)</f>
        <v>CD</v>
      </c>
      <c r="G126" t="str">
        <f>VLOOKUP(E126,ID!$A$3:$B$100,2,FALSE)</f>
        <v>CD</v>
      </c>
      <c r="H126" s="14" t="s">
        <v>32</v>
      </c>
      <c r="I126" t="str">
        <f>VLOOKUP(H126,Localizacoes!$C$3:$D$100,2,FALSE)</f>
        <v>MAX</v>
      </c>
      <c r="J126">
        <f>VLOOKUP(H126,ID!$C$3:$D$100,2,FALSE)</f>
        <v>51</v>
      </c>
      <c r="K126" t="s">
        <v>274</v>
      </c>
      <c r="L126" t="str">
        <f>VLOOKUP(K126,Localizacoes!$E$3:$F$100,2,FALSE)</f>
        <v>BBG</v>
      </c>
      <c r="M126" t="str">
        <f>VLOOKUP(K126,ID!$E$3:$F$100,2,FALSE)</f>
        <v>BBG</v>
      </c>
      <c r="N126" t="s">
        <v>704</v>
      </c>
      <c r="O126" t="str">
        <f>VLOOKUP(N126,Localizacoes!$G$3:$H$100,2,FALSE)</f>
        <v>EBC</v>
      </c>
      <c r="P126">
        <f>VLOOKUP(N126,ID!$G$3:$H$100,2,FALSE)</f>
        <v>131</v>
      </c>
      <c r="Q126" t="s">
        <v>154</v>
      </c>
      <c r="R126" t="str">
        <f>VLOOKUP(Q126,Localizacoes!$I$3:$J$100,2,FALSE)</f>
        <v>QEA</v>
      </c>
      <c r="S126" t="str">
        <f>VLOOKUP(Q126,ID!$I$3:$J$100,2,FALSE)</f>
        <v>QEA</v>
      </c>
      <c r="T126" s="4" t="s">
        <v>186</v>
      </c>
      <c r="U126" t="s">
        <v>265</v>
      </c>
      <c r="V126" t="s">
        <v>571</v>
      </c>
      <c r="W126" t="s">
        <v>571</v>
      </c>
      <c r="Y126" t="s">
        <v>270</v>
      </c>
      <c r="Z126" t="str">
        <f t="shared" si="23"/>
        <v>Quadros Eléctricos de Arranque 02</v>
      </c>
      <c r="AA126">
        <v>1994</v>
      </c>
      <c r="AD126" s="13" t="s">
        <v>267</v>
      </c>
      <c r="AF126" t="str">
        <f t="shared" si="24"/>
        <v>Electrobomba centrífugaQuadros Eléctricos de Arranque</v>
      </c>
      <c r="AG126" s="28" t="str">
        <f>VLOOKUP(AF126,Imagens!$C$2:$D$42,2,FALSE)</f>
        <v>65e8d2fa35c12</v>
      </c>
      <c r="AH126" t="str">
        <f>_xlfn.CONCAT(Imagens!$H$2,'registo_ativo-CDs (1)'!AG126)</f>
        <v>assets/imagens/products/65e8d2fa35c12</v>
      </c>
      <c r="AI126" s="67">
        <v>45362</v>
      </c>
      <c r="AK126" s="32"/>
    </row>
    <row r="127" spans="1:37" ht="19.8" customHeight="1" x14ac:dyDescent="0.3">
      <c r="A127">
        <f t="shared" si="27"/>
        <v>15</v>
      </c>
      <c r="B127" t="str">
        <f t="shared" si="25"/>
        <v>CD51BBG131VSU02</v>
      </c>
      <c r="C127" t="str">
        <f t="shared" si="26"/>
        <v>CD-MAX-BBG-EBC-VSU-02</v>
      </c>
      <c r="E127" t="s">
        <v>37</v>
      </c>
      <c r="F127" t="str">
        <f>VLOOKUP(E127,Localizacoes!$A$3:$B$100,2,FALSE)</f>
        <v>CD</v>
      </c>
      <c r="G127" t="str">
        <f>VLOOKUP(E127,ID!$A$3:$B$100,2,FALSE)</f>
        <v>CD</v>
      </c>
      <c r="H127" s="14" t="s">
        <v>32</v>
      </c>
      <c r="I127" t="str">
        <f>VLOOKUP(H127,Localizacoes!$C$3:$D$100,2,FALSE)</f>
        <v>MAX</v>
      </c>
      <c r="J127">
        <f>VLOOKUP(H127,ID!$C$3:$D$100,2,FALSE)</f>
        <v>51</v>
      </c>
      <c r="K127" t="s">
        <v>274</v>
      </c>
      <c r="L127" t="str">
        <f>VLOOKUP(K127,Localizacoes!$E$3:$F$100,2,FALSE)</f>
        <v>BBG</v>
      </c>
      <c r="M127" t="str">
        <f>VLOOKUP(K127,ID!$E$3:$F$100,2,FALSE)</f>
        <v>BBG</v>
      </c>
      <c r="N127" t="s">
        <v>704</v>
      </c>
      <c r="O127" t="str">
        <f>VLOOKUP(N127,Localizacoes!$G$3:$H$100,2,FALSE)</f>
        <v>EBC</v>
      </c>
      <c r="P127">
        <f>VLOOKUP(N127,ID!$G$3:$H$100,2,FALSE)</f>
        <v>131</v>
      </c>
      <c r="Q127" t="s">
        <v>276</v>
      </c>
      <c r="R127" t="str">
        <f>VLOOKUP(Q127,Localizacoes!$I$3:$J$100,2,FALSE)</f>
        <v>VSU</v>
      </c>
      <c r="S127" t="str">
        <f>VLOOKUP(Q127,ID!$I$3:$J$100,2,FALSE)</f>
        <v>VSU</v>
      </c>
      <c r="T127" s="4" t="s">
        <v>186</v>
      </c>
      <c r="U127" t="s">
        <v>264</v>
      </c>
      <c r="V127" t="s">
        <v>572</v>
      </c>
      <c r="W127" t="s">
        <v>573</v>
      </c>
      <c r="Y127" t="s">
        <v>270</v>
      </c>
      <c r="Z127" t="str">
        <f t="shared" si="23"/>
        <v>Válvula Sucção 02</v>
      </c>
      <c r="AA127">
        <v>1994</v>
      </c>
      <c r="AD127" s="13" t="s">
        <v>267</v>
      </c>
      <c r="AF127" t="str">
        <f t="shared" si="24"/>
        <v>Electrobomba centrífugaVálvula Sucção</v>
      </c>
      <c r="AG127" s="28" t="str">
        <f>VLOOKUP(AF127,Imagens!$C$2:$D$42,2,FALSE)</f>
        <v>65e8cda0676b7</v>
      </c>
      <c r="AH127" t="str">
        <f>_xlfn.CONCAT(Imagens!$H$2,'registo_ativo-CDs (1)'!AG127)</f>
        <v>assets/imagens/products/65e8cda0676b7</v>
      </c>
      <c r="AI127" s="67">
        <v>45362</v>
      </c>
      <c r="AK127" s="32"/>
    </row>
    <row r="128" spans="1:37" ht="19.8" customHeight="1" x14ac:dyDescent="0.3">
      <c r="A128">
        <f t="shared" si="27"/>
        <v>15</v>
      </c>
      <c r="B128" t="str">
        <f t="shared" si="25"/>
        <v>CD51BBG131VDE02</v>
      </c>
      <c r="C128" t="str">
        <f t="shared" si="26"/>
        <v>CD-MAX-BBG-EBC-VDE-02</v>
      </c>
      <c r="E128" t="s">
        <v>37</v>
      </c>
      <c r="F128" t="str">
        <f>VLOOKUP(E128,Localizacoes!$A$3:$B$100,2,FALSE)</f>
        <v>CD</v>
      </c>
      <c r="G128" t="str">
        <f>VLOOKUP(E128,ID!$A$3:$B$100,2,FALSE)</f>
        <v>CD</v>
      </c>
      <c r="H128" s="14" t="s">
        <v>32</v>
      </c>
      <c r="I128" t="str">
        <f>VLOOKUP(H128,Localizacoes!$C$3:$D$100,2,FALSE)</f>
        <v>MAX</v>
      </c>
      <c r="J128">
        <f>VLOOKUP(H128,ID!$C$3:$D$100,2,FALSE)</f>
        <v>51</v>
      </c>
      <c r="K128" t="s">
        <v>274</v>
      </c>
      <c r="L128" t="str">
        <f>VLOOKUP(K128,Localizacoes!$E$3:$F$100,2,FALSE)</f>
        <v>BBG</v>
      </c>
      <c r="M128" t="str">
        <f>VLOOKUP(K128,ID!$E$3:$F$100,2,FALSE)</f>
        <v>BBG</v>
      </c>
      <c r="N128" t="s">
        <v>704</v>
      </c>
      <c r="O128" t="str">
        <f>VLOOKUP(N128,Localizacoes!$G$3:$H$100,2,FALSE)</f>
        <v>EBC</v>
      </c>
      <c r="P128">
        <f>VLOOKUP(N128,ID!$G$3:$H$100,2,FALSE)</f>
        <v>131</v>
      </c>
      <c r="Q128" t="s">
        <v>279</v>
      </c>
      <c r="R128" t="str">
        <f>VLOOKUP(Q128,Localizacoes!$I$3:$J$100,2,FALSE)</f>
        <v>VDE</v>
      </c>
      <c r="S128" t="str">
        <f>VLOOKUP(Q128,ID!$I$3:$J$100,2,FALSE)</f>
        <v>VDE</v>
      </c>
      <c r="T128" s="4" t="s">
        <v>186</v>
      </c>
      <c r="U128" t="s">
        <v>264</v>
      </c>
      <c r="V128" t="s">
        <v>572</v>
      </c>
      <c r="W128" t="s">
        <v>573</v>
      </c>
      <c r="Y128" t="s">
        <v>270</v>
      </c>
      <c r="Z128" t="str">
        <f t="shared" si="23"/>
        <v>Válvula Descarga 02</v>
      </c>
      <c r="AA128">
        <v>1994</v>
      </c>
      <c r="AD128" s="13" t="s">
        <v>267</v>
      </c>
      <c r="AF128" t="str">
        <f t="shared" si="24"/>
        <v>Electrobomba centrífugaVálvula Descarga</v>
      </c>
      <c r="AG128" s="28" t="str">
        <f>VLOOKUP(AF128,Imagens!$C$2:$D$42,2,FALSE)</f>
        <v>65e8cda0676b7</v>
      </c>
      <c r="AH128" t="str">
        <f>_xlfn.CONCAT(Imagens!$H$2,'registo_ativo-CDs (1)'!AG128)</f>
        <v>assets/imagens/products/65e8cda0676b7</v>
      </c>
      <c r="AI128" s="67">
        <v>45362</v>
      </c>
      <c r="AK128" s="32"/>
    </row>
    <row r="129" spans="1:37" ht="19.8" customHeight="1" x14ac:dyDescent="0.3">
      <c r="A129">
        <f t="shared" si="27"/>
        <v>15</v>
      </c>
      <c r="B129" t="str">
        <f t="shared" si="25"/>
        <v>CD51BBG131BOM03</v>
      </c>
      <c r="C129" t="str">
        <f t="shared" si="26"/>
        <v>CD-MAX-BBG-EBC-BOM-03</v>
      </c>
      <c r="E129" t="s">
        <v>37</v>
      </c>
      <c r="F129" t="str">
        <f>VLOOKUP(E129,Localizacoes!$A$3:$B$100,2,FALSE)</f>
        <v>CD</v>
      </c>
      <c r="G129" t="str">
        <f>VLOOKUP(E129,ID!$A$3:$B$100,2,FALSE)</f>
        <v>CD</v>
      </c>
      <c r="H129" s="14" t="s">
        <v>32</v>
      </c>
      <c r="I129" t="str">
        <f>VLOOKUP(H129,Localizacoes!$C$3:$D$100,2,FALSE)</f>
        <v>MAX</v>
      </c>
      <c r="J129">
        <f>VLOOKUP(H129,ID!$C$3:$D$100,2,FALSE)</f>
        <v>51</v>
      </c>
      <c r="K129" t="s">
        <v>274</v>
      </c>
      <c r="L129" t="str">
        <f>VLOOKUP(K129,Localizacoes!$E$3:$F$100,2,FALSE)</f>
        <v>BBG</v>
      </c>
      <c r="M129" t="str">
        <f>VLOOKUP(K129,ID!$E$3:$F$100,2,FALSE)</f>
        <v>BBG</v>
      </c>
      <c r="N129" t="s">
        <v>704</v>
      </c>
      <c r="O129" t="str">
        <f>VLOOKUP(N129,Localizacoes!$G$3:$H$100,2,FALSE)</f>
        <v>EBC</v>
      </c>
      <c r="P129">
        <f>VLOOKUP(N129,ID!$G$3:$H$100,2,FALSE)</f>
        <v>131</v>
      </c>
      <c r="Q129" t="s">
        <v>150</v>
      </c>
      <c r="R129" t="str">
        <f>VLOOKUP(Q129,Localizacoes!$I$3:$J$100,2,FALSE)</f>
        <v>BOM</v>
      </c>
      <c r="S129" t="str">
        <f>VLOOKUP(Q129,ID!$I$3:$J$100,2,FALSE)</f>
        <v>BOM</v>
      </c>
      <c r="T129" s="4" t="s">
        <v>187</v>
      </c>
      <c r="U129" t="s">
        <v>264</v>
      </c>
      <c r="V129" t="s">
        <v>567</v>
      </c>
      <c r="W129" t="s">
        <v>568</v>
      </c>
      <c r="Y129" t="s">
        <v>270</v>
      </c>
      <c r="Z129" t="str">
        <f t="shared" si="23"/>
        <v>Bomba 03</v>
      </c>
      <c r="AA129">
        <v>1994</v>
      </c>
      <c r="AD129" s="13" t="s">
        <v>7</v>
      </c>
      <c r="AF129" t="str">
        <f t="shared" si="24"/>
        <v>Electrobomba centrífugaBomba</v>
      </c>
      <c r="AG129" s="28" t="str">
        <f>VLOOKUP(AF129,Imagens!$C$2:$D$42,2,FALSE)</f>
        <v>65e96125c1d11</v>
      </c>
      <c r="AH129" t="str">
        <f>_xlfn.CONCAT(Imagens!$H$2,'registo_ativo-CDs (1)'!AG129)</f>
        <v>assets/imagens/products/65e96125c1d11</v>
      </c>
      <c r="AI129" s="67">
        <v>45306</v>
      </c>
      <c r="AK129" s="32"/>
    </row>
    <row r="130" spans="1:37" ht="19.8" customHeight="1" x14ac:dyDescent="0.3">
      <c r="A130">
        <f t="shared" si="27"/>
        <v>15</v>
      </c>
      <c r="B130" t="str">
        <f t="shared" si="25"/>
        <v>CD51BBG131MOT03</v>
      </c>
      <c r="C130" t="str">
        <f t="shared" si="26"/>
        <v>CD-MAX-BBG-EBC-MOT-03</v>
      </c>
      <c r="E130" t="s">
        <v>37</v>
      </c>
      <c r="F130" t="str">
        <f>VLOOKUP(E130,Localizacoes!$A$3:$B$100,2,FALSE)</f>
        <v>CD</v>
      </c>
      <c r="G130" t="str">
        <f>VLOOKUP(E130,ID!$A$3:$B$100,2,FALSE)</f>
        <v>CD</v>
      </c>
      <c r="H130" s="14" t="s">
        <v>32</v>
      </c>
      <c r="I130" t="str">
        <f>VLOOKUP(H130,Localizacoes!$C$3:$D$100,2,FALSE)</f>
        <v>MAX</v>
      </c>
      <c r="J130">
        <f>VLOOKUP(H130,ID!$C$3:$D$100,2,FALSE)</f>
        <v>51</v>
      </c>
      <c r="K130" t="s">
        <v>274</v>
      </c>
      <c r="L130" t="str">
        <f>VLOOKUP(K130,Localizacoes!$E$3:$F$100,2,FALSE)</f>
        <v>BBG</v>
      </c>
      <c r="M130" t="str">
        <f>VLOOKUP(K130,ID!$E$3:$F$100,2,FALSE)</f>
        <v>BBG</v>
      </c>
      <c r="N130" t="s">
        <v>704</v>
      </c>
      <c r="O130" t="str">
        <f>VLOOKUP(N130,Localizacoes!$G$3:$H$100,2,FALSE)</f>
        <v>EBC</v>
      </c>
      <c r="P130">
        <f>VLOOKUP(N130,ID!$G$3:$H$100,2,FALSE)</f>
        <v>131</v>
      </c>
      <c r="Q130" t="s">
        <v>21</v>
      </c>
      <c r="R130" t="str">
        <f>VLOOKUP(Q130,Localizacoes!$I$3:$J$100,2,FALSE)</f>
        <v>MOT</v>
      </c>
      <c r="S130" t="str">
        <f>VLOOKUP(Q130,ID!$I$3:$J$100,2,FALSE)</f>
        <v>MOT</v>
      </c>
      <c r="T130" s="4" t="s">
        <v>187</v>
      </c>
      <c r="U130" t="s">
        <v>265</v>
      </c>
      <c r="V130" t="s">
        <v>569</v>
      </c>
      <c r="W130" t="s">
        <v>570</v>
      </c>
      <c r="Y130" t="s">
        <v>270</v>
      </c>
      <c r="Z130" t="str">
        <f t="shared" si="23"/>
        <v>Motor 03</v>
      </c>
      <c r="AA130">
        <v>1994</v>
      </c>
      <c r="AD130" s="13" t="s">
        <v>7</v>
      </c>
      <c r="AF130" t="str">
        <f t="shared" si="24"/>
        <v>Electrobomba centrífugaMotor</v>
      </c>
      <c r="AG130" s="28" t="str">
        <f>VLOOKUP(AF130,Imagens!$C$2:$D$42,2,FALSE)</f>
        <v>65d04210323a4</v>
      </c>
      <c r="AH130" t="str">
        <f>_xlfn.CONCAT(Imagens!$H$2,'registo_ativo-CDs (1)'!AG130)</f>
        <v>assets/imagens/products/65d04210323a4</v>
      </c>
      <c r="AI130" s="67">
        <v>45306</v>
      </c>
      <c r="AK130" s="32"/>
    </row>
    <row r="131" spans="1:37" ht="19.8" customHeight="1" x14ac:dyDescent="0.3">
      <c r="A131">
        <f t="shared" si="27"/>
        <v>15</v>
      </c>
      <c r="B131" t="str">
        <f t="shared" si="25"/>
        <v>CD51BBG131QEA03</v>
      </c>
      <c r="C131" t="str">
        <f t="shared" si="26"/>
        <v>CD-MAX-BBG-EBC-QEA-03</v>
      </c>
      <c r="E131" t="s">
        <v>37</v>
      </c>
      <c r="F131" t="str">
        <f>VLOOKUP(E131,Localizacoes!$A$3:$B$100,2,FALSE)</f>
        <v>CD</v>
      </c>
      <c r="G131" t="str">
        <f>VLOOKUP(E131,ID!$A$3:$B$100,2,FALSE)</f>
        <v>CD</v>
      </c>
      <c r="H131" s="14" t="s">
        <v>32</v>
      </c>
      <c r="I131" t="str">
        <f>VLOOKUP(H131,Localizacoes!$C$3:$D$100,2,FALSE)</f>
        <v>MAX</v>
      </c>
      <c r="J131">
        <f>VLOOKUP(H131,ID!$C$3:$D$100,2,FALSE)</f>
        <v>51</v>
      </c>
      <c r="K131" t="s">
        <v>274</v>
      </c>
      <c r="L131" t="str">
        <f>VLOOKUP(K131,Localizacoes!$E$3:$F$100,2,FALSE)</f>
        <v>BBG</v>
      </c>
      <c r="M131" t="str">
        <f>VLOOKUP(K131,ID!$E$3:$F$100,2,FALSE)</f>
        <v>BBG</v>
      </c>
      <c r="N131" t="s">
        <v>704</v>
      </c>
      <c r="O131" t="str">
        <f>VLOOKUP(N131,Localizacoes!$G$3:$H$100,2,FALSE)</f>
        <v>EBC</v>
      </c>
      <c r="P131">
        <f>VLOOKUP(N131,ID!$G$3:$H$100,2,FALSE)</f>
        <v>131</v>
      </c>
      <c r="Q131" t="s">
        <v>154</v>
      </c>
      <c r="R131" t="str">
        <f>VLOOKUP(Q131,Localizacoes!$I$3:$J$100,2,FALSE)</f>
        <v>QEA</v>
      </c>
      <c r="S131" t="str">
        <f>VLOOKUP(Q131,ID!$I$3:$J$100,2,FALSE)</f>
        <v>QEA</v>
      </c>
      <c r="T131" s="4" t="s">
        <v>187</v>
      </c>
      <c r="U131" t="s">
        <v>265</v>
      </c>
      <c r="V131" t="s">
        <v>571</v>
      </c>
      <c r="W131" t="s">
        <v>571</v>
      </c>
      <c r="Y131" t="s">
        <v>270</v>
      </c>
      <c r="Z131" t="str">
        <f t="shared" si="23"/>
        <v>Quadros Eléctricos de Arranque 03</v>
      </c>
      <c r="AA131">
        <v>1994</v>
      </c>
      <c r="AD131" s="13" t="s">
        <v>267</v>
      </c>
      <c r="AF131" t="str">
        <f t="shared" si="24"/>
        <v>Electrobomba centrífugaQuadros Eléctricos de Arranque</v>
      </c>
      <c r="AG131" s="28" t="str">
        <f>VLOOKUP(AF131,Imagens!$C$2:$D$42,2,FALSE)</f>
        <v>65e8d2fa35c12</v>
      </c>
      <c r="AH131" t="str">
        <f>_xlfn.CONCAT(Imagens!$H$2,'registo_ativo-CDs (1)'!AG131)</f>
        <v>assets/imagens/products/65e8d2fa35c12</v>
      </c>
      <c r="AI131" s="67">
        <v>45362</v>
      </c>
      <c r="AK131" s="32"/>
    </row>
    <row r="132" spans="1:37" ht="19.8" customHeight="1" x14ac:dyDescent="0.3">
      <c r="A132">
        <f t="shared" si="27"/>
        <v>15</v>
      </c>
      <c r="B132" t="str">
        <f t="shared" si="25"/>
        <v>CD51BBG131VSU03</v>
      </c>
      <c r="C132" t="str">
        <f t="shared" si="26"/>
        <v>CD-MAX-BBG-EBC-VSU-03</v>
      </c>
      <c r="E132" t="s">
        <v>37</v>
      </c>
      <c r="F132" t="str">
        <f>VLOOKUP(E132,Localizacoes!$A$3:$B$100,2,FALSE)</f>
        <v>CD</v>
      </c>
      <c r="G132" t="str">
        <f>VLOOKUP(E132,ID!$A$3:$B$100,2,FALSE)</f>
        <v>CD</v>
      </c>
      <c r="H132" s="14" t="s">
        <v>32</v>
      </c>
      <c r="I132" t="str">
        <f>VLOOKUP(H132,Localizacoes!$C$3:$D$100,2,FALSE)</f>
        <v>MAX</v>
      </c>
      <c r="J132">
        <f>VLOOKUP(H132,ID!$C$3:$D$100,2,FALSE)</f>
        <v>51</v>
      </c>
      <c r="K132" t="s">
        <v>274</v>
      </c>
      <c r="L132" t="str">
        <f>VLOOKUP(K132,Localizacoes!$E$3:$F$100,2,FALSE)</f>
        <v>BBG</v>
      </c>
      <c r="M132" t="str">
        <f>VLOOKUP(K132,ID!$E$3:$F$100,2,FALSE)</f>
        <v>BBG</v>
      </c>
      <c r="N132" t="s">
        <v>704</v>
      </c>
      <c r="O132" t="str">
        <f>VLOOKUP(N132,Localizacoes!$G$3:$H$100,2,FALSE)</f>
        <v>EBC</v>
      </c>
      <c r="P132">
        <f>VLOOKUP(N132,ID!$G$3:$H$100,2,FALSE)</f>
        <v>131</v>
      </c>
      <c r="Q132" t="s">
        <v>276</v>
      </c>
      <c r="R132" t="str">
        <f>VLOOKUP(Q132,Localizacoes!$I$3:$J$100,2,FALSE)</f>
        <v>VSU</v>
      </c>
      <c r="S132" t="str">
        <f>VLOOKUP(Q132,ID!$I$3:$J$100,2,FALSE)</f>
        <v>VSU</v>
      </c>
      <c r="T132" s="4" t="s">
        <v>187</v>
      </c>
      <c r="U132" t="s">
        <v>264</v>
      </c>
      <c r="V132" t="s">
        <v>572</v>
      </c>
      <c r="W132" t="s">
        <v>573</v>
      </c>
      <c r="Y132" t="s">
        <v>270</v>
      </c>
      <c r="Z132" t="str">
        <f t="shared" si="23"/>
        <v>Válvula Sucção 03</v>
      </c>
      <c r="AA132">
        <v>1994</v>
      </c>
      <c r="AD132" s="13" t="s">
        <v>267</v>
      </c>
      <c r="AF132" t="str">
        <f t="shared" si="24"/>
        <v>Electrobomba centrífugaVálvula Sucção</v>
      </c>
      <c r="AG132" s="28" t="str">
        <f>VLOOKUP(AF132,Imagens!$C$2:$D$42,2,FALSE)</f>
        <v>65e8cda0676b7</v>
      </c>
      <c r="AH132" t="str">
        <f>_xlfn.CONCAT(Imagens!$H$2,'registo_ativo-CDs (1)'!AG132)</f>
        <v>assets/imagens/products/65e8cda0676b7</v>
      </c>
      <c r="AI132" s="67">
        <v>45362</v>
      </c>
      <c r="AK132" s="32"/>
    </row>
    <row r="133" spans="1:37" ht="19.8" customHeight="1" x14ac:dyDescent="0.3">
      <c r="A133">
        <f t="shared" si="27"/>
        <v>15</v>
      </c>
      <c r="B133" t="str">
        <f t="shared" si="25"/>
        <v>CD51BBG131VDE03</v>
      </c>
      <c r="C133" t="str">
        <f t="shared" si="26"/>
        <v>CD-MAX-BBG-EBC-VDE-03</v>
      </c>
      <c r="E133" t="s">
        <v>37</v>
      </c>
      <c r="F133" t="str">
        <f>VLOOKUP(E133,Localizacoes!$A$3:$B$100,2,FALSE)</f>
        <v>CD</v>
      </c>
      <c r="G133" t="str">
        <f>VLOOKUP(E133,ID!$A$3:$B$100,2,FALSE)</f>
        <v>CD</v>
      </c>
      <c r="H133" s="14" t="s">
        <v>32</v>
      </c>
      <c r="I133" t="str">
        <f>VLOOKUP(H133,Localizacoes!$C$3:$D$100,2,FALSE)</f>
        <v>MAX</v>
      </c>
      <c r="J133">
        <f>VLOOKUP(H133,ID!$C$3:$D$100,2,FALSE)</f>
        <v>51</v>
      </c>
      <c r="K133" t="s">
        <v>274</v>
      </c>
      <c r="L133" t="str">
        <f>VLOOKUP(K133,Localizacoes!$E$3:$F$100,2,FALSE)</f>
        <v>BBG</v>
      </c>
      <c r="M133" t="str">
        <f>VLOOKUP(K133,ID!$E$3:$F$100,2,FALSE)</f>
        <v>BBG</v>
      </c>
      <c r="N133" t="s">
        <v>704</v>
      </c>
      <c r="O133" t="str">
        <f>VLOOKUP(N133,Localizacoes!$G$3:$H$100,2,FALSE)</f>
        <v>EBC</v>
      </c>
      <c r="P133">
        <f>VLOOKUP(N133,ID!$G$3:$H$100,2,FALSE)</f>
        <v>131</v>
      </c>
      <c r="Q133" t="s">
        <v>279</v>
      </c>
      <c r="R133" t="str">
        <f>VLOOKUP(Q133,Localizacoes!$I$3:$J$100,2,FALSE)</f>
        <v>VDE</v>
      </c>
      <c r="S133" t="str">
        <f>VLOOKUP(Q133,ID!$I$3:$J$100,2,FALSE)</f>
        <v>VDE</v>
      </c>
      <c r="T133" s="4" t="s">
        <v>187</v>
      </c>
      <c r="U133" t="s">
        <v>264</v>
      </c>
      <c r="V133" t="s">
        <v>572</v>
      </c>
      <c r="W133" t="s">
        <v>573</v>
      </c>
      <c r="Y133" t="s">
        <v>270</v>
      </c>
      <c r="Z133" t="str">
        <f t="shared" si="23"/>
        <v>Válvula Descarga 03</v>
      </c>
      <c r="AA133">
        <v>1994</v>
      </c>
      <c r="AD133" s="13" t="s">
        <v>267</v>
      </c>
      <c r="AF133" t="str">
        <f t="shared" si="24"/>
        <v>Electrobomba centrífugaVálvula Descarga</v>
      </c>
      <c r="AG133" s="28" t="str">
        <f>VLOOKUP(AF133,Imagens!$C$2:$D$42,2,FALSE)</f>
        <v>65e8cda0676b7</v>
      </c>
      <c r="AH133" t="str">
        <f>_xlfn.CONCAT(Imagens!$H$2,'registo_ativo-CDs (1)'!AG133)</f>
        <v>assets/imagens/products/65e8cda0676b7</v>
      </c>
      <c r="AI133" s="67">
        <v>45362</v>
      </c>
      <c r="AK133" s="32"/>
    </row>
    <row r="134" spans="1:37" ht="19.8" customHeight="1" x14ac:dyDescent="0.3">
      <c r="A134">
        <f t="shared" si="27"/>
        <v>15</v>
      </c>
      <c r="B134" t="str">
        <f t="shared" si="25"/>
        <v>CD51BBG165QMT01</v>
      </c>
      <c r="C134" t="str">
        <f t="shared" si="26"/>
        <v>CD-MAX-BBG-SUB-QMT-01</v>
      </c>
      <c r="E134" t="s">
        <v>37</v>
      </c>
      <c r="F134" t="str">
        <f>VLOOKUP(E134,Localizacoes!$A$3:$B$100,2,FALSE)</f>
        <v>CD</v>
      </c>
      <c r="G134" t="str">
        <f>VLOOKUP(E134,ID!$A$3:$B$100,2,FALSE)</f>
        <v>CD</v>
      </c>
      <c r="H134" s="14" t="s">
        <v>32</v>
      </c>
      <c r="I134" t="str">
        <f>VLOOKUP(H134,Localizacoes!$C$3:$D$100,2,FALSE)</f>
        <v>MAX</v>
      </c>
      <c r="J134">
        <f>VLOOKUP(H134,ID!$C$3:$D$100,2,FALSE)</f>
        <v>51</v>
      </c>
      <c r="K134" t="s">
        <v>274</v>
      </c>
      <c r="L134" t="str">
        <f>VLOOKUP(K134,Localizacoes!$E$3:$F$100,2,FALSE)</f>
        <v>BBG</v>
      </c>
      <c r="M134" t="str">
        <f>VLOOKUP(K134,ID!$E$3:$F$100,2,FALSE)</f>
        <v>BBG</v>
      </c>
      <c r="N134" t="s">
        <v>112</v>
      </c>
      <c r="O134" t="str">
        <f>VLOOKUP(N134,Localizacoes!$G$3:$H$100,2,FALSE)</f>
        <v>SUB</v>
      </c>
      <c r="P134">
        <f>VLOOKUP(N134,ID!$G$3:$H$100,2,FALSE)</f>
        <v>165</v>
      </c>
      <c r="Q134" t="s">
        <v>445</v>
      </c>
      <c r="R134" t="str">
        <f>VLOOKUP(Q134,Localizacoes!$I$3:$J$100,2,FALSE)</f>
        <v>QMT</v>
      </c>
      <c r="S134" t="str">
        <f>VLOOKUP(Q134,ID!$I$3:$J$100,2,FALSE)</f>
        <v>QMT</v>
      </c>
      <c r="T134" s="4" t="s">
        <v>182</v>
      </c>
      <c r="U134" t="s">
        <v>265</v>
      </c>
      <c r="Y134" t="s">
        <v>270</v>
      </c>
      <c r="Z134" t="str">
        <f t="shared" si="23"/>
        <v>Quadro de Media Tensão 01</v>
      </c>
      <c r="AA134">
        <v>1994</v>
      </c>
      <c r="AD134" s="13" t="s">
        <v>267</v>
      </c>
      <c r="AF134" t="str">
        <f t="shared" si="24"/>
        <v>SubestaçãoQuadro de Media Tensão</v>
      </c>
      <c r="AG134" s="28" t="str">
        <f>VLOOKUP(AF134,Imagens!$C$2:$D$42,2,FALSE)</f>
        <v>65d1346bf3835</v>
      </c>
      <c r="AH134" t="str">
        <f>_xlfn.CONCAT(Imagens!$H$2,'registo_ativo-CDs (1)'!AG134)</f>
        <v>assets/imagens/products/65d1346bf3835</v>
      </c>
      <c r="AI134" s="67">
        <v>45362</v>
      </c>
      <c r="AK134" s="32"/>
    </row>
    <row r="135" spans="1:37" ht="19.8" customHeight="1" x14ac:dyDescent="0.3">
      <c r="A135">
        <f t="shared" si="27"/>
        <v>15</v>
      </c>
      <c r="B135" t="str">
        <f t="shared" si="25"/>
        <v>CD51BBG165QMT02</v>
      </c>
      <c r="C135" t="str">
        <f t="shared" si="26"/>
        <v>CD-MAX-BBG-SUB-QMT-02</v>
      </c>
      <c r="E135" t="s">
        <v>37</v>
      </c>
      <c r="F135" t="str">
        <f>VLOOKUP(E135,Localizacoes!$A$3:$B$100,2,FALSE)</f>
        <v>CD</v>
      </c>
      <c r="G135" t="str">
        <f>VLOOKUP(E135,ID!$A$3:$B$100,2,FALSE)</f>
        <v>CD</v>
      </c>
      <c r="H135" s="14" t="s">
        <v>32</v>
      </c>
      <c r="I135" t="str">
        <f>VLOOKUP(H135,Localizacoes!$C$3:$D$100,2,FALSE)</f>
        <v>MAX</v>
      </c>
      <c r="J135">
        <f>VLOOKUP(H135,ID!$C$3:$D$100,2,FALSE)</f>
        <v>51</v>
      </c>
      <c r="K135" t="s">
        <v>274</v>
      </c>
      <c r="L135" t="str">
        <f>VLOOKUP(K135,Localizacoes!$E$3:$F$100,2,FALSE)</f>
        <v>BBG</v>
      </c>
      <c r="M135" t="str">
        <f>VLOOKUP(K135,ID!$E$3:$F$100,2,FALSE)</f>
        <v>BBG</v>
      </c>
      <c r="N135" t="s">
        <v>112</v>
      </c>
      <c r="O135" t="str">
        <f>VLOOKUP(N135,Localizacoes!$G$3:$H$100,2,FALSE)</f>
        <v>SUB</v>
      </c>
      <c r="P135">
        <f>VLOOKUP(N135,ID!$G$3:$H$100,2,FALSE)</f>
        <v>165</v>
      </c>
      <c r="Q135" t="s">
        <v>445</v>
      </c>
      <c r="R135" t="str">
        <f>VLOOKUP(Q135,Localizacoes!$I$3:$J$100,2,FALSE)</f>
        <v>QMT</v>
      </c>
      <c r="S135" t="str">
        <f>VLOOKUP(Q135,ID!$I$3:$J$100,2,FALSE)</f>
        <v>QMT</v>
      </c>
      <c r="T135" s="4" t="s">
        <v>186</v>
      </c>
      <c r="U135" t="s">
        <v>265</v>
      </c>
      <c r="Y135" t="s">
        <v>270</v>
      </c>
      <c r="Z135" t="str">
        <f t="shared" si="23"/>
        <v>Quadro de Media Tensão 02</v>
      </c>
      <c r="AA135">
        <v>1994</v>
      </c>
      <c r="AD135" s="13" t="s">
        <v>267</v>
      </c>
      <c r="AF135" t="str">
        <f t="shared" si="24"/>
        <v>SubestaçãoQuadro de Media Tensão</v>
      </c>
      <c r="AG135" s="28" t="str">
        <f>VLOOKUP(AF135,Imagens!$C$2:$D$42,2,FALSE)</f>
        <v>65d1346bf3835</v>
      </c>
      <c r="AH135" t="str">
        <f>_xlfn.CONCAT(Imagens!$H$2,'registo_ativo-CDs (1)'!AG135)</f>
        <v>assets/imagens/products/65d1346bf3835</v>
      </c>
      <c r="AI135" s="67">
        <v>45362</v>
      </c>
      <c r="AK135" s="32"/>
    </row>
    <row r="136" spans="1:37" ht="19.8" customHeight="1" x14ac:dyDescent="0.3">
      <c r="A136">
        <f t="shared" si="27"/>
        <v>15</v>
      </c>
      <c r="B136" t="str">
        <f t="shared" si="25"/>
        <v>CD51BBG152QBT03</v>
      </c>
      <c r="C136" t="str">
        <f t="shared" si="26"/>
        <v>CD-MAX-BBG-QEL-QBT-03</v>
      </c>
      <c r="E136" t="s">
        <v>37</v>
      </c>
      <c r="F136" t="str">
        <f>VLOOKUP(E136,Localizacoes!$A$3:$B$100,2,FALSE)</f>
        <v>CD</v>
      </c>
      <c r="G136" t="str">
        <f>VLOOKUP(E136,ID!$A$3:$B$100,2,FALSE)</f>
        <v>CD</v>
      </c>
      <c r="H136" s="14" t="s">
        <v>32</v>
      </c>
      <c r="I136" t="str">
        <f>VLOOKUP(H136,Localizacoes!$C$3:$D$100,2,FALSE)</f>
        <v>MAX</v>
      </c>
      <c r="J136">
        <f>VLOOKUP(H136,ID!$C$3:$D$100,2,FALSE)</f>
        <v>51</v>
      </c>
      <c r="K136" t="s">
        <v>274</v>
      </c>
      <c r="L136" t="str">
        <f>VLOOKUP(K136,Localizacoes!$E$3:$F$100,2,FALSE)</f>
        <v>BBG</v>
      </c>
      <c r="M136" t="str">
        <f>VLOOKUP(K136,ID!$E$3:$F$100,2,FALSE)</f>
        <v>BBG</v>
      </c>
      <c r="N136" t="s">
        <v>286</v>
      </c>
      <c r="O136" t="str">
        <f>VLOOKUP(N136,Localizacoes!$G$3:$H$100,2,FALSE)</f>
        <v>QEL</v>
      </c>
      <c r="P136">
        <f>VLOOKUP(N136,ID!$G$3:$H$100,2,FALSE)</f>
        <v>152</v>
      </c>
      <c r="Q136" t="s">
        <v>443</v>
      </c>
      <c r="R136" t="str">
        <f>VLOOKUP(Q136,Localizacoes!$I$3:$J$100,2,FALSE)</f>
        <v>QBT</v>
      </c>
      <c r="S136" t="str">
        <f>VLOOKUP(Q136,ID!$I$3:$J$100,2,FALSE)</f>
        <v>QBT</v>
      </c>
      <c r="T136" s="4" t="s">
        <v>187</v>
      </c>
      <c r="U136" t="s">
        <v>265</v>
      </c>
      <c r="Y136" t="s">
        <v>270</v>
      </c>
      <c r="Z136" t="str">
        <f t="shared" si="23"/>
        <v>Quadro de Baixa Tensão 03</v>
      </c>
      <c r="AA136">
        <v>1994</v>
      </c>
      <c r="AD136" s="13" t="s">
        <v>267</v>
      </c>
      <c r="AF136" t="str">
        <f t="shared" si="24"/>
        <v>Quadro EléctricoQuadro de Baixa Tensão</v>
      </c>
      <c r="AG136" s="28" t="str">
        <f>VLOOKUP(AF136,Imagens!$C$2:$D$42,2,FALSE)</f>
        <v>65d1346bf3835</v>
      </c>
      <c r="AH136" t="str">
        <f>_xlfn.CONCAT(Imagens!$H$2,'registo_ativo-CDs (1)'!AG136)</f>
        <v>assets/imagens/products/65d1346bf3835</v>
      </c>
      <c r="AI136" s="67">
        <v>45362</v>
      </c>
      <c r="AK136" s="32"/>
    </row>
    <row r="137" spans="1:37" ht="19.8" customHeight="1" x14ac:dyDescent="0.3">
      <c r="A137">
        <f t="shared" si="27"/>
        <v>15</v>
      </c>
      <c r="B137" t="str">
        <f t="shared" si="25"/>
        <v>CD51BBG152QBT04</v>
      </c>
      <c r="C137" t="str">
        <f t="shared" si="26"/>
        <v>CD-MAX-BBG-QEL-QBT-04</v>
      </c>
      <c r="E137" t="s">
        <v>37</v>
      </c>
      <c r="F137" t="str">
        <f>VLOOKUP(E137,Localizacoes!$A$3:$B$100,2,FALSE)</f>
        <v>CD</v>
      </c>
      <c r="G137" t="str">
        <f>VLOOKUP(E137,ID!$A$3:$B$100,2,FALSE)</f>
        <v>CD</v>
      </c>
      <c r="H137" s="14" t="s">
        <v>32</v>
      </c>
      <c r="I137" t="str">
        <f>VLOOKUP(H137,Localizacoes!$C$3:$D$100,2,FALSE)</f>
        <v>MAX</v>
      </c>
      <c r="J137">
        <f>VLOOKUP(H137,ID!$C$3:$D$100,2,FALSE)</f>
        <v>51</v>
      </c>
      <c r="K137" t="s">
        <v>274</v>
      </c>
      <c r="L137" t="str">
        <f>VLOOKUP(K137,Localizacoes!$E$3:$F$100,2,FALSE)</f>
        <v>BBG</v>
      </c>
      <c r="M137" t="str">
        <f>VLOOKUP(K137,ID!$E$3:$F$100,2,FALSE)</f>
        <v>BBG</v>
      </c>
      <c r="N137" t="s">
        <v>286</v>
      </c>
      <c r="O137" t="str">
        <f>VLOOKUP(N137,Localizacoes!$G$3:$H$100,2,FALSE)</f>
        <v>QEL</v>
      </c>
      <c r="P137">
        <f>VLOOKUP(N137,ID!$G$3:$H$100,2,FALSE)</f>
        <v>152</v>
      </c>
      <c r="Q137" t="s">
        <v>443</v>
      </c>
      <c r="R137" t="str">
        <f>VLOOKUP(Q137,Localizacoes!$I$3:$J$100,2,FALSE)</f>
        <v>QBT</v>
      </c>
      <c r="S137" t="str">
        <f>VLOOKUP(Q137,ID!$I$3:$J$100,2,FALSE)</f>
        <v>QBT</v>
      </c>
      <c r="T137" s="4" t="s">
        <v>188</v>
      </c>
      <c r="U137" t="s">
        <v>265</v>
      </c>
      <c r="Y137" t="s">
        <v>270</v>
      </c>
      <c r="Z137" t="str">
        <f t="shared" si="23"/>
        <v>Quadro de Baixa Tensão 04</v>
      </c>
      <c r="AA137">
        <v>1994</v>
      </c>
      <c r="AD137" s="13" t="s">
        <v>267</v>
      </c>
      <c r="AF137" t="str">
        <f t="shared" si="24"/>
        <v>Quadro EléctricoQuadro de Baixa Tensão</v>
      </c>
      <c r="AG137" s="28" t="str">
        <f>VLOOKUP(AF137,Imagens!$C$2:$D$42,2,FALSE)</f>
        <v>65d1346bf3835</v>
      </c>
      <c r="AH137" t="str">
        <f>_xlfn.CONCAT(Imagens!$H$2,'registo_ativo-CDs (1)'!AG137)</f>
        <v>assets/imagens/products/65d1346bf3835</v>
      </c>
      <c r="AI137" s="67">
        <v>45362</v>
      </c>
      <c r="AK137" s="32"/>
    </row>
    <row r="138" spans="1:37" ht="19.8" customHeight="1" x14ac:dyDescent="0.3">
      <c r="A138">
        <f t="shared" si="27"/>
        <v>15</v>
      </c>
      <c r="B138" t="str">
        <f t="shared" si="25"/>
        <v>CD51BBG152QBT05</v>
      </c>
      <c r="C138" t="str">
        <f t="shared" si="26"/>
        <v>CD-MAX-BBG-QEL-QBT-05</v>
      </c>
      <c r="E138" t="s">
        <v>37</v>
      </c>
      <c r="F138" t="str">
        <f>VLOOKUP(E138,Localizacoes!$A$3:$B$100,2,FALSE)</f>
        <v>CD</v>
      </c>
      <c r="G138" t="str">
        <f>VLOOKUP(E138,ID!$A$3:$B$100,2,FALSE)</f>
        <v>CD</v>
      </c>
      <c r="H138" s="14" t="s">
        <v>32</v>
      </c>
      <c r="I138" t="str">
        <f>VLOOKUP(H138,Localizacoes!$C$3:$D$100,2,FALSE)</f>
        <v>MAX</v>
      </c>
      <c r="J138">
        <f>VLOOKUP(H138,ID!$C$3:$D$100,2,FALSE)</f>
        <v>51</v>
      </c>
      <c r="K138" t="s">
        <v>274</v>
      </c>
      <c r="L138" t="str">
        <f>VLOOKUP(K138,Localizacoes!$E$3:$F$100,2,FALSE)</f>
        <v>BBG</v>
      </c>
      <c r="M138" t="str">
        <f>VLOOKUP(K138,ID!$E$3:$F$100,2,FALSE)</f>
        <v>BBG</v>
      </c>
      <c r="N138" t="s">
        <v>286</v>
      </c>
      <c r="O138" t="str">
        <f>VLOOKUP(N138,Localizacoes!$G$3:$H$100,2,FALSE)</f>
        <v>QEL</v>
      </c>
      <c r="P138">
        <f>VLOOKUP(N138,ID!$G$3:$H$100,2,FALSE)</f>
        <v>152</v>
      </c>
      <c r="Q138" t="s">
        <v>443</v>
      </c>
      <c r="R138" t="str">
        <f>VLOOKUP(Q138,Localizacoes!$I$3:$J$100,2,FALSE)</f>
        <v>QBT</v>
      </c>
      <c r="S138" t="str">
        <f>VLOOKUP(Q138,ID!$I$3:$J$100,2,FALSE)</f>
        <v>QBT</v>
      </c>
      <c r="T138" s="4" t="s">
        <v>189</v>
      </c>
      <c r="U138" t="s">
        <v>265</v>
      </c>
      <c r="Y138" t="s">
        <v>270</v>
      </c>
      <c r="Z138" t="str">
        <f t="shared" si="23"/>
        <v>Quadro de Baixa Tensão 05</v>
      </c>
      <c r="AA138">
        <v>1994</v>
      </c>
      <c r="AD138" s="13" t="s">
        <v>267</v>
      </c>
      <c r="AF138" t="str">
        <f t="shared" si="24"/>
        <v>Quadro EléctricoQuadro de Baixa Tensão</v>
      </c>
      <c r="AG138" s="28" t="str">
        <f>VLOOKUP(AF138,Imagens!$C$2:$D$42,2,FALSE)</f>
        <v>65d1346bf3835</v>
      </c>
      <c r="AH138" t="str">
        <f>_xlfn.CONCAT(Imagens!$H$2,'registo_ativo-CDs (1)'!AG138)</f>
        <v>assets/imagens/products/65d1346bf3835</v>
      </c>
      <c r="AI138" s="67">
        <v>45362</v>
      </c>
      <c r="AK138" s="32"/>
    </row>
    <row r="139" spans="1:37" ht="19.8" customHeight="1" x14ac:dyDescent="0.3">
      <c r="A139">
        <f t="shared" si="27"/>
        <v>15</v>
      </c>
      <c r="B139" t="str">
        <f t="shared" si="25"/>
        <v>CD51BBG164ILL06</v>
      </c>
      <c r="C139" t="str">
        <f t="shared" si="26"/>
        <v>CD-MAX-BBG-SIL-ILL-06</v>
      </c>
      <c r="E139" t="s">
        <v>37</v>
      </c>
      <c r="F139" t="str">
        <f>VLOOKUP(E139,Localizacoes!$A$3:$B$100,2,FALSE)</f>
        <v>CD</v>
      </c>
      <c r="G139" t="str">
        <f>VLOOKUP(E139,ID!$A$3:$B$100,2,FALSE)</f>
        <v>CD</v>
      </c>
      <c r="H139" s="14" t="s">
        <v>32</v>
      </c>
      <c r="I139" t="str">
        <f>VLOOKUP(H139,Localizacoes!$C$3:$D$100,2,FALSE)</f>
        <v>MAX</v>
      </c>
      <c r="J139">
        <f>VLOOKUP(H139,ID!$C$3:$D$100,2,FALSE)</f>
        <v>51</v>
      </c>
      <c r="K139" t="s">
        <v>274</v>
      </c>
      <c r="L139" t="str">
        <f>VLOOKUP(K139,Localizacoes!$E$3:$F$100,2,FALSE)</f>
        <v>BBG</v>
      </c>
      <c r="M139" t="str">
        <f>VLOOKUP(K139,ID!$E$3:$F$100,2,FALSE)</f>
        <v>BBG</v>
      </c>
      <c r="N139" t="s">
        <v>688</v>
      </c>
      <c r="O139" t="str">
        <f>VLOOKUP(N139,Localizacoes!$G$3:$H$100,2,FALSE)</f>
        <v>SIL</v>
      </c>
      <c r="P139">
        <f>VLOOKUP(N139,ID!$G$3:$H$100,2,FALSE)</f>
        <v>164</v>
      </c>
      <c r="Q139" t="s">
        <v>141</v>
      </c>
      <c r="R139" t="str">
        <f>VLOOKUP(Q139,Localizacoes!$I$3:$J$100,2,FALSE)</f>
        <v>ILL</v>
      </c>
      <c r="S139" t="str">
        <f>VLOOKUP(Q139,ID!$I$3:$J$100,2,FALSE)</f>
        <v>ILL</v>
      </c>
      <c r="T139" s="4" t="s">
        <v>190</v>
      </c>
      <c r="U139" t="s">
        <v>265</v>
      </c>
      <c r="Y139" t="s">
        <v>270</v>
      </c>
      <c r="Z139" t="str">
        <f t="shared" si="23"/>
        <v>Iluminação 06</v>
      </c>
      <c r="AA139">
        <v>1994</v>
      </c>
      <c r="AD139" s="13" t="s">
        <v>267</v>
      </c>
      <c r="AF139" t="str">
        <f t="shared" si="24"/>
        <v>Sistema de IluminaçãoIluminação</v>
      </c>
      <c r="AG139" s="28" t="str">
        <f>VLOOKUP(AF139,Imagens!$C$2:$D$42,2,FALSE)</f>
        <v>65e8e579bfe6c</v>
      </c>
      <c r="AH139" t="str">
        <f>_xlfn.CONCAT(Imagens!$H$2,'registo_ativo-CDs (1)'!AG139)</f>
        <v>assets/imagens/products/65e8e579bfe6c</v>
      </c>
      <c r="AI139" s="67">
        <v>45397</v>
      </c>
      <c r="AK139" s="32"/>
    </row>
    <row r="140" spans="1:37" ht="19.8" customHeight="1" x14ac:dyDescent="0.3">
      <c r="A140">
        <f t="shared" si="27"/>
        <v>15</v>
      </c>
      <c r="B140" t="str">
        <f t="shared" si="25"/>
        <v>CD51CAN152CAN01</v>
      </c>
      <c r="C140" t="str">
        <f t="shared" si="26"/>
        <v>CD-MAX-CAN-QEL-CAN-01</v>
      </c>
      <c r="E140" t="s">
        <v>37</v>
      </c>
      <c r="F140" t="str">
        <f>VLOOKUP(E140,Localizacoes!$A$3:$B$100,2,FALSE)</f>
        <v>CD</v>
      </c>
      <c r="G140" t="str">
        <f>VLOOKUP(E140,ID!$A$3:$B$100,2,FALSE)</f>
        <v>CD</v>
      </c>
      <c r="H140" s="14" t="s">
        <v>32</v>
      </c>
      <c r="I140" t="str">
        <f>VLOOKUP(H140,Localizacoes!$C$3:$D$100,2,FALSE)</f>
        <v>MAX</v>
      </c>
      <c r="J140">
        <f>VLOOKUP(H140,ID!$C$3:$D$100,2,FALSE)</f>
        <v>51</v>
      </c>
      <c r="K140" t="s">
        <v>101</v>
      </c>
      <c r="L140" t="str">
        <f>VLOOKUP(K140,Localizacoes!$E$3:$F$100,2,FALSE)</f>
        <v>CAN</v>
      </c>
      <c r="M140" t="str">
        <f>VLOOKUP(K140,ID!$E$3:$F$100,2,FALSE)</f>
        <v>CAN</v>
      </c>
      <c r="N140" t="s">
        <v>286</v>
      </c>
      <c r="O140" t="str">
        <f>VLOOKUP(N140,Localizacoes!$G$3:$H$100,2,FALSE)</f>
        <v>QEL</v>
      </c>
      <c r="P140">
        <f>VLOOKUP(N140,ID!$G$3:$H$100,2,FALSE)</f>
        <v>152</v>
      </c>
      <c r="Q140" t="s">
        <v>101</v>
      </c>
      <c r="R140" t="str">
        <f>VLOOKUP(Q140,Localizacoes!$I$3:$J$100,2,FALSE)</f>
        <v>CAN</v>
      </c>
      <c r="S140" t="str">
        <f>VLOOKUP(Q140,ID!$I$3:$J$100,2,FALSE)</f>
        <v>CAN</v>
      </c>
      <c r="T140" s="4" t="s">
        <v>182</v>
      </c>
      <c r="U140" t="s">
        <v>265</v>
      </c>
      <c r="Y140" t="s">
        <v>577</v>
      </c>
      <c r="Z140" t="str">
        <f t="shared" si="23"/>
        <v>Canalização Eléctrica 01</v>
      </c>
      <c r="AA140">
        <v>1994</v>
      </c>
      <c r="AD140" s="13" t="s">
        <v>266</v>
      </c>
      <c r="AF140" t="str">
        <f t="shared" si="24"/>
        <v>Quadro EléctricoCanalização Eléctrica</v>
      </c>
      <c r="AG140" s="28" t="str">
        <f>VLOOKUP(AF140,Imagens!$C$2:$D$42,2,FALSE)</f>
        <v>65e8e4bb71249</v>
      </c>
      <c r="AH140" t="str">
        <f>_xlfn.CONCAT(Imagens!$H$2,'registo_ativo-CDs (1)'!AG140)</f>
        <v>assets/imagens/products/65e8e4bb71249</v>
      </c>
      <c r="AI140" s="67">
        <v>45446</v>
      </c>
      <c r="AK140" s="32"/>
    </row>
    <row r="141" spans="1:37" ht="19.8" customHeight="1" x14ac:dyDescent="0.3">
      <c r="A141">
        <f t="shared" si="27"/>
        <v>15</v>
      </c>
      <c r="B141" t="str">
        <f t="shared" si="25"/>
        <v>CD51BBG146SEN01</v>
      </c>
      <c r="C141" t="str">
        <f t="shared" si="26"/>
        <v>CD-MAX-BBG-MDD-SEN-01</v>
      </c>
      <c r="E141" t="s">
        <v>37</v>
      </c>
      <c r="F141" t="str">
        <f>VLOOKUP(E141,Localizacoes!$A$3:$B$100,2,FALSE)</f>
        <v>CD</v>
      </c>
      <c r="G141" t="str">
        <f>VLOOKUP(E141,ID!$A$3:$B$100,2,FALSE)</f>
        <v>CD</v>
      </c>
      <c r="H141" s="14" t="s">
        <v>32</v>
      </c>
      <c r="I141" t="str">
        <f>VLOOKUP(H141,Localizacoes!$C$3:$D$100,2,FALSE)</f>
        <v>MAX</v>
      </c>
      <c r="J141">
        <f>VLOOKUP(H141,ID!$C$3:$D$100,2,FALSE)</f>
        <v>51</v>
      </c>
      <c r="K141" t="s">
        <v>274</v>
      </c>
      <c r="L141" t="str">
        <f>VLOOKUP(K141,Localizacoes!$E$3:$F$100,2,FALSE)</f>
        <v>BBG</v>
      </c>
      <c r="M141" t="str">
        <f>VLOOKUP(K141,ID!$E$3:$F$100,2,FALSE)</f>
        <v>BBG</v>
      </c>
      <c r="N141" t="s">
        <v>672</v>
      </c>
      <c r="O141" t="str">
        <f>VLOOKUP(N141,Localizacoes!$G$3:$H$100,2,FALSE)</f>
        <v>MDD</v>
      </c>
      <c r="P141">
        <f>VLOOKUP(N141,ID!$G$3:$H$100,2,FALSE)</f>
        <v>146</v>
      </c>
      <c r="Q141" t="s">
        <v>328</v>
      </c>
      <c r="R141" t="str">
        <f>VLOOKUP(Q141,Localizacoes!$I$3:$J$100,2,FALSE)</f>
        <v>SEN</v>
      </c>
      <c r="S141" t="str">
        <f>VLOOKUP(Q141,ID!$I$3:$J$100,2,FALSE)</f>
        <v>SEN</v>
      </c>
      <c r="T141" s="4" t="s">
        <v>182</v>
      </c>
      <c r="U141" t="s">
        <v>265</v>
      </c>
      <c r="Y141" t="s">
        <v>270</v>
      </c>
      <c r="Z141" t="str">
        <f t="shared" si="23"/>
        <v>Sensor 01</v>
      </c>
      <c r="AA141">
        <v>1994</v>
      </c>
      <c r="AD141" s="13" t="s">
        <v>266</v>
      </c>
      <c r="AF141" t="str">
        <f t="shared" si="24"/>
        <v>MedidorSensor</v>
      </c>
      <c r="AG141" s="28" t="str">
        <f>VLOOKUP(AF141,Imagens!$C$2:$D$42,2,FALSE)</f>
        <v>65e964e49a1c5</v>
      </c>
      <c r="AH141" t="str">
        <f>_xlfn.CONCAT(Imagens!$H$2,'registo_ativo-CDs (1)'!AG141)</f>
        <v>assets/imagens/products/65e964e49a1c5</v>
      </c>
      <c r="AI141" s="67">
        <v>45446</v>
      </c>
      <c r="AK141" s="32"/>
    </row>
    <row r="142" spans="1:37" ht="19.8" customHeight="1" x14ac:dyDescent="0.3">
      <c r="A142">
        <f t="shared" si="27"/>
        <v>15</v>
      </c>
      <c r="B142" t="str">
        <f t="shared" si="25"/>
        <v>CD51SB1165TRA01</v>
      </c>
      <c r="C142" t="str">
        <f t="shared" si="26"/>
        <v>CD-MAX-SB1-SUB-TRA-01</v>
      </c>
      <c r="E142" t="s">
        <v>37</v>
      </c>
      <c r="F142" t="str">
        <f>VLOOKUP(E142,Localizacoes!$A$3:$B$100,2,FALSE)</f>
        <v>CD</v>
      </c>
      <c r="G142" t="str">
        <f>VLOOKUP(E142,ID!$A$3:$B$100,2,FALSE)</f>
        <v>CD</v>
      </c>
      <c r="H142" s="14" t="s">
        <v>32</v>
      </c>
      <c r="I142" t="str">
        <f>VLOOKUP(H142,Localizacoes!$C$3:$D$100,2,FALSE)</f>
        <v>MAX</v>
      </c>
      <c r="J142">
        <f>VLOOKUP(H142,ID!$C$3:$D$100,2,FALSE)</f>
        <v>51</v>
      </c>
      <c r="K142" t="s">
        <v>127</v>
      </c>
      <c r="L142" t="str">
        <f>VLOOKUP(K142,Localizacoes!$E$3:$F$100,2,FALSE)</f>
        <v>SB1</v>
      </c>
      <c r="M142" t="str">
        <f>VLOOKUP(K142,ID!$E$3:$F$100,2,FALSE)</f>
        <v>SB1</v>
      </c>
      <c r="N142" t="s">
        <v>112</v>
      </c>
      <c r="O142" t="str">
        <f>VLOOKUP(N142,Localizacoes!$G$3:$H$100,2,FALSE)</f>
        <v>SUB</v>
      </c>
      <c r="P142">
        <f>VLOOKUP(N142,ID!$G$3:$H$100,2,FALSE)</f>
        <v>165</v>
      </c>
      <c r="Q142" t="s">
        <v>176</v>
      </c>
      <c r="R142" t="str">
        <f>VLOOKUP(Q142,Localizacoes!$I$3:$J$100,2,FALSE)</f>
        <v>TRA</v>
      </c>
      <c r="S142" t="str">
        <f>VLOOKUP(Q142,ID!$I$3:$J$100,2,FALSE)</f>
        <v>TRA</v>
      </c>
      <c r="T142" s="4" t="s">
        <v>182</v>
      </c>
      <c r="U142" t="s">
        <v>265</v>
      </c>
      <c r="V142" t="s">
        <v>574</v>
      </c>
      <c r="W142" t="s">
        <v>575</v>
      </c>
      <c r="Y142" t="s">
        <v>270</v>
      </c>
      <c r="Z142" t="str">
        <f t="shared" si="23"/>
        <v>Transformador 01</v>
      </c>
      <c r="AA142">
        <v>1994</v>
      </c>
      <c r="AD142" s="13" t="s">
        <v>267</v>
      </c>
      <c r="AF142" t="str">
        <f t="shared" si="24"/>
        <v>SubestaçãoTransformador</v>
      </c>
      <c r="AG142" s="28" t="str">
        <f>VLOOKUP(AF142,Imagens!$C$2:$D$42,2,FALSE)</f>
        <v>65e8d98d73a3d</v>
      </c>
      <c r="AH142" t="str">
        <f>_xlfn.CONCAT(Imagens!$H$2,'registo_ativo-CDs (1)'!AG142)</f>
        <v>assets/imagens/products/65e8d98d73a3d</v>
      </c>
      <c r="AI142" s="67">
        <v>45306</v>
      </c>
      <c r="AK142" s="32"/>
    </row>
    <row r="143" spans="1:37" ht="19.8" customHeight="1" x14ac:dyDescent="0.3">
      <c r="A143">
        <f t="shared" si="27"/>
        <v>15</v>
      </c>
      <c r="B143" t="str">
        <f t="shared" si="25"/>
        <v>CD51BBG165GEL01</v>
      </c>
      <c r="C143" t="str">
        <f t="shared" si="26"/>
        <v>CD-MAX-BBG-SUB-GEL-01</v>
      </c>
      <c r="E143" t="s">
        <v>37</v>
      </c>
      <c r="F143" t="str">
        <f>VLOOKUP(E143,Localizacoes!$A$3:$B$100,2,FALSE)</f>
        <v>CD</v>
      </c>
      <c r="G143" t="str">
        <f>VLOOKUP(E143,ID!$A$3:$B$100,2,FALSE)</f>
        <v>CD</v>
      </c>
      <c r="H143" s="14" t="s">
        <v>32</v>
      </c>
      <c r="I143" t="str">
        <f>VLOOKUP(H143,Localizacoes!$C$3:$D$100,2,FALSE)</f>
        <v>MAX</v>
      </c>
      <c r="J143">
        <f>VLOOKUP(H143,ID!$C$3:$D$100,2,FALSE)</f>
        <v>51</v>
      </c>
      <c r="K143" t="s">
        <v>274</v>
      </c>
      <c r="L143" t="str">
        <f>VLOOKUP(K143,Localizacoes!$E$3:$F$100,2,FALSE)</f>
        <v>BBG</v>
      </c>
      <c r="M143" t="str">
        <f>VLOOKUP(K143,ID!$E$3:$F$100,2,FALSE)</f>
        <v>BBG</v>
      </c>
      <c r="N143" t="s">
        <v>112</v>
      </c>
      <c r="O143" t="str">
        <f>VLOOKUP(N143,Localizacoes!$G$3:$H$100,2,FALSE)</f>
        <v>SUB</v>
      </c>
      <c r="P143">
        <f>VLOOKUP(N143,ID!$G$3:$H$100,2,FALSE)</f>
        <v>165</v>
      </c>
      <c r="Q143" t="s">
        <v>654</v>
      </c>
      <c r="R143" t="str">
        <f>VLOOKUP(Q143,Localizacoes!$I$3:$J$100,2,FALSE)</f>
        <v>GEL</v>
      </c>
      <c r="S143" t="str">
        <f>VLOOKUP(Q143,ID!$I$3:$J$100,2,FALSE)</f>
        <v>GEL</v>
      </c>
      <c r="T143" s="4" t="s">
        <v>182</v>
      </c>
      <c r="U143" t="s">
        <v>265</v>
      </c>
      <c r="Y143" t="s">
        <v>270</v>
      </c>
      <c r="Z143" t="str">
        <f t="shared" si="23"/>
        <v>Gerador Eléctrica 01</v>
      </c>
      <c r="AA143"/>
      <c r="AD143" s="13" t="s">
        <v>7</v>
      </c>
      <c r="AF143" t="str">
        <f t="shared" si="24"/>
        <v>SubestaçãoGerador Eléctrica</v>
      </c>
      <c r="AG143" s="28" t="str">
        <f>VLOOKUP(AF143,Imagens!$C$2:$D$42,2,FALSE)</f>
        <v>65e8da741759f</v>
      </c>
      <c r="AH143" t="str">
        <f>_xlfn.CONCAT(Imagens!$H$2,'registo_ativo-CDs (1)'!AG143)</f>
        <v>assets/imagens/products/65e8da741759f</v>
      </c>
      <c r="AI143" s="67">
        <v>45306</v>
      </c>
      <c r="AK143" s="32"/>
    </row>
    <row r="144" spans="1:37" ht="19.8" customHeight="1" x14ac:dyDescent="0.3">
      <c r="A144">
        <f t="shared" si="27"/>
        <v>15</v>
      </c>
      <c r="B144" t="str">
        <f t="shared" si="25"/>
        <v>CD51BBG165GMC02</v>
      </c>
      <c r="C144" t="str">
        <f t="shared" si="26"/>
        <v>CD-MAX-BBG-SUB-GMC-02</v>
      </c>
      <c r="E144" t="s">
        <v>37</v>
      </c>
      <c r="F144" t="str">
        <f>VLOOKUP(E144,Localizacoes!$A$3:$B$100,2,FALSE)</f>
        <v>CD</v>
      </c>
      <c r="G144" t="str">
        <f>VLOOKUP(E144,ID!$A$3:$B$100,2,FALSE)</f>
        <v>CD</v>
      </c>
      <c r="H144" s="14" t="s">
        <v>32</v>
      </c>
      <c r="I144" t="str">
        <f>VLOOKUP(H144,Localizacoes!$C$3:$D$100,2,FALSE)</f>
        <v>MAX</v>
      </c>
      <c r="J144">
        <f>VLOOKUP(H144,ID!$C$3:$D$100,2,FALSE)</f>
        <v>51</v>
      </c>
      <c r="K144" t="s">
        <v>274</v>
      </c>
      <c r="L144" t="str">
        <f>VLOOKUP(K144,Localizacoes!$E$3:$F$100,2,FALSE)</f>
        <v>BBG</v>
      </c>
      <c r="M144" t="str">
        <f>VLOOKUP(K144,ID!$E$3:$F$100,2,FALSE)</f>
        <v>BBG</v>
      </c>
      <c r="N144" t="s">
        <v>112</v>
      </c>
      <c r="O144" t="str">
        <f>VLOOKUP(N144,Localizacoes!$G$3:$H$100,2,FALSE)</f>
        <v>SUB</v>
      </c>
      <c r="P144">
        <f>VLOOKUP(N144,ID!$G$3:$H$100,2,FALSE)</f>
        <v>165</v>
      </c>
      <c r="Q144" t="s">
        <v>658</v>
      </c>
      <c r="R144" t="str">
        <f>VLOOKUP(Q144,Localizacoes!$I$3:$J$100,2,FALSE)</f>
        <v>GMC</v>
      </c>
      <c r="S144" t="str">
        <f>VLOOKUP(Q144,ID!$I$3:$J$100,2,FALSE)</f>
        <v>GMC</v>
      </c>
      <c r="T144" s="4" t="s">
        <v>186</v>
      </c>
      <c r="U144" t="s">
        <v>264</v>
      </c>
      <c r="Y144" t="s">
        <v>270</v>
      </c>
      <c r="Z144" t="str">
        <f t="shared" ref="Z144:Z150" si="33">Q144&amp;" "&amp; T144</f>
        <v>Gerador Mecânica 02</v>
      </c>
      <c r="AA144"/>
      <c r="AD144" s="13" t="s">
        <v>7</v>
      </c>
      <c r="AF144" t="str">
        <f t="shared" si="24"/>
        <v>SubestaçãoGerador Mecânica</v>
      </c>
      <c r="AG144" s="28" t="str">
        <f>VLOOKUP(AF144,Imagens!$C$2:$D$42,2,FALSE)</f>
        <v>65e8da741759f</v>
      </c>
      <c r="AH144" t="str">
        <f>_xlfn.CONCAT(Imagens!$H$2,'registo_ativo-CDs (1)'!AG144)</f>
        <v>assets/imagens/products/65e8da741759f</v>
      </c>
      <c r="AI144" s="67">
        <v>45306</v>
      </c>
      <c r="AK144" s="32"/>
    </row>
    <row r="145" spans="1:37" ht="19.8" customHeight="1" x14ac:dyDescent="0.3">
      <c r="A145">
        <f t="shared" si="27"/>
        <v>15</v>
      </c>
      <c r="B145" t="str">
        <f t="shared" si="25"/>
        <v>CD51BBG146MCD01</v>
      </c>
      <c r="C145" t="str">
        <f t="shared" si="26"/>
        <v>CD-MAX-BBG-MDD-MCD-01</v>
      </c>
      <c r="E145" t="s">
        <v>37</v>
      </c>
      <c r="F145" t="str">
        <f>VLOOKUP(E145,Localizacoes!$A$3:$B$100,2,FALSE)</f>
        <v>CD</v>
      </c>
      <c r="G145" t="str">
        <f>VLOOKUP(E145,ID!$A$3:$B$100,2,FALSE)</f>
        <v>CD</v>
      </c>
      <c r="H145" s="14" t="s">
        <v>32</v>
      </c>
      <c r="I145" t="str">
        <f>VLOOKUP(H145,Localizacoes!$C$3:$D$100,2,FALSE)</f>
        <v>MAX</v>
      </c>
      <c r="J145">
        <f>VLOOKUP(H145,ID!$C$3:$D$100,2,FALSE)</f>
        <v>51</v>
      </c>
      <c r="K145" t="s">
        <v>274</v>
      </c>
      <c r="L145" t="str">
        <f>VLOOKUP(K145,Localizacoes!$E$3:$F$100,2,FALSE)</f>
        <v>BBG</v>
      </c>
      <c r="M145" t="str">
        <f>VLOOKUP(K145,ID!$E$3:$F$100,2,FALSE)</f>
        <v>BBG</v>
      </c>
      <c r="N145" t="s">
        <v>672</v>
      </c>
      <c r="O145" t="str">
        <f>VLOOKUP(N145,Localizacoes!$G$3:$H$100,2,FALSE)</f>
        <v>MDD</v>
      </c>
      <c r="P145">
        <f>VLOOKUP(N145,ID!$G$3:$H$100,2,FALSE)</f>
        <v>146</v>
      </c>
      <c r="Q145" t="s">
        <v>370</v>
      </c>
      <c r="R145" t="str">
        <f>VLOOKUP(Q145,Localizacoes!$I$3:$J$100,2,FALSE)</f>
        <v>MCD</v>
      </c>
      <c r="S145" t="str">
        <f>VLOOKUP(Q145,ID!$I$3:$J$100,2,FALSE)</f>
        <v>MCD</v>
      </c>
      <c r="T145" s="4" t="s">
        <v>182</v>
      </c>
      <c r="U145" t="s">
        <v>265</v>
      </c>
      <c r="X145">
        <v>0</v>
      </c>
      <c r="Y145" t="s">
        <v>270</v>
      </c>
      <c r="Z145" t="str">
        <f t="shared" si="33"/>
        <v>Macromedidor 01</v>
      </c>
      <c r="AA145"/>
      <c r="AD145" s="13" t="s">
        <v>266</v>
      </c>
      <c r="AF145" t="str">
        <f t="shared" si="24"/>
        <v>MedidorMacromedidor</v>
      </c>
      <c r="AG145" s="28" t="str">
        <f>VLOOKUP(AF145,Imagens!$C$2:$D$42,2,FALSE)</f>
        <v>65e8dd4a9cd58</v>
      </c>
      <c r="AH145" t="str">
        <f>_xlfn.CONCAT(Imagens!$H$2,'registo_ativo-CDs (1)'!AG145)</f>
        <v>assets/imagens/products/65e8dd4a9cd58</v>
      </c>
      <c r="AI145" s="67">
        <v>45334</v>
      </c>
      <c r="AK145" s="32"/>
    </row>
    <row r="146" spans="1:37" ht="19.8" customHeight="1" x14ac:dyDescent="0.3">
      <c r="A146">
        <f t="shared" si="27"/>
        <v>15</v>
      </c>
      <c r="B146" t="str">
        <f t="shared" si="25"/>
        <v>CD51BBG146MCD02</v>
      </c>
      <c r="C146" t="str">
        <f t="shared" si="26"/>
        <v>CD-MAX-BBG-MDD-MCD-02</v>
      </c>
      <c r="E146" t="s">
        <v>37</v>
      </c>
      <c r="F146" t="str">
        <f>VLOOKUP(E146,Localizacoes!$A$3:$B$100,2,FALSE)</f>
        <v>CD</v>
      </c>
      <c r="G146" t="str">
        <f>VLOOKUP(E146,ID!$A$3:$B$100,2,FALSE)</f>
        <v>CD</v>
      </c>
      <c r="H146" s="14" t="s">
        <v>32</v>
      </c>
      <c r="I146" t="str">
        <f>VLOOKUP(H146,Localizacoes!$C$3:$D$100,2,FALSE)</f>
        <v>MAX</v>
      </c>
      <c r="J146">
        <f>VLOOKUP(H146,ID!$C$3:$D$100,2,FALSE)</f>
        <v>51</v>
      </c>
      <c r="K146" t="s">
        <v>274</v>
      </c>
      <c r="L146" t="str">
        <f>VLOOKUP(K146,Localizacoes!$E$3:$F$100,2,FALSE)</f>
        <v>BBG</v>
      </c>
      <c r="M146" t="str">
        <f>VLOOKUP(K146,ID!$E$3:$F$100,2,FALSE)</f>
        <v>BBG</v>
      </c>
      <c r="N146" t="s">
        <v>672</v>
      </c>
      <c r="O146" t="str">
        <f>VLOOKUP(N146,Localizacoes!$G$3:$H$100,2,FALSE)</f>
        <v>MDD</v>
      </c>
      <c r="P146">
        <f>VLOOKUP(N146,ID!$G$3:$H$100,2,FALSE)</f>
        <v>146</v>
      </c>
      <c r="Q146" t="s">
        <v>370</v>
      </c>
      <c r="R146" t="str">
        <f>VLOOKUP(Q146,Localizacoes!$I$3:$J$100,2,FALSE)</f>
        <v>MCD</v>
      </c>
      <c r="S146" t="str">
        <f>VLOOKUP(Q146,ID!$I$3:$J$100,2,FALSE)</f>
        <v>MCD</v>
      </c>
      <c r="T146" s="4" t="s">
        <v>186</v>
      </c>
      <c r="U146" t="s">
        <v>265</v>
      </c>
      <c r="Y146" t="s">
        <v>270</v>
      </c>
      <c r="Z146" t="str">
        <f t="shared" si="33"/>
        <v>Macromedidor 02</v>
      </c>
      <c r="AA146"/>
      <c r="AD146" s="13" t="s">
        <v>266</v>
      </c>
      <c r="AF146" t="str">
        <f t="shared" si="24"/>
        <v>MedidorMacromedidor</v>
      </c>
      <c r="AG146" s="28" t="str">
        <f>VLOOKUP(AF146,Imagens!$C$2:$D$42,2,FALSE)</f>
        <v>65e8dd4a9cd58</v>
      </c>
      <c r="AH146" t="str">
        <f>_xlfn.CONCAT(Imagens!$H$2,'registo_ativo-CDs (1)'!AG146)</f>
        <v>assets/imagens/products/65e8dd4a9cd58</v>
      </c>
      <c r="AI146" s="67">
        <v>45334</v>
      </c>
      <c r="AK146" s="32"/>
    </row>
    <row r="147" spans="1:37" ht="19.8" customHeight="1" x14ac:dyDescent="0.3">
      <c r="A147">
        <f t="shared" si="27"/>
        <v>15</v>
      </c>
      <c r="B147" t="str">
        <f t="shared" si="25"/>
        <v>CD51BBG146MCD03</v>
      </c>
      <c r="C147" t="str">
        <f t="shared" si="26"/>
        <v>CD-MAX-BBG-MDD-MCD-03</v>
      </c>
      <c r="E147" t="s">
        <v>37</v>
      </c>
      <c r="F147" t="str">
        <f>VLOOKUP(E147,Localizacoes!$A$3:$B$100,2,FALSE)</f>
        <v>CD</v>
      </c>
      <c r="G147" t="str">
        <f>VLOOKUP(E147,ID!$A$3:$B$100,2,FALSE)</f>
        <v>CD</v>
      </c>
      <c r="H147" s="14" t="s">
        <v>32</v>
      </c>
      <c r="I147" t="str">
        <f>VLOOKUP(H147,Localizacoes!$C$3:$D$100,2,FALSE)</f>
        <v>MAX</v>
      </c>
      <c r="J147">
        <f>VLOOKUP(H147,ID!$C$3:$D$100,2,FALSE)</f>
        <v>51</v>
      </c>
      <c r="K147" t="s">
        <v>274</v>
      </c>
      <c r="L147" t="str">
        <f>VLOOKUP(K147,Localizacoes!$E$3:$F$100,2,FALSE)</f>
        <v>BBG</v>
      </c>
      <c r="M147" t="str">
        <f>VLOOKUP(K147,ID!$E$3:$F$100,2,FALSE)</f>
        <v>BBG</v>
      </c>
      <c r="N147" t="s">
        <v>672</v>
      </c>
      <c r="O147" t="str">
        <f>VLOOKUP(N147,Localizacoes!$G$3:$H$100,2,FALSE)</f>
        <v>MDD</v>
      </c>
      <c r="P147">
        <f>VLOOKUP(N147,ID!$G$3:$H$100,2,FALSE)</f>
        <v>146</v>
      </c>
      <c r="Q147" t="s">
        <v>370</v>
      </c>
      <c r="R147" t="str">
        <f>VLOOKUP(Q147,Localizacoes!$I$3:$J$100,2,FALSE)</f>
        <v>MCD</v>
      </c>
      <c r="S147" t="str">
        <f>VLOOKUP(Q147,ID!$I$3:$J$100,2,FALSE)</f>
        <v>MCD</v>
      </c>
      <c r="T147" s="4" t="s">
        <v>187</v>
      </c>
      <c r="U147" t="s">
        <v>265</v>
      </c>
      <c r="Y147" t="s">
        <v>270</v>
      </c>
      <c r="Z147" t="str">
        <f t="shared" si="33"/>
        <v>Macromedidor 03</v>
      </c>
      <c r="AA147"/>
      <c r="AD147" s="13" t="s">
        <v>266</v>
      </c>
      <c r="AF147" t="str">
        <f t="shared" si="24"/>
        <v>MedidorMacromedidor</v>
      </c>
      <c r="AG147" s="28" t="str">
        <f>VLOOKUP(AF147,Imagens!$C$2:$D$42,2,FALSE)</f>
        <v>65e8dd4a9cd58</v>
      </c>
      <c r="AH147" t="str">
        <f>_xlfn.CONCAT(Imagens!$H$2,'registo_ativo-CDs (1)'!AG147)</f>
        <v>assets/imagens/products/65e8dd4a9cd58</v>
      </c>
      <c r="AI147" s="67">
        <v>45334</v>
      </c>
      <c r="AK147" s="32"/>
    </row>
    <row r="148" spans="1:37" ht="16.8" customHeight="1" x14ac:dyDescent="0.3">
      <c r="A148">
        <f t="shared" si="27"/>
        <v>15</v>
      </c>
      <c r="B148" t="str">
        <f t="shared" si="25"/>
        <v>CD51BBG139EXT01</v>
      </c>
      <c r="C148" t="str">
        <f t="shared" si="26"/>
        <v>CD-MAX-BBG-EXT-EXT-01</v>
      </c>
      <c r="E148" t="s">
        <v>37</v>
      </c>
      <c r="F148" t="str">
        <f>VLOOKUP(E148,Localizacoes!$A$3:$B$100,2,FALSE)</f>
        <v>CD</v>
      </c>
      <c r="G148" t="str">
        <f>VLOOKUP(E148,ID!$A$3:$B$100,2,FALSE)</f>
        <v>CD</v>
      </c>
      <c r="H148" s="14" t="s">
        <v>32</v>
      </c>
      <c r="I148" t="str">
        <f>VLOOKUP(H148,Localizacoes!$C$3:$D$100,2,FALSE)</f>
        <v>MAX</v>
      </c>
      <c r="J148">
        <f>VLOOKUP(H148,ID!$C$3:$D$100,2,FALSE)</f>
        <v>51</v>
      </c>
      <c r="K148" t="s">
        <v>274</v>
      </c>
      <c r="L148" t="str">
        <f>VLOOKUP(K148,Localizacoes!$E$3:$F$100,2,FALSE)</f>
        <v>BBG</v>
      </c>
      <c r="M148" t="str">
        <f>VLOOKUP(K148,ID!$E$3:$F$100,2,FALSE)</f>
        <v>BBG</v>
      </c>
      <c r="N148" t="s">
        <v>322</v>
      </c>
      <c r="O148" t="str">
        <f>VLOOKUP(N148,Localizacoes!$G$3:$H$100,2,FALSE)</f>
        <v>EXT</v>
      </c>
      <c r="P148">
        <f>VLOOKUP(N148,ID!$G$3:$H$100,2,FALSE)</f>
        <v>139</v>
      </c>
      <c r="Q148" t="s">
        <v>440</v>
      </c>
      <c r="R148" t="str">
        <f>VLOOKUP(Q148,Localizacoes!$I$3:$J$100,2,FALSE)</f>
        <v>EXT</v>
      </c>
      <c r="S148" t="str">
        <f>VLOOKUP(Q148,ID!$I$3:$J$100,2,FALSE)</f>
        <v>EXT</v>
      </c>
      <c r="T148" s="4" t="s">
        <v>182</v>
      </c>
      <c r="U148" t="s">
        <v>265</v>
      </c>
      <c r="V148" t="s">
        <v>571</v>
      </c>
      <c r="W148" t="s">
        <v>571</v>
      </c>
      <c r="X148" t="s">
        <v>6</v>
      </c>
      <c r="Y148" t="s">
        <v>270</v>
      </c>
      <c r="Z148" t="str">
        <f t="shared" si="33"/>
        <v>Extrator 01</v>
      </c>
      <c r="AA148">
        <v>1994</v>
      </c>
      <c r="AD148" s="13" t="s">
        <v>267</v>
      </c>
      <c r="AF148" t="str">
        <f t="shared" si="24"/>
        <v>ExtractoresExtrator</v>
      </c>
      <c r="AG148" s="28" t="str">
        <f>VLOOKUP(AF148,Imagens!$C$2:$D$42,2,FALSE)</f>
        <v>65e8deea824d3</v>
      </c>
      <c r="AH148" t="str">
        <f>_xlfn.CONCAT(Imagens!$H$2,'registo_ativo-CDs (1)'!AG148)</f>
        <v>assets/imagens/products/65e8deea824d3</v>
      </c>
      <c r="AI148" s="67">
        <v>45334</v>
      </c>
      <c r="AK148" s="32"/>
    </row>
    <row r="149" spans="1:37" ht="16.8" customHeight="1" x14ac:dyDescent="0.3">
      <c r="A149">
        <f t="shared" si="27"/>
        <v>15</v>
      </c>
      <c r="B149" t="str">
        <f t="shared" si="25"/>
        <v>CD51BBG139EXT02</v>
      </c>
      <c r="C149" t="str">
        <f t="shared" si="26"/>
        <v>CD-MAX-BBG-EXT-EXT-02</v>
      </c>
      <c r="E149" t="s">
        <v>37</v>
      </c>
      <c r="F149" t="str">
        <f>VLOOKUP(E149,Localizacoes!$A$3:$B$100,2,FALSE)</f>
        <v>CD</v>
      </c>
      <c r="G149" t="str">
        <f>VLOOKUP(E149,ID!$A$3:$B$100,2,FALSE)</f>
        <v>CD</v>
      </c>
      <c r="H149" s="14" t="s">
        <v>32</v>
      </c>
      <c r="I149" t="str">
        <f>VLOOKUP(H149,Localizacoes!$C$3:$D$100,2,FALSE)</f>
        <v>MAX</v>
      </c>
      <c r="J149">
        <f>VLOOKUP(H149,ID!$C$3:$D$100,2,FALSE)</f>
        <v>51</v>
      </c>
      <c r="K149" t="s">
        <v>274</v>
      </c>
      <c r="L149" t="str">
        <f>VLOOKUP(K149,Localizacoes!$E$3:$F$100,2,FALSE)</f>
        <v>BBG</v>
      </c>
      <c r="M149" t="str">
        <f>VLOOKUP(K149,ID!$E$3:$F$100,2,FALSE)</f>
        <v>BBG</v>
      </c>
      <c r="N149" t="s">
        <v>322</v>
      </c>
      <c r="O149" t="str">
        <f>VLOOKUP(N149,Localizacoes!$G$3:$H$100,2,FALSE)</f>
        <v>EXT</v>
      </c>
      <c r="P149">
        <f>VLOOKUP(N149,ID!$G$3:$H$100,2,FALSE)</f>
        <v>139</v>
      </c>
      <c r="Q149" t="s">
        <v>440</v>
      </c>
      <c r="R149" t="str">
        <f>VLOOKUP(Q149,Localizacoes!$I$3:$J$100,2,FALSE)</f>
        <v>EXT</v>
      </c>
      <c r="S149" t="str">
        <f>VLOOKUP(Q149,ID!$I$3:$J$100,2,FALSE)</f>
        <v>EXT</v>
      </c>
      <c r="T149" s="4" t="s">
        <v>186</v>
      </c>
      <c r="U149" t="s">
        <v>265</v>
      </c>
      <c r="V149" t="s">
        <v>571</v>
      </c>
      <c r="W149" t="s">
        <v>571</v>
      </c>
      <c r="Y149" t="s">
        <v>270</v>
      </c>
      <c r="Z149" t="str">
        <f t="shared" si="33"/>
        <v>Extrator 02</v>
      </c>
      <c r="AA149">
        <v>1994</v>
      </c>
      <c r="AD149" s="13" t="s">
        <v>267</v>
      </c>
      <c r="AF149" t="str">
        <f t="shared" si="24"/>
        <v>ExtractoresExtrator</v>
      </c>
      <c r="AG149" s="28" t="str">
        <f>VLOOKUP(AF149,Imagens!$C$2:$D$42,2,FALSE)</f>
        <v>65e8deea824d3</v>
      </c>
      <c r="AH149" t="str">
        <f>_xlfn.CONCAT(Imagens!$H$2,'registo_ativo-CDs (1)'!AG149)</f>
        <v>assets/imagens/products/65e8deea824d3</v>
      </c>
      <c r="AI149" s="67">
        <v>45334</v>
      </c>
      <c r="AK149" s="32"/>
    </row>
    <row r="150" spans="1:37" ht="16.8" customHeight="1" x14ac:dyDescent="0.3">
      <c r="A150">
        <f t="shared" si="27"/>
        <v>15</v>
      </c>
      <c r="B150" t="str">
        <f t="shared" si="25"/>
        <v>CD51BBG139EXT03</v>
      </c>
      <c r="C150" t="str">
        <f t="shared" si="26"/>
        <v>CD-MAX-BBG-EXT-EXT-03</v>
      </c>
      <c r="E150" t="s">
        <v>37</v>
      </c>
      <c r="F150" t="str">
        <f>VLOOKUP(E150,Localizacoes!$A$3:$B$100,2,FALSE)</f>
        <v>CD</v>
      </c>
      <c r="G150" t="str">
        <f>VLOOKUP(E150,ID!$A$3:$B$100,2,FALSE)</f>
        <v>CD</v>
      </c>
      <c r="H150" s="14" t="s">
        <v>32</v>
      </c>
      <c r="I150" t="str">
        <f>VLOOKUP(H150,Localizacoes!$C$3:$D$100,2,FALSE)</f>
        <v>MAX</v>
      </c>
      <c r="J150">
        <f>VLOOKUP(H150,ID!$C$3:$D$100,2,FALSE)</f>
        <v>51</v>
      </c>
      <c r="K150" t="s">
        <v>274</v>
      </c>
      <c r="L150" t="str">
        <f>VLOOKUP(K150,Localizacoes!$E$3:$F$100,2,FALSE)</f>
        <v>BBG</v>
      </c>
      <c r="M150" t="str">
        <f>VLOOKUP(K150,ID!$E$3:$F$100,2,FALSE)</f>
        <v>BBG</v>
      </c>
      <c r="N150" t="s">
        <v>322</v>
      </c>
      <c r="O150" t="str">
        <f>VLOOKUP(N150,Localizacoes!$G$3:$H$100,2,FALSE)</f>
        <v>EXT</v>
      </c>
      <c r="P150">
        <f>VLOOKUP(N150,ID!$G$3:$H$100,2,FALSE)</f>
        <v>139</v>
      </c>
      <c r="Q150" t="s">
        <v>440</v>
      </c>
      <c r="R150" t="str">
        <f>VLOOKUP(Q150,Localizacoes!$I$3:$J$100,2,FALSE)</f>
        <v>EXT</v>
      </c>
      <c r="S150" t="str">
        <f>VLOOKUP(Q150,ID!$I$3:$J$100,2,FALSE)</f>
        <v>EXT</v>
      </c>
      <c r="T150" s="4" t="s">
        <v>187</v>
      </c>
      <c r="U150" t="s">
        <v>265</v>
      </c>
      <c r="V150" t="s">
        <v>571</v>
      </c>
      <c r="W150" t="s">
        <v>571</v>
      </c>
      <c r="Y150" t="s">
        <v>270</v>
      </c>
      <c r="Z150" t="str">
        <f t="shared" si="33"/>
        <v>Extrator 03</v>
      </c>
      <c r="AA150">
        <v>1994</v>
      </c>
      <c r="AD150" s="13" t="s">
        <v>267</v>
      </c>
      <c r="AF150" t="str">
        <f t="shared" si="24"/>
        <v>ExtractoresExtrator</v>
      </c>
      <c r="AG150" s="28" t="str">
        <f>VLOOKUP(AF150,Imagens!$C$2:$D$42,2,FALSE)</f>
        <v>65e8deea824d3</v>
      </c>
      <c r="AH150" t="str">
        <f>_xlfn.CONCAT(Imagens!$H$2,'registo_ativo-CDs (1)'!AG150)</f>
        <v>assets/imagens/products/65e8deea824d3</v>
      </c>
      <c r="AI150" s="67">
        <v>45334</v>
      </c>
      <c r="AK150" s="32"/>
    </row>
    <row r="151" spans="1:37" ht="16.8" customHeight="1" x14ac:dyDescent="0.3">
      <c r="A151">
        <f t="shared" si="27"/>
        <v>15</v>
      </c>
      <c r="B151" t="str">
        <f t="shared" ref="B151:B211" si="34">CONCATENATE(G151,J151,M151,P151,S151,T151)</f>
        <v>CD44BBG131BOM01</v>
      </c>
      <c r="C151" t="str">
        <f t="shared" ref="C151:C211" si="35">CONCATENATE(F151, "-", I151, "-", L151, "-", O151, "-", R151, "-", T151)</f>
        <v>CD-LAU-BBG-EBC-BOM-01</v>
      </c>
      <c r="E151" t="s">
        <v>37</v>
      </c>
      <c r="F151" t="str">
        <f>VLOOKUP(E151,Localizacoes!$A$3:$B$100,2,FALSE)</f>
        <v>CD</v>
      </c>
      <c r="G151" t="str">
        <f>VLOOKUP(E151,ID!$A$3:$B$100,2,FALSE)</f>
        <v>CD</v>
      </c>
      <c r="H151" s="14" t="s">
        <v>33</v>
      </c>
      <c r="I151" t="str">
        <f>VLOOKUP(H151,Localizacoes!$C$3:$D$100,2,FALSE)</f>
        <v>LAU</v>
      </c>
      <c r="J151">
        <f>VLOOKUP(H151,ID!$C$3:$D$100,2,FALSE)</f>
        <v>44</v>
      </c>
      <c r="K151" t="s">
        <v>274</v>
      </c>
      <c r="L151" t="str">
        <f>VLOOKUP(K151,Localizacoes!$E$3:$F$100,2,FALSE)</f>
        <v>BBG</v>
      </c>
      <c r="M151" t="str">
        <f>VLOOKUP(K151,ID!$E$3:$F$100,2,FALSE)</f>
        <v>BBG</v>
      </c>
      <c r="N151" t="s">
        <v>704</v>
      </c>
      <c r="O151" t="str">
        <f>VLOOKUP(N151,Localizacoes!$G$3:$H$100,2,FALSE)</f>
        <v>EBC</v>
      </c>
      <c r="P151">
        <f>VLOOKUP(N151,ID!$G$3:$H$100,2,FALSE)</f>
        <v>131</v>
      </c>
      <c r="Q151" t="s">
        <v>150</v>
      </c>
      <c r="R151" t="str">
        <f>VLOOKUP(Q151,Localizacoes!$I$3:$J$100,2,FALSE)</f>
        <v>BOM</v>
      </c>
      <c r="S151" t="str">
        <f>VLOOKUP(Q151,ID!$I$3:$J$100,2,FALSE)</f>
        <v>BOM</v>
      </c>
      <c r="T151" s="4" t="s">
        <v>182</v>
      </c>
      <c r="U151" t="s">
        <v>264</v>
      </c>
      <c r="V151" t="s">
        <v>414</v>
      </c>
      <c r="W151" t="s">
        <v>413</v>
      </c>
      <c r="Y151" t="s">
        <v>270</v>
      </c>
      <c r="Z151" t="str">
        <f t="shared" ref="Z151:Z207" si="36">Q151&amp;" "&amp; T151</f>
        <v>Bomba 01</v>
      </c>
      <c r="AA151">
        <v>2007</v>
      </c>
      <c r="AD151" s="13" t="s">
        <v>7</v>
      </c>
      <c r="AF151" t="str">
        <f t="shared" ref="AF151:AF219" si="37">_xlfn.CONCAT(N151,Q151)</f>
        <v>Electrobomba centrífugaBomba</v>
      </c>
      <c r="AG151" s="28" t="str">
        <f>VLOOKUP(AF151,Imagens!$C$2:$D$42,2,FALSE)</f>
        <v>65e96125c1d11</v>
      </c>
      <c r="AH151" t="str">
        <f>_xlfn.CONCAT(Imagens!$H$2,'registo_ativo-CDs (1)'!AG151)</f>
        <v>assets/imagens/products/65e96125c1d11</v>
      </c>
      <c r="AI151" s="67">
        <v>45320</v>
      </c>
      <c r="AK151" s="32"/>
    </row>
    <row r="152" spans="1:37" ht="16.8" customHeight="1" x14ac:dyDescent="0.3">
      <c r="A152">
        <f t="shared" si="27"/>
        <v>15</v>
      </c>
      <c r="B152" t="str">
        <f t="shared" si="34"/>
        <v>CD44BBG131MOT01</v>
      </c>
      <c r="C152" t="str">
        <f t="shared" si="35"/>
        <v>CD-LAU-BBG-EBC-MOT-01</v>
      </c>
      <c r="E152" t="s">
        <v>37</v>
      </c>
      <c r="F152" t="str">
        <f>VLOOKUP(E152,Localizacoes!$A$3:$B$100,2,FALSE)</f>
        <v>CD</v>
      </c>
      <c r="G152" t="str">
        <f>VLOOKUP(E152,ID!$A$3:$B$100,2,FALSE)</f>
        <v>CD</v>
      </c>
      <c r="H152" s="14" t="s">
        <v>33</v>
      </c>
      <c r="I152" t="str">
        <f>VLOOKUP(H152,Localizacoes!$C$3:$D$100,2,FALSE)</f>
        <v>LAU</v>
      </c>
      <c r="J152">
        <f>VLOOKUP(H152,ID!$C$3:$D$100,2,FALSE)</f>
        <v>44</v>
      </c>
      <c r="K152" t="s">
        <v>274</v>
      </c>
      <c r="L152" t="str">
        <f>VLOOKUP(K152,Localizacoes!$E$3:$F$100,2,FALSE)</f>
        <v>BBG</v>
      </c>
      <c r="M152" t="str">
        <f>VLOOKUP(K152,ID!$E$3:$F$100,2,FALSE)</f>
        <v>BBG</v>
      </c>
      <c r="N152" t="s">
        <v>704</v>
      </c>
      <c r="O152" t="str">
        <f>VLOOKUP(N152,Localizacoes!$G$3:$H$100,2,FALSE)</f>
        <v>EBC</v>
      </c>
      <c r="P152">
        <f>VLOOKUP(N152,ID!$G$3:$H$100,2,FALSE)</f>
        <v>131</v>
      </c>
      <c r="Q152" t="s">
        <v>21</v>
      </c>
      <c r="R152" t="str">
        <f>VLOOKUP(Q152,Localizacoes!$I$3:$J$100,2,FALSE)</f>
        <v>MOT</v>
      </c>
      <c r="S152" t="str">
        <f>VLOOKUP(Q152,ID!$I$3:$J$100,2,FALSE)</f>
        <v>MOT</v>
      </c>
      <c r="T152" s="4" t="s">
        <v>182</v>
      </c>
      <c r="U152" t="s">
        <v>265</v>
      </c>
      <c r="V152" t="s">
        <v>411</v>
      </c>
      <c r="W152" t="s">
        <v>415</v>
      </c>
      <c r="Y152" t="s">
        <v>270</v>
      </c>
      <c r="Z152" t="str">
        <f t="shared" si="36"/>
        <v>Motor 01</v>
      </c>
      <c r="AA152">
        <v>2007</v>
      </c>
      <c r="AD152" s="13" t="s">
        <v>7</v>
      </c>
      <c r="AF152" t="str">
        <f t="shared" si="37"/>
        <v>Electrobomba centrífugaMotor</v>
      </c>
      <c r="AG152" s="28" t="str">
        <f>VLOOKUP(AF152,Imagens!$C$2:$D$42,2,FALSE)</f>
        <v>65d04210323a4</v>
      </c>
      <c r="AH152" t="str">
        <f>_xlfn.CONCAT(Imagens!$H$2,'registo_ativo-CDs (1)'!AG152)</f>
        <v>assets/imagens/products/65d04210323a4</v>
      </c>
      <c r="AI152" s="67">
        <v>45320</v>
      </c>
      <c r="AK152" s="32"/>
    </row>
    <row r="153" spans="1:37" ht="16.8" customHeight="1" x14ac:dyDescent="0.3">
      <c r="A153">
        <f t="shared" ref="A153:A211" si="38">LEN(B153)</f>
        <v>15</v>
      </c>
      <c r="B153" t="str">
        <f t="shared" si="34"/>
        <v>CD44BBG131QEA01</v>
      </c>
      <c r="C153" t="str">
        <f t="shared" si="35"/>
        <v>CD-LAU-BBG-EBC-QEA-01</v>
      </c>
      <c r="E153" t="s">
        <v>37</v>
      </c>
      <c r="F153" t="str">
        <f>VLOOKUP(E153,Localizacoes!$A$3:$B$100,2,FALSE)</f>
        <v>CD</v>
      </c>
      <c r="G153" t="str">
        <f>VLOOKUP(E153,ID!$A$3:$B$100,2,FALSE)</f>
        <v>CD</v>
      </c>
      <c r="H153" s="14" t="s">
        <v>33</v>
      </c>
      <c r="I153" t="str">
        <f>VLOOKUP(H153,Localizacoes!$C$3:$D$100,2,FALSE)</f>
        <v>LAU</v>
      </c>
      <c r="J153">
        <f>VLOOKUP(H153,ID!$C$3:$D$100,2,FALSE)</f>
        <v>44</v>
      </c>
      <c r="K153" t="s">
        <v>274</v>
      </c>
      <c r="L153" t="str">
        <f>VLOOKUP(K153,Localizacoes!$E$3:$F$100,2,FALSE)</f>
        <v>BBG</v>
      </c>
      <c r="M153" t="str">
        <f>VLOOKUP(K153,ID!$E$3:$F$100,2,FALSE)</f>
        <v>BBG</v>
      </c>
      <c r="N153" t="s">
        <v>704</v>
      </c>
      <c r="O153" t="str">
        <f>VLOOKUP(N153,Localizacoes!$G$3:$H$100,2,FALSE)</f>
        <v>EBC</v>
      </c>
      <c r="P153">
        <f>VLOOKUP(N153,ID!$G$3:$H$100,2,FALSE)</f>
        <v>131</v>
      </c>
      <c r="Q153" t="s">
        <v>154</v>
      </c>
      <c r="R153" t="str">
        <f>VLOOKUP(Q153,Localizacoes!$I$3:$J$100,2,FALSE)</f>
        <v>QEA</v>
      </c>
      <c r="S153" t="str">
        <f>VLOOKUP(Q153,ID!$I$3:$J$100,2,FALSE)</f>
        <v>QEA</v>
      </c>
      <c r="T153" s="4" t="s">
        <v>182</v>
      </c>
      <c r="U153" t="s">
        <v>265</v>
      </c>
      <c r="Y153" t="s">
        <v>270</v>
      </c>
      <c r="Z153" t="str">
        <f t="shared" si="36"/>
        <v>Quadros Eléctricos de Arranque 01</v>
      </c>
      <c r="AA153">
        <v>2007</v>
      </c>
      <c r="AD153" s="12" t="s">
        <v>267</v>
      </c>
      <c r="AF153" t="str">
        <f t="shared" si="37"/>
        <v>Electrobomba centrífugaQuadros Eléctricos de Arranque</v>
      </c>
      <c r="AG153" s="28" t="str">
        <f>VLOOKUP(AF153,Imagens!$C$2:$D$42,2,FALSE)</f>
        <v>65e8d2fa35c12</v>
      </c>
      <c r="AH153" t="str">
        <f>_xlfn.CONCAT(Imagens!$H$2,'registo_ativo-CDs (1)'!AG153)</f>
        <v>assets/imagens/products/65e8d2fa35c12</v>
      </c>
      <c r="AI153" s="67">
        <v>45376</v>
      </c>
      <c r="AK153" s="32"/>
    </row>
    <row r="154" spans="1:37" ht="16.8" customHeight="1" x14ac:dyDescent="0.3">
      <c r="A154">
        <f t="shared" si="38"/>
        <v>15</v>
      </c>
      <c r="B154" t="str">
        <f t="shared" si="34"/>
        <v>CD44BBG131VSU01</v>
      </c>
      <c r="C154" t="str">
        <f t="shared" si="35"/>
        <v>CD-LAU-BBG-EBC-VSU-01</v>
      </c>
      <c r="E154" t="s">
        <v>37</v>
      </c>
      <c r="F154" t="str">
        <f>VLOOKUP(E154,Localizacoes!$A$3:$B$100,2,FALSE)</f>
        <v>CD</v>
      </c>
      <c r="G154" t="str">
        <f>VLOOKUP(E154,ID!$A$3:$B$100,2,FALSE)</f>
        <v>CD</v>
      </c>
      <c r="H154" s="14" t="s">
        <v>33</v>
      </c>
      <c r="I154" t="str">
        <f>VLOOKUP(H154,Localizacoes!$C$3:$D$100,2,FALSE)</f>
        <v>LAU</v>
      </c>
      <c r="J154">
        <f>VLOOKUP(H154,ID!$C$3:$D$100,2,FALSE)</f>
        <v>44</v>
      </c>
      <c r="K154" t="s">
        <v>274</v>
      </c>
      <c r="L154" t="str">
        <f>VLOOKUP(K154,Localizacoes!$E$3:$F$100,2,FALSE)</f>
        <v>BBG</v>
      </c>
      <c r="M154" t="str">
        <f>VLOOKUP(K154,ID!$E$3:$F$100,2,FALSE)</f>
        <v>BBG</v>
      </c>
      <c r="N154" t="s">
        <v>704</v>
      </c>
      <c r="O154" t="str">
        <f>VLOOKUP(N154,Localizacoes!$G$3:$H$100,2,FALSE)</f>
        <v>EBC</v>
      </c>
      <c r="P154">
        <f>VLOOKUP(N154,ID!$G$3:$H$100,2,FALSE)</f>
        <v>131</v>
      </c>
      <c r="Q154" t="s">
        <v>276</v>
      </c>
      <c r="R154" t="str">
        <f>VLOOKUP(Q154,Localizacoes!$I$3:$J$100,2,FALSE)</f>
        <v>VSU</v>
      </c>
      <c r="S154" t="str">
        <f>VLOOKUP(Q154,ID!$I$3:$J$100,2,FALSE)</f>
        <v>VSU</v>
      </c>
      <c r="T154" s="4" t="s">
        <v>182</v>
      </c>
      <c r="U154" t="s">
        <v>264</v>
      </c>
      <c r="Y154" t="s">
        <v>270</v>
      </c>
      <c r="Z154" t="str">
        <f t="shared" si="36"/>
        <v>Válvula Sucção 01</v>
      </c>
      <c r="AA154">
        <v>2007</v>
      </c>
      <c r="AD154" s="12" t="s">
        <v>267</v>
      </c>
      <c r="AF154" t="str">
        <f t="shared" si="37"/>
        <v>Electrobomba centrífugaVálvula Sucção</v>
      </c>
      <c r="AG154" s="28" t="str">
        <f>VLOOKUP(AF154,Imagens!$C$2:$D$42,2,FALSE)</f>
        <v>65e8cda0676b7</v>
      </c>
      <c r="AH154" t="str">
        <f>_xlfn.CONCAT(Imagens!$H$2,'registo_ativo-CDs (1)'!AG154)</f>
        <v>assets/imagens/products/65e8cda0676b7</v>
      </c>
      <c r="AI154" s="67">
        <v>45376</v>
      </c>
      <c r="AK154" s="32"/>
    </row>
    <row r="155" spans="1:37" ht="16.8" customHeight="1" x14ac:dyDescent="0.3">
      <c r="A155">
        <f t="shared" si="38"/>
        <v>15</v>
      </c>
      <c r="B155" t="str">
        <f t="shared" si="34"/>
        <v>CD44BBG131VDE01</v>
      </c>
      <c r="C155" t="str">
        <f t="shared" si="35"/>
        <v>CD-LAU-BBG-EBC-VDE-01</v>
      </c>
      <c r="E155" t="s">
        <v>37</v>
      </c>
      <c r="F155" t="str">
        <f>VLOOKUP(E155,Localizacoes!$A$3:$B$100,2,FALSE)</f>
        <v>CD</v>
      </c>
      <c r="G155" t="str">
        <f>VLOOKUP(E155,ID!$A$3:$B$100,2,FALSE)</f>
        <v>CD</v>
      </c>
      <c r="H155" s="14" t="s">
        <v>33</v>
      </c>
      <c r="I155" t="str">
        <f>VLOOKUP(H155,Localizacoes!$C$3:$D$100,2,FALSE)</f>
        <v>LAU</v>
      </c>
      <c r="J155">
        <f>VLOOKUP(H155,ID!$C$3:$D$100,2,FALSE)</f>
        <v>44</v>
      </c>
      <c r="K155" t="s">
        <v>274</v>
      </c>
      <c r="L155" t="str">
        <f>VLOOKUP(K155,Localizacoes!$E$3:$F$100,2,FALSE)</f>
        <v>BBG</v>
      </c>
      <c r="M155" t="str">
        <f>VLOOKUP(K155,ID!$E$3:$F$100,2,FALSE)</f>
        <v>BBG</v>
      </c>
      <c r="N155" t="s">
        <v>704</v>
      </c>
      <c r="O155" t="str">
        <f>VLOOKUP(N155,Localizacoes!$G$3:$H$100,2,FALSE)</f>
        <v>EBC</v>
      </c>
      <c r="P155">
        <f>VLOOKUP(N155,ID!$G$3:$H$100,2,FALSE)</f>
        <v>131</v>
      </c>
      <c r="Q155" t="s">
        <v>279</v>
      </c>
      <c r="R155" t="str">
        <f>VLOOKUP(Q155,Localizacoes!$I$3:$J$100,2,FALSE)</f>
        <v>VDE</v>
      </c>
      <c r="S155" t="str">
        <f>VLOOKUP(Q155,ID!$I$3:$J$100,2,FALSE)</f>
        <v>VDE</v>
      </c>
      <c r="T155" s="4" t="s">
        <v>182</v>
      </c>
      <c r="U155" t="s">
        <v>264</v>
      </c>
      <c r="Y155" t="s">
        <v>270</v>
      </c>
      <c r="Z155" t="str">
        <f t="shared" si="36"/>
        <v>Válvula Descarga 01</v>
      </c>
      <c r="AA155">
        <v>2007</v>
      </c>
      <c r="AD155" s="12" t="s">
        <v>267</v>
      </c>
      <c r="AF155" t="str">
        <f t="shared" si="37"/>
        <v>Electrobomba centrífugaVálvula Descarga</v>
      </c>
      <c r="AG155" s="28" t="str">
        <f>VLOOKUP(AF155,Imagens!$C$2:$D$42,2,FALSE)</f>
        <v>65e8cda0676b7</v>
      </c>
      <c r="AH155" t="str">
        <f>_xlfn.CONCAT(Imagens!$H$2,'registo_ativo-CDs (1)'!AG155)</f>
        <v>assets/imagens/products/65e8cda0676b7</v>
      </c>
      <c r="AI155" s="67">
        <v>45376</v>
      </c>
      <c r="AK155" s="32"/>
    </row>
    <row r="156" spans="1:37" ht="16.8" customHeight="1" x14ac:dyDescent="0.3">
      <c r="A156">
        <f t="shared" si="38"/>
        <v>15</v>
      </c>
      <c r="B156" t="str">
        <f t="shared" si="34"/>
        <v>CD44BBG131BOM02</v>
      </c>
      <c r="C156" t="str">
        <f t="shared" si="35"/>
        <v>CD-LAU-BBG-EBC-BOM-02</v>
      </c>
      <c r="E156" t="s">
        <v>37</v>
      </c>
      <c r="F156" t="str">
        <f>VLOOKUP(E156,Localizacoes!$A$3:$B$100,2,FALSE)</f>
        <v>CD</v>
      </c>
      <c r="G156" t="str">
        <f>VLOOKUP(E156,ID!$A$3:$B$100,2,FALSE)</f>
        <v>CD</v>
      </c>
      <c r="H156" s="14" t="s">
        <v>33</v>
      </c>
      <c r="I156" t="str">
        <f>VLOOKUP(H156,Localizacoes!$C$3:$D$100,2,FALSE)</f>
        <v>LAU</v>
      </c>
      <c r="J156">
        <f>VLOOKUP(H156,ID!$C$3:$D$100,2,FALSE)</f>
        <v>44</v>
      </c>
      <c r="K156" t="s">
        <v>274</v>
      </c>
      <c r="L156" t="str">
        <f>VLOOKUP(K156,Localizacoes!$E$3:$F$100,2,FALSE)</f>
        <v>BBG</v>
      </c>
      <c r="M156" t="str">
        <f>VLOOKUP(K156,ID!$E$3:$F$100,2,FALSE)</f>
        <v>BBG</v>
      </c>
      <c r="N156" t="s">
        <v>704</v>
      </c>
      <c r="O156" t="str">
        <f>VLOOKUP(N156,Localizacoes!$G$3:$H$100,2,FALSE)</f>
        <v>EBC</v>
      </c>
      <c r="P156">
        <f>VLOOKUP(N156,ID!$G$3:$H$100,2,FALSE)</f>
        <v>131</v>
      </c>
      <c r="Q156" t="s">
        <v>150</v>
      </c>
      <c r="R156" t="str">
        <f>VLOOKUP(Q156,Localizacoes!$I$3:$J$100,2,FALSE)</f>
        <v>BOM</v>
      </c>
      <c r="S156" t="str">
        <f>VLOOKUP(Q156,ID!$I$3:$J$100,2,FALSE)</f>
        <v>BOM</v>
      </c>
      <c r="T156" s="4" t="s">
        <v>186</v>
      </c>
      <c r="U156" t="s">
        <v>264</v>
      </c>
      <c r="V156" t="s">
        <v>414</v>
      </c>
      <c r="W156" t="s">
        <v>413</v>
      </c>
      <c r="Y156" t="s">
        <v>270</v>
      </c>
      <c r="Z156" t="str">
        <f t="shared" si="36"/>
        <v>Bomba 02</v>
      </c>
      <c r="AA156">
        <v>2007</v>
      </c>
      <c r="AD156" s="13" t="s">
        <v>7</v>
      </c>
      <c r="AF156" t="str">
        <f t="shared" si="37"/>
        <v>Electrobomba centrífugaBomba</v>
      </c>
      <c r="AG156" s="28" t="str">
        <f>VLOOKUP(AF156,Imagens!$C$2:$D$42,2,FALSE)</f>
        <v>65e96125c1d11</v>
      </c>
      <c r="AH156" t="str">
        <f>_xlfn.CONCAT(Imagens!$H$2,'registo_ativo-CDs (1)'!AG156)</f>
        <v>assets/imagens/products/65e96125c1d11</v>
      </c>
      <c r="AI156" s="67">
        <v>45320</v>
      </c>
      <c r="AK156" s="32"/>
    </row>
    <row r="157" spans="1:37" ht="16.8" customHeight="1" x14ac:dyDescent="0.3">
      <c r="A157">
        <f t="shared" si="38"/>
        <v>15</v>
      </c>
      <c r="B157" t="str">
        <f t="shared" si="34"/>
        <v>CD44BBG131MOT02</v>
      </c>
      <c r="C157" t="str">
        <f t="shared" si="35"/>
        <v>CD-LAU-BBG-EBC-MOT-02</v>
      </c>
      <c r="E157" t="s">
        <v>37</v>
      </c>
      <c r="F157" t="str">
        <f>VLOOKUP(E157,Localizacoes!$A$3:$B$100,2,FALSE)</f>
        <v>CD</v>
      </c>
      <c r="G157" t="str">
        <f>VLOOKUP(E157,ID!$A$3:$B$100,2,FALSE)</f>
        <v>CD</v>
      </c>
      <c r="H157" s="14" t="s">
        <v>33</v>
      </c>
      <c r="I157" t="str">
        <f>VLOOKUP(H157,Localizacoes!$C$3:$D$100,2,FALSE)</f>
        <v>LAU</v>
      </c>
      <c r="J157">
        <f>VLOOKUP(H157,ID!$C$3:$D$100,2,FALSE)</f>
        <v>44</v>
      </c>
      <c r="K157" t="s">
        <v>274</v>
      </c>
      <c r="L157" t="str">
        <f>VLOOKUP(K157,Localizacoes!$E$3:$F$100,2,FALSE)</f>
        <v>BBG</v>
      </c>
      <c r="M157" t="str">
        <f>VLOOKUP(K157,ID!$E$3:$F$100,2,FALSE)</f>
        <v>BBG</v>
      </c>
      <c r="N157" t="s">
        <v>704</v>
      </c>
      <c r="O157" t="str">
        <f>VLOOKUP(N157,Localizacoes!$G$3:$H$100,2,FALSE)</f>
        <v>EBC</v>
      </c>
      <c r="P157">
        <f>VLOOKUP(N157,ID!$G$3:$H$100,2,FALSE)</f>
        <v>131</v>
      </c>
      <c r="Q157" t="s">
        <v>21</v>
      </c>
      <c r="R157" t="str">
        <f>VLOOKUP(Q157,Localizacoes!$I$3:$J$100,2,FALSE)</f>
        <v>MOT</v>
      </c>
      <c r="S157" t="str">
        <f>VLOOKUP(Q157,ID!$I$3:$J$100,2,FALSE)</f>
        <v>MOT</v>
      </c>
      <c r="T157" s="4" t="s">
        <v>186</v>
      </c>
      <c r="U157" t="s">
        <v>265</v>
      </c>
      <c r="V157" t="s">
        <v>411</v>
      </c>
      <c r="W157" t="s">
        <v>415</v>
      </c>
      <c r="Y157" t="s">
        <v>270</v>
      </c>
      <c r="Z157" t="str">
        <f t="shared" si="36"/>
        <v>Motor 02</v>
      </c>
      <c r="AA157">
        <v>2007</v>
      </c>
      <c r="AD157" s="13" t="s">
        <v>7</v>
      </c>
      <c r="AF157" t="str">
        <f t="shared" si="37"/>
        <v>Electrobomba centrífugaMotor</v>
      </c>
      <c r="AG157" s="28" t="str">
        <f>VLOOKUP(AF157,Imagens!$C$2:$D$42,2,FALSE)</f>
        <v>65d04210323a4</v>
      </c>
      <c r="AH157" t="str">
        <f>_xlfn.CONCAT(Imagens!$H$2,'registo_ativo-CDs (1)'!AG157)</f>
        <v>assets/imagens/products/65d04210323a4</v>
      </c>
      <c r="AI157" s="67">
        <v>45320</v>
      </c>
      <c r="AK157" s="32"/>
    </row>
    <row r="158" spans="1:37" ht="16.8" customHeight="1" x14ac:dyDescent="0.3">
      <c r="A158">
        <f t="shared" si="38"/>
        <v>15</v>
      </c>
      <c r="B158" t="str">
        <f t="shared" si="34"/>
        <v>CD44BBG131QEA02</v>
      </c>
      <c r="C158" t="str">
        <f t="shared" si="35"/>
        <v>CD-LAU-BBG-EBC-QEA-02</v>
      </c>
      <c r="E158" t="s">
        <v>37</v>
      </c>
      <c r="F158" t="str">
        <f>VLOOKUP(E158,Localizacoes!$A$3:$B$100,2,FALSE)</f>
        <v>CD</v>
      </c>
      <c r="G158" t="str">
        <f>VLOOKUP(E158,ID!$A$3:$B$100,2,FALSE)</f>
        <v>CD</v>
      </c>
      <c r="H158" s="14" t="s">
        <v>33</v>
      </c>
      <c r="I158" t="str">
        <f>VLOOKUP(H158,Localizacoes!$C$3:$D$100,2,FALSE)</f>
        <v>LAU</v>
      </c>
      <c r="J158">
        <f>VLOOKUP(H158,ID!$C$3:$D$100,2,FALSE)</f>
        <v>44</v>
      </c>
      <c r="K158" t="s">
        <v>274</v>
      </c>
      <c r="L158" t="str">
        <f>VLOOKUP(K158,Localizacoes!$E$3:$F$100,2,FALSE)</f>
        <v>BBG</v>
      </c>
      <c r="M158" t="str">
        <f>VLOOKUP(K158,ID!$E$3:$F$100,2,FALSE)</f>
        <v>BBG</v>
      </c>
      <c r="N158" t="s">
        <v>704</v>
      </c>
      <c r="O158" t="str">
        <f>VLOOKUP(N158,Localizacoes!$G$3:$H$100,2,FALSE)</f>
        <v>EBC</v>
      </c>
      <c r="P158">
        <f>VLOOKUP(N158,ID!$G$3:$H$100,2,FALSE)</f>
        <v>131</v>
      </c>
      <c r="Q158" t="s">
        <v>154</v>
      </c>
      <c r="R158" t="str">
        <f>VLOOKUP(Q158,Localizacoes!$I$3:$J$100,2,FALSE)</f>
        <v>QEA</v>
      </c>
      <c r="S158" t="str">
        <f>VLOOKUP(Q158,ID!$I$3:$J$100,2,FALSE)</f>
        <v>QEA</v>
      </c>
      <c r="T158" s="4" t="s">
        <v>186</v>
      </c>
      <c r="U158" t="s">
        <v>265</v>
      </c>
      <c r="X158" t="s">
        <v>6</v>
      </c>
      <c r="Y158" t="s">
        <v>270</v>
      </c>
      <c r="Z158" t="str">
        <f t="shared" si="36"/>
        <v>Quadros Eléctricos de Arranque 02</v>
      </c>
      <c r="AA158">
        <v>2007</v>
      </c>
      <c r="AD158" s="13" t="s">
        <v>267</v>
      </c>
      <c r="AF158" t="str">
        <f t="shared" si="37"/>
        <v>Electrobomba centrífugaQuadros Eléctricos de Arranque</v>
      </c>
      <c r="AG158" s="28" t="str">
        <f>VLOOKUP(AF158,Imagens!$C$2:$D$42,2,FALSE)</f>
        <v>65e8d2fa35c12</v>
      </c>
      <c r="AH158" t="str">
        <f>_xlfn.CONCAT(Imagens!$H$2,'registo_ativo-CDs (1)'!AG158)</f>
        <v>assets/imagens/products/65e8d2fa35c12</v>
      </c>
      <c r="AI158" s="67">
        <v>45376</v>
      </c>
      <c r="AK158" s="32"/>
    </row>
    <row r="159" spans="1:37" ht="16.8" customHeight="1" x14ac:dyDescent="0.3">
      <c r="A159">
        <f t="shared" si="38"/>
        <v>15</v>
      </c>
      <c r="B159" t="str">
        <f t="shared" si="34"/>
        <v>CD44BBG131VSU02</v>
      </c>
      <c r="C159" t="str">
        <f t="shared" si="35"/>
        <v>CD-LAU-BBG-EBC-VSU-02</v>
      </c>
      <c r="E159" t="s">
        <v>37</v>
      </c>
      <c r="F159" t="str">
        <f>VLOOKUP(E159,Localizacoes!$A$3:$B$100,2,FALSE)</f>
        <v>CD</v>
      </c>
      <c r="G159" t="str">
        <f>VLOOKUP(E159,ID!$A$3:$B$100,2,FALSE)</f>
        <v>CD</v>
      </c>
      <c r="H159" s="14" t="s">
        <v>33</v>
      </c>
      <c r="I159" t="str">
        <f>VLOOKUP(H159,Localizacoes!$C$3:$D$100,2,FALSE)</f>
        <v>LAU</v>
      </c>
      <c r="J159">
        <f>VLOOKUP(H159,ID!$C$3:$D$100,2,FALSE)</f>
        <v>44</v>
      </c>
      <c r="K159" t="s">
        <v>274</v>
      </c>
      <c r="L159" t="str">
        <f>VLOOKUP(K159,Localizacoes!$E$3:$F$100,2,FALSE)</f>
        <v>BBG</v>
      </c>
      <c r="M159" t="str">
        <f>VLOOKUP(K159,ID!$E$3:$F$100,2,FALSE)</f>
        <v>BBG</v>
      </c>
      <c r="N159" t="s">
        <v>704</v>
      </c>
      <c r="O159" t="str">
        <f>VLOOKUP(N159,Localizacoes!$G$3:$H$100,2,FALSE)</f>
        <v>EBC</v>
      </c>
      <c r="P159">
        <f>VLOOKUP(N159,ID!$G$3:$H$100,2,FALSE)</f>
        <v>131</v>
      </c>
      <c r="Q159" t="s">
        <v>276</v>
      </c>
      <c r="R159" t="str">
        <f>VLOOKUP(Q159,Localizacoes!$I$3:$J$100,2,FALSE)</f>
        <v>VSU</v>
      </c>
      <c r="S159" t="str">
        <f>VLOOKUP(Q159,ID!$I$3:$J$100,2,FALSE)</f>
        <v>VSU</v>
      </c>
      <c r="T159" s="4" t="s">
        <v>186</v>
      </c>
      <c r="U159" t="s">
        <v>264</v>
      </c>
      <c r="Y159" t="s">
        <v>270</v>
      </c>
      <c r="Z159" t="str">
        <f t="shared" si="36"/>
        <v>Válvula Sucção 02</v>
      </c>
      <c r="AA159">
        <v>2007</v>
      </c>
      <c r="AD159" s="13" t="s">
        <v>267</v>
      </c>
      <c r="AF159" t="str">
        <f t="shared" si="37"/>
        <v>Electrobomba centrífugaVálvula Sucção</v>
      </c>
      <c r="AG159" s="28" t="str">
        <f>VLOOKUP(AF159,Imagens!$C$2:$D$42,2,FALSE)</f>
        <v>65e8cda0676b7</v>
      </c>
      <c r="AH159" t="str">
        <f>_xlfn.CONCAT(Imagens!$H$2,'registo_ativo-CDs (1)'!AG159)</f>
        <v>assets/imagens/products/65e8cda0676b7</v>
      </c>
      <c r="AI159" s="67">
        <v>45376</v>
      </c>
      <c r="AK159" s="32"/>
    </row>
    <row r="160" spans="1:37" ht="16.8" customHeight="1" x14ac:dyDescent="0.3">
      <c r="A160">
        <f t="shared" si="38"/>
        <v>15</v>
      </c>
      <c r="B160" t="str">
        <f t="shared" si="34"/>
        <v>CD44BBG131VDE02</v>
      </c>
      <c r="C160" t="str">
        <f t="shared" si="35"/>
        <v>CD-LAU-BBG-EBC-VDE-02</v>
      </c>
      <c r="E160" t="s">
        <v>37</v>
      </c>
      <c r="F160" t="str">
        <f>VLOOKUP(E160,Localizacoes!$A$3:$B$100,2,FALSE)</f>
        <v>CD</v>
      </c>
      <c r="G160" t="str">
        <f>VLOOKUP(E160,ID!$A$3:$B$100,2,FALSE)</f>
        <v>CD</v>
      </c>
      <c r="H160" s="14" t="s">
        <v>33</v>
      </c>
      <c r="I160" t="str">
        <f>VLOOKUP(H160,Localizacoes!$C$3:$D$100,2,FALSE)</f>
        <v>LAU</v>
      </c>
      <c r="J160">
        <f>VLOOKUP(H160,ID!$C$3:$D$100,2,FALSE)</f>
        <v>44</v>
      </c>
      <c r="K160" t="s">
        <v>274</v>
      </c>
      <c r="L160" t="str">
        <f>VLOOKUP(K160,Localizacoes!$E$3:$F$100,2,FALSE)</f>
        <v>BBG</v>
      </c>
      <c r="M160" t="str">
        <f>VLOOKUP(K160,ID!$E$3:$F$100,2,FALSE)</f>
        <v>BBG</v>
      </c>
      <c r="N160" t="s">
        <v>704</v>
      </c>
      <c r="O160" t="str">
        <f>VLOOKUP(N160,Localizacoes!$G$3:$H$100,2,FALSE)</f>
        <v>EBC</v>
      </c>
      <c r="P160">
        <f>VLOOKUP(N160,ID!$G$3:$H$100,2,FALSE)</f>
        <v>131</v>
      </c>
      <c r="Q160" t="s">
        <v>279</v>
      </c>
      <c r="R160" t="str">
        <f>VLOOKUP(Q160,Localizacoes!$I$3:$J$100,2,FALSE)</f>
        <v>VDE</v>
      </c>
      <c r="S160" t="str">
        <f>VLOOKUP(Q160,ID!$I$3:$J$100,2,FALSE)</f>
        <v>VDE</v>
      </c>
      <c r="T160" s="4" t="s">
        <v>186</v>
      </c>
      <c r="U160" t="s">
        <v>264</v>
      </c>
      <c r="Y160" t="s">
        <v>270</v>
      </c>
      <c r="Z160" t="str">
        <f t="shared" si="36"/>
        <v>Válvula Descarga 02</v>
      </c>
      <c r="AA160">
        <v>2007</v>
      </c>
      <c r="AD160" s="13" t="s">
        <v>267</v>
      </c>
      <c r="AF160" t="str">
        <f t="shared" si="37"/>
        <v>Electrobomba centrífugaVálvula Descarga</v>
      </c>
      <c r="AG160" s="28" t="str">
        <f>VLOOKUP(AF160,Imagens!$C$2:$D$42,2,FALSE)</f>
        <v>65e8cda0676b7</v>
      </c>
      <c r="AH160" t="str">
        <f>_xlfn.CONCAT(Imagens!$H$2,'registo_ativo-CDs (1)'!AG160)</f>
        <v>assets/imagens/products/65e8cda0676b7</v>
      </c>
      <c r="AI160" s="67">
        <v>45376</v>
      </c>
      <c r="AK160" s="32"/>
    </row>
    <row r="161" spans="1:37" ht="16.8" customHeight="1" x14ac:dyDescent="0.3">
      <c r="A161">
        <f t="shared" si="38"/>
        <v>15</v>
      </c>
      <c r="B161" t="str">
        <f t="shared" si="34"/>
        <v>CD44BBG131BOM03</v>
      </c>
      <c r="C161" t="str">
        <f t="shared" si="35"/>
        <v>CD-LAU-BBG-EBC-BOM-03</v>
      </c>
      <c r="E161" t="s">
        <v>37</v>
      </c>
      <c r="F161" t="str">
        <f>VLOOKUP(E161,Localizacoes!$A$3:$B$100,2,FALSE)</f>
        <v>CD</v>
      </c>
      <c r="G161" t="str">
        <f>VLOOKUP(E161,ID!$A$3:$B$100,2,FALSE)</f>
        <v>CD</v>
      </c>
      <c r="H161" s="14" t="s">
        <v>33</v>
      </c>
      <c r="I161" t="str">
        <f>VLOOKUP(H161,Localizacoes!$C$3:$D$100,2,FALSE)</f>
        <v>LAU</v>
      </c>
      <c r="J161">
        <f>VLOOKUP(H161,ID!$C$3:$D$100,2,FALSE)</f>
        <v>44</v>
      </c>
      <c r="K161" t="s">
        <v>274</v>
      </c>
      <c r="L161" t="str">
        <f>VLOOKUP(K161,Localizacoes!$E$3:$F$100,2,FALSE)</f>
        <v>BBG</v>
      </c>
      <c r="M161" t="str">
        <f>VLOOKUP(K161,ID!$E$3:$F$100,2,FALSE)</f>
        <v>BBG</v>
      </c>
      <c r="N161" t="s">
        <v>704</v>
      </c>
      <c r="O161" t="str">
        <f>VLOOKUP(N161,Localizacoes!$G$3:$H$100,2,FALSE)</f>
        <v>EBC</v>
      </c>
      <c r="P161">
        <f>VLOOKUP(N161,ID!$G$3:$H$100,2,FALSE)</f>
        <v>131</v>
      </c>
      <c r="Q161" t="s">
        <v>150</v>
      </c>
      <c r="R161" t="str">
        <f>VLOOKUP(Q161,Localizacoes!$I$3:$J$100,2,FALSE)</f>
        <v>BOM</v>
      </c>
      <c r="S161" t="str">
        <f>VLOOKUP(Q161,ID!$I$3:$J$100,2,FALSE)</f>
        <v>BOM</v>
      </c>
      <c r="T161" s="4" t="s">
        <v>187</v>
      </c>
      <c r="U161" t="s">
        <v>264</v>
      </c>
      <c r="V161" t="s">
        <v>414</v>
      </c>
      <c r="W161" t="s">
        <v>413</v>
      </c>
      <c r="Y161" t="s">
        <v>270</v>
      </c>
      <c r="Z161" t="str">
        <f t="shared" si="36"/>
        <v>Bomba 03</v>
      </c>
      <c r="AA161">
        <v>2007</v>
      </c>
      <c r="AD161" s="13" t="s">
        <v>7</v>
      </c>
      <c r="AF161" t="str">
        <f t="shared" si="37"/>
        <v>Electrobomba centrífugaBomba</v>
      </c>
      <c r="AG161" s="28" t="str">
        <f>VLOOKUP(AF161,Imagens!$C$2:$D$42,2,FALSE)</f>
        <v>65e96125c1d11</v>
      </c>
      <c r="AH161" t="str">
        <f>_xlfn.CONCAT(Imagens!$H$2,'registo_ativo-CDs (1)'!AG161)</f>
        <v>assets/imagens/products/65e96125c1d11</v>
      </c>
      <c r="AI161" s="67">
        <v>45320</v>
      </c>
      <c r="AK161" s="32"/>
    </row>
    <row r="162" spans="1:37" ht="16.8" customHeight="1" x14ac:dyDescent="0.3">
      <c r="A162">
        <f t="shared" si="38"/>
        <v>15</v>
      </c>
      <c r="B162" t="str">
        <f t="shared" si="34"/>
        <v>CD44BBG131MOT03</v>
      </c>
      <c r="C162" t="str">
        <f t="shared" si="35"/>
        <v>CD-LAU-BBG-EBC-MOT-03</v>
      </c>
      <c r="E162" t="s">
        <v>37</v>
      </c>
      <c r="F162" t="str">
        <f>VLOOKUP(E162,Localizacoes!$A$3:$B$100,2,FALSE)</f>
        <v>CD</v>
      </c>
      <c r="G162" t="str">
        <f>VLOOKUP(E162,ID!$A$3:$B$100,2,FALSE)</f>
        <v>CD</v>
      </c>
      <c r="H162" s="14" t="s">
        <v>33</v>
      </c>
      <c r="I162" t="str">
        <f>VLOOKUP(H162,Localizacoes!$C$3:$D$100,2,FALSE)</f>
        <v>LAU</v>
      </c>
      <c r="J162">
        <f>VLOOKUP(H162,ID!$C$3:$D$100,2,FALSE)</f>
        <v>44</v>
      </c>
      <c r="K162" t="s">
        <v>274</v>
      </c>
      <c r="L162" t="str">
        <f>VLOOKUP(K162,Localizacoes!$E$3:$F$100,2,FALSE)</f>
        <v>BBG</v>
      </c>
      <c r="M162" t="str">
        <f>VLOOKUP(K162,ID!$E$3:$F$100,2,FALSE)</f>
        <v>BBG</v>
      </c>
      <c r="N162" t="s">
        <v>704</v>
      </c>
      <c r="O162" t="str">
        <f>VLOOKUP(N162,Localizacoes!$G$3:$H$100,2,FALSE)</f>
        <v>EBC</v>
      </c>
      <c r="P162">
        <f>VLOOKUP(N162,ID!$G$3:$H$100,2,FALSE)</f>
        <v>131</v>
      </c>
      <c r="Q162" t="s">
        <v>21</v>
      </c>
      <c r="R162" t="str">
        <f>VLOOKUP(Q162,Localizacoes!$I$3:$J$100,2,FALSE)</f>
        <v>MOT</v>
      </c>
      <c r="S162" t="str">
        <f>VLOOKUP(Q162,ID!$I$3:$J$100,2,FALSE)</f>
        <v>MOT</v>
      </c>
      <c r="T162" s="4" t="s">
        <v>187</v>
      </c>
      <c r="U162" t="s">
        <v>265</v>
      </c>
      <c r="V162" t="s">
        <v>411</v>
      </c>
      <c r="W162" t="s">
        <v>415</v>
      </c>
      <c r="Y162" t="s">
        <v>270</v>
      </c>
      <c r="Z162" t="str">
        <f t="shared" si="36"/>
        <v>Motor 03</v>
      </c>
      <c r="AA162">
        <v>2007</v>
      </c>
      <c r="AD162" s="13" t="s">
        <v>7</v>
      </c>
      <c r="AF162" t="str">
        <f t="shared" si="37"/>
        <v>Electrobomba centrífugaMotor</v>
      </c>
      <c r="AG162" s="28" t="str">
        <f>VLOOKUP(AF162,Imagens!$C$2:$D$42,2,FALSE)</f>
        <v>65d04210323a4</v>
      </c>
      <c r="AH162" t="str">
        <f>_xlfn.CONCAT(Imagens!$H$2,'registo_ativo-CDs (1)'!AG162)</f>
        <v>assets/imagens/products/65d04210323a4</v>
      </c>
      <c r="AI162" s="67">
        <v>45320</v>
      </c>
      <c r="AK162" s="32"/>
    </row>
    <row r="163" spans="1:37" ht="16.8" customHeight="1" x14ac:dyDescent="0.3">
      <c r="A163">
        <f t="shared" si="38"/>
        <v>15</v>
      </c>
      <c r="B163" t="str">
        <f t="shared" si="34"/>
        <v>CD44BBG131QEA03</v>
      </c>
      <c r="C163" t="str">
        <f t="shared" si="35"/>
        <v>CD-LAU-BBG-EBC-QEA-03</v>
      </c>
      <c r="E163" t="s">
        <v>37</v>
      </c>
      <c r="F163" t="str">
        <f>VLOOKUP(E163,Localizacoes!$A$3:$B$100,2,FALSE)</f>
        <v>CD</v>
      </c>
      <c r="G163" t="str">
        <f>VLOOKUP(E163,ID!$A$3:$B$100,2,FALSE)</f>
        <v>CD</v>
      </c>
      <c r="H163" s="14" t="s">
        <v>33</v>
      </c>
      <c r="I163" t="str">
        <f>VLOOKUP(H163,Localizacoes!$C$3:$D$100,2,FALSE)</f>
        <v>LAU</v>
      </c>
      <c r="J163">
        <f>VLOOKUP(H163,ID!$C$3:$D$100,2,FALSE)</f>
        <v>44</v>
      </c>
      <c r="K163" t="s">
        <v>274</v>
      </c>
      <c r="L163" t="str">
        <f>VLOOKUP(K163,Localizacoes!$E$3:$F$100,2,FALSE)</f>
        <v>BBG</v>
      </c>
      <c r="M163" t="str">
        <f>VLOOKUP(K163,ID!$E$3:$F$100,2,FALSE)</f>
        <v>BBG</v>
      </c>
      <c r="N163" t="s">
        <v>704</v>
      </c>
      <c r="O163" t="str">
        <f>VLOOKUP(N163,Localizacoes!$G$3:$H$100,2,FALSE)</f>
        <v>EBC</v>
      </c>
      <c r="P163">
        <f>VLOOKUP(N163,ID!$G$3:$H$100,2,FALSE)</f>
        <v>131</v>
      </c>
      <c r="Q163" t="s">
        <v>154</v>
      </c>
      <c r="R163" t="str">
        <f>VLOOKUP(Q163,Localizacoes!$I$3:$J$100,2,FALSE)</f>
        <v>QEA</v>
      </c>
      <c r="S163" t="str">
        <f>VLOOKUP(Q163,ID!$I$3:$J$100,2,FALSE)</f>
        <v>QEA</v>
      </c>
      <c r="T163" s="4" t="s">
        <v>187</v>
      </c>
      <c r="U163" t="s">
        <v>265</v>
      </c>
      <c r="Y163" t="s">
        <v>270</v>
      </c>
      <c r="Z163" t="str">
        <f t="shared" si="36"/>
        <v>Quadros Eléctricos de Arranque 03</v>
      </c>
      <c r="AA163">
        <v>2007</v>
      </c>
      <c r="AD163" s="13" t="s">
        <v>267</v>
      </c>
      <c r="AF163" t="str">
        <f t="shared" si="37"/>
        <v>Electrobomba centrífugaQuadros Eléctricos de Arranque</v>
      </c>
      <c r="AG163" s="28" t="str">
        <f>VLOOKUP(AF163,Imagens!$C$2:$D$42,2,FALSE)</f>
        <v>65e8d2fa35c12</v>
      </c>
      <c r="AH163" t="str">
        <f>_xlfn.CONCAT(Imagens!$H$2,'registo_ativo-CDs (1)'!AG163)</f>
        <v>assets/imagens/products/65e8d2fa35c12</v>
      </c>
      <c r="AI163" s="67">
        <v>45376</v>
      </c>
      <c r="AK163" s="32"/>
    </row>
    <row r="164" spans="1:37" ht="16.8" customHeight="1" x14ac:dyDescent="0.3">
      <c r="A164">
        <f t="shared" si="38"/>
        <v>15</v>
      </c>
      <c r="B164" t="str">
        <f t="shared" si="34"/>
        <v>CD44BBG131VSU03</v>
      </c>
      <c r="C164" t="str">
        <f t="shared" si="35"/>
        <v>CD-LAU-BBG-EBC-VSU-03</v>
      </c>
      <c r="E164" t="s">
        <v>37</v>
      </c>
      <c r="F164" t="str">
        <f>VLOOKUP(E164,Localizacoes!$A$3:$B$100,2,FALSE)</f>
        <v>CD</v>
      </c>
      <c r="G164" t="str">
        <f>VLOOKUP(E164,ID!$A$3:$B$100,2,FALSE)</f>
        <v>CD</v>
      </c>
      <c r="H164" s="14" t="s">
        <v>33</v>
      </c>
      <c r="I164" t="str">
        <f>VLOOKUP(H164,Localizacoes!$C$3:$D$100,2,FALSE)</f>
        <v>LAU</v>
      </c>
      <c r="J164">
        <f>VLOOKUP(H164,ID!$C$3:$D$100,2,FALSE)</f>
        <v>44</v>
      </c>
      <c r="K164" t="s">
        <v>274</v>
      </c>
      <c r="L164" t="str">
        <f>VLOOKUP(K164,Localizacoes!$E$3:$F$100,2,FALSE)</f>
        <v>BBG</v>
      </c>
      <c r="M164" t="str">
        <f>VLOOKUP(K164,ID!$E$3:$F$100,2,FALSE)</f>
        <v>BBG</v>
      </c>
      <c r="N164" t="s">
        <v>704</v>
      </c>
      <c r="O164" t="str">
        <f>VLOOKUP(N164,Localizacoes!$G$3:$H$100,2,FALSE)</f>
        <v>EBC</v>
      </c>
      <c r="P164">
        <f>VLOOKUP(N164,ID!$G$3:$H$100,2,FALSE)</f>
        <v>131</v>
      </c>
      <c r="Q164" t="s">
        <v>276</v>
      </c>
      <c r="R164" t="str">
        <f>VLOOKUP(Q164,Localizacoes!$I$3:$J$100,2,FALSE)</f>
        <v>VSU</v>
      </c>
      <c r="S164" t="str">
        <f>VLOOKUP(Q164,ID!$I$3:$J$100,2,FALSE)</f>
        <v>VSU</v>
      </c>
      <c r="T164" s="4" t="s">
        <v>187</v>
      </c>
      <c r="U164" t="s">
        <v>264</v>
      </c>
      <c r="Y164" t="s">
        <v>270</v>
      </c>
      <c r="Z164" t="str">
        <f t="shared" si="36"/>
        <v>Válvula Sucção 03</v>
      </c>
      <c r="AA164">
        <v>2007</v>
      </c>
      <c r="AD164" s="13" t="s">
        <v>267</v>
      </c>
      <c r="AF164" t="str">
        <f t="shared" si="37"/>
        <v>Electrobomba centrífugaVálvula Sucção</v>
      </c>
      <c r="AG164" s="28" t="str">
        <f>VLOOKUP(AF164,Imagens!$C$2:$D$42,2,FALSE)</f>
        <v>65e8cda0676b7</v>
      </c>
      <c r="AH164" t="str">
        <f>_xlfn.CONCAT(Imagens!$H$2,'registo_ativo-CDs (1)'!AG164)</f>
        <v>assets/imagens/products/65e8cda0676b7</v>
      </c>
      <c r="AI164" s="67">
        <v>45376</v>
      </c>
      <c r="AK164" s="32"/>
    </row>
    <row r="165" spans="1:37" ht="16.8" customHeight="1" x14ac:dyDescent="0.3">
      <c r="A165">
        <f t="shared" si="38"/>
        <v>15</v>
      </c>
      <c r="B165" t="str">
        <f t="shared" si="34"/>
        <v>CD44BBG131VDE03</v>
      </c>
      <c r="C165" t="str">
        <f t="shared" si="35"/>
        <v>CD-LAU-BBG-EBC-VDE-03</v>
      </c>
      <c r="E165" t="s">
        <v>37</v>
      </c>
      <c r="F165" t="str">
        <f>VLOOKUP(E165,Localizacoes!$A$3:$B$100,2,FALSE)</f>
        <v>CD</v>
      </c>
      <c r="G165" t="str">
        <f>VLOOKUP(E165,ID!$A$3:$B$100,2,FALSE)</f>
        <v>CD</v>
      </c>
      <c r="H165" s="14" t="s">
        <v>33</v>
      </c>
      <c r="I165" t="str">
        <f>VLOOKUP(H165,Localizacoes!$C$3:$D$100,2,FALSE)</f>
        <v>LAU</v>
      </c>
      <c r="J165">
        <f>VLOOKUP(H165,ID!$C$3:$D$100,2,FALSE)</f>
        <v>44</v>
      </c>
      <c r="K165" t="s">
        <v>274</v>
      </c>
      <c r="L165" t="str">
        <f>VLOOKUP(K165,Localizacoes!$E$3:$F$100,2,FALSE)</f>
        <v>BBG</v>
      </c>
      <c r="M165" t="str">
        <f>VLOOKUP(K165,ID!$E$3:$F$100,2,FALSE)</f>
        <v>BBG</v>
      </c>
      <c r="N165" t="s">
        <v>704</v>
      </c>
      <c r="O165" t="str">
        <f>VLOOKUP(N165,Localizacoes!$G$3:$H$100,2,FALSE)</f>
        <v>EBC</v>
      </c>
      <c r="P165">
        <f>VLOOKUP(N165,ID!$G$3:$H$100,2,FALSE)</f>
        <v>131</v>
      </c>
      <c r="Q165" t="s">
        <v>279</v>
      </c>
      <c r="R165" t="str">
        <f>VLOOKUP(Q165,Localizacoes!$I$3:$J$100,2,FALSE)</f>
        <v>VDE</v>
      </c>
      <c r="S165" t="str">
        <f>VLOOKUP(Q165,ID!$I$3:$J$100,2,FALSE)</f>
        <v>VDE</v>
      </c>
      <c r="T165" s="4" t="s">
        <v>187</v>
      </c>
      <c r="U165" t="s">
        <v>264</v>
      </c>
      <c r="Y165" t="s">
        <v>270</v>
      </c>
      <c r="Z165" t="str">
        <f t="shared" si="36"/>
        <v>Válvula Descarga 03</v>
      </c>
      <c r="AA165">
        <v>2007</v>
      </c>
      <c r="AD165" s="13" t="s">
        <v>267</v>
      </c>
      <c r="AF165" t="str">
        <f t="shared" si="37"/>
        <v>Electrobomba centrífugaVálvula Descarga</v>
      </c>
      <c r="AG165" s="28" t="str">
        <f>VLOOKUP(AF165,Imagens!$C$2:$D$42,2,FALSE)</f>
        <v>65e8cda0676b7</v>
      </c>
      <c r="AH165" t="str">
        <f>_xlfn.CONCAT(Imagens!$H$2,'registo_ativo-CDs (1)'!AG165)</f>
        <v>assets/imagens/products/65e8cda0676b7</v>
      </c>
      <c r="AI165" s="67">
        <v>45376</v>
      </c>
      <c r="AK165" s="32"/>
    </row>
    <row r="166" spans="1:37" ht="16.8" customHeight="1" x14ac:dyDescent="0.3">
      <c r="A166">
        <f t="shared" si="38"/>
        <v>15</v>
      </c>
      <c r="B166" t="str">
        <f t="shared" si="34"/>
        <v>CD44BBG131BOM04</v>
      </c>
      <c r="C166" t="str">
        <f t="shared" si="35"/>
        <v>CD-LAU-BBG-EBC-BOM-04</v>
      </c>
      <c r="E166" t="s">
        <v>37</v>
      </c>
      <c r="F166" t="str">
        <f>VLOOKUP(E166,Localizacoes!$A$3:$B$100,2,FALSE)</f>
        <v>CD</v>
      </c>
      <c r="G166" t="str">
        <f>VLOOKUP(E166,ID!$A$3:$B$100,2,FALSE)</f>
        <v>CD</v>
      </c>
      <c r="H166" s="14" t="s">
        <v>33</v>
      </c>
      <c r="I166" t="str">
        <f>VLOOKUP(H166,Localizacoes!$C$3:$D$100,2,FALSE)</f>
        <v>LAU</v>
      </c>
      <c r="J166">
        <f>VLOOKUP(H166,ID!$C$3:$D$100,2,FALSE)</f>
        <v>44</v>
      </c>
      <c r="K166" t="s">
        <v>274</v>
      </c>
      <c r="L166" t="str">
        <f>VLOOKUP(K166,Localizacoes!$E$3:$F$100,2,FALSE)</f>
        <v>BBG</v>
      </c>
      <c r="M166" t="str">
        <f>VLOOKUP(K166,ID!$E$3:$F$100,2,FALSE)</f>
        <v>BBG</v>
      </c>
      <c r="N166" t="s">
        <v>704</v>
      </c>
      <c r="O166" t="str">
        <f>VLOOKUP(N166,Localizacoes!$G$3:$H$100,2,FALSE)</f>
        <v>EBC</v>
      </c>
      <c r="P166">
        <f>VLOOKUP(N166,ID!$G$3:$H$100,2,FALSE)</f>
        <v>131</v>
      </c>
      <c r="Q166" t="s">
        <v>150</v>
      </c>
      <c r="R166" t="str">
        <f>VLOOKUP(Q166,Localizacoes!$I$3:$J$100,2,FALSE)</f>
        <v>BOM</v>
      </c>
      <c r="S166" t="str">
        <f>VLOOKUP(Q166,ID!$I$3:$J$100,2,FALSE)</f>
        <v>BOM</v>
      </c>
      <c r="T166" s="4" t="s">
        <v>188</v>
      </c>
      <c r="U166" t="s">
        <v>264</v>
      </c>
      <c r="Y166" t="s">
        <v>372</v>
      </c>
      <c r="Z166" t="str">
        <f t="shared" si="36"/>
        <v>Bomba 04</v>
      </c>
      <c r="AA166">
        <v>2007</v>
      </c>
      <c r="AD166" s="13" t="s">
        <v>7</v>
      </c>
      <c r="AF166" t="str">
        <f t="shared" si="37"/>
        <v>Electrobomba centrífugaBomba</v>
      </c>
      <c r="AG166" s="28" t="str">
        <f>VLOOKUP(AF166,Imagens!$C$2:$D$42,2,FALSE)</f>
        <v>65e96125c1d11</v>
      </c>
      <c r="AH166" t="str">
        <f>_xlfn.CONCAT(Imagens!$H$2,'registo_ativo-CDs (1)'!AG166)</f>
        <v>assets/imagens/products/65e96125c1d11</v>
      </c>
      <c r="AI166" s="67">
        <v>45320</v>
      </c>
      <c r="AK166" s="32"/>
    </row>
    <row r="167" spans="1:37" ht="16.8" customHeight="1" x14ac:dyDescent="0.3">
      <c r="A167">
        <f t="shared" si="38"/>
        <v>15</v>
      </c>
      <c r="B167" t="str">
        <f t="shared" si="34"/>
        <v>CD44BBG131MOT04</v>
      </c>
      <c r="C167" t="str">
        <f t="shared" si="35"/>
        <v>CD-LAU-BBG-EBC-MOT-04</v>
      </c>
      <c r="E167" t="s">
        <v>37</v>
      </c>
      <c r="F167" t="str">
        <f>VLOOKUP(E167,Localizacoes!$A$3:$B$100,2,FALSE)</f>
        <v>CD</v>
      </c>
      <c r="G167" t="str">
        <f>VLOOKUP(E167,ID!$A$3:$B$100,2,FALSE)</f>
        <v>CD</v>
      </c>
      <c r="H167" s="14" t="s">
        <v>33</v>
      </c>
      <c r="I167" t="str">
        <f>VLOOKUP(H167,Localizacoes!$C$3:$D$100,2,FALSE)</f>
        <v>LAU</v>
      </c>
      <c r="J167">
        <f>VLOOKUP(H167,ID!$C$3:$D$100,2,FALSE)</f>
        <v>44</v>
      </c>
      <c r="K167" t="s">
        <v>274</v>
      </c>
      <c r="L167" t="str">
        <f>VLOOKUP(K167,Localizacoes!$E$3:$F$100,2,FALSE)</f>
        <v>BBG</v>
      </c>
      <c r="M167" t="str">
        <f>VLOOKUP(K167,ID!$E$3:$F$100,2,FALSE)</f>
        <v>BBG</v>
      </c>
      <c r="N167" t="s">
        <v>704</v>
      </c>
      <c r="O167" t="str">
        <f>VLOOKUP(N167,Localizacoes!$G$3:$H$100,2,FALSE)</f>
        <v>EBC</v>
      </c>
      <c r="P167">
        <f>VLOOKUP(N167,ID!$G$3:$H$100,2,FALSE)</f>
        <v>131</v>
      </c>
      <c r="Q167" t="s">
        <v>21</v>
      </c>
      <c r="R167" t="str">
        <f>VLOOKUP(Q167,Localizacoes!$I$3:$J$100,2,FALSE)</f>
        <v>MOT</v>
      </c>
      <c r="S167" t="str">
        <f>VLOOKUP(Q167,ID!$I$3:$J$100,2,FALSE)</f>
        <v>MOT</v>
      </c>
      <c r="T167" s="4" t="s">
        <v>188</v>
      </c>
      <c r="U167" t="s">
        <v>265</v>
      </c>
      <c r="Y167" t="s">
        <v>372</v>
      </c>
      <c r="Z167" t="str">
        <f t="shared" si="36"/>
        <v>Motor 04</v>
      </c>
      <c r="AA167">
        <v>2007</v>
      </c>
      <c r="AD167" s="13" t="s">
        <v>7</v>
      </c>
      <c r="AF167" t="str">
        <f t="shared" si="37"/>
        <v>Electrobomba centrífugaMotor</v>
      </c>
      <c r="AG167" s="28" t="str">
        <f>VLOOKUP(AF167,Imagens!$C$2:$D$42,2,FALSE)</f>
        <v>65d04210323a4</v>
      </c>
      <c r="AH167" t="str">
        <f>_xlfn.CONCAT(Imagens!$H$2,'registo_ativo-CDs (1)'!AG167)</f>
        <v>assets/imagens/products/65d04210323a4</v>
      </c>
      <c r="AI167" s="67">
        <v>45320</v>
      </c>
      <c r="AK167" s="32"/>
    </row>
    <row r="168" spans="1:37" ht="16.8" customHeight="1" x14ac:dyDescent="0.3">
      <c r="A168">
        <f t="shared" si="38"/>
        <v>15</v>
      </c>
      <c r="B168" t="str">
        <f t="shared" si="34"/>
        <v>CD44BBG131QEA04</v>
      </c>
      <c r="C168" t="str">
        <f t="shared" si="35"/>
        <v>CD-LAU-BBG-EBC-QEA-04</v>
      </c>
      <c r="E168" t="s">
        <v>37</v>
      </c>
      <c r="F168" t="str">
        <f>VLOOKUP(E168,Localizacoes!$A$3:$B$100,2,FALSE)</f>
        <v>CD</v>
      </c>
      <c r="G168" t="str">
        <f>VLOOKUP(E168,ID!$A$3:$B$100,2,FALSE)</f>
        <v>CD</v>
      </c>
      <c r="H168" s="14" t="s">
        <v>33</v>
      </c>
      <c r="I168" t="str">
        <f>VLOOKUP(H168,Localizacoes!$C$3:$D$100,2,FALSE)</f>
        <v>LAU</v>
      </c>
      <c r="J168">
        <f>VLOOKUP(H168,ID!$C$3:$D$100,2,FALSE)</f>
        <v>44</v>
      </c>
      <c r="K168" t="s">
        <v>274</v>
      </c>
      <c r="L168" t="str">
        <f>VLOOKUP(K168,Localizacoes!$E$3:$F$100,2,FALSE)</f>
        <v>BBG</v>
      </c>
      <c r="M168" t="str">
        <f>VLOOKUP(K168,ID!$E$3:$F$100,2,FALSE)</f>
        <v>BBG</v>
      </c>
      <c r="N168" t="s">
        <v>704</v>
      </c>
      <c r="O168" t="str">
        <f>VLOOKUP(N168,Localizacoes!$G$3:$H$100,2,FALSE)</f>
        <v>EBC</v>
      </c>
      <c r="P168">
        <f>VLOOKUP(N168,ID!$G$3:$H$100,2,FALSE)</f>
        <v>131</v>
      </c>
      <c r="Q168" t="s">
        <v>154</v>
      </c>
      <c r="R168" t="str">
        <f>VLOOKUP(Q168,Localizacoes!$I$3:$J$100,2,FALSE)</f>
        <v>QEA</v>
      </c>
      <c r="S168" t="str">
        <f>VLOOKUP(Q168,ID!$I$3:$J$100,2,FALSE)</f>
        <v>QEA</v>
      </c>
      <c r="T168" s="4" t="s">
        <v>188</v>
      </c>
      <c r="U168" t="s">
        <v>265</v>
      </c>
      <c r="Y168" t="s">
        <v>372</v>
      </c>
      <c r="Z168" t="str">
        <f t="shared" si="36"/>
        <v>Quadros Eléctricos de Arranque 04</v>
      </c>
      <c r="AA168">
        <v>2007</v>
      </c>
      <c r="AD168" s="13" t="s">
        <v>267</v>
      </c>
      <c r="AF168" t="str">
        <f t="shared" si="37"/>
        <v>Electrobomba centrífugaQuadros Eléctricos de Arranque</v>
      </c>
      <c r="AG168" s="28" t="str">
        <f>VLOOKUP(AF168,Imagens!$C$2:$D$42,2,FALSE)</f>
        <v>65e8d2fa35c12</v>
      </c>
      <c r="AH168" t="str">
        <f>_xlfn.CONCAT(Imagens!$H$2,'registo_ativo-CDs (1)'!AG168)</f>
        <v>assets/imagens/products/65e8d2fa35c12</v>
      </c>
      <c r="AI168" s="67">
        <v>45376</v>
      </c>
      <c r="AK168" s="32"/>
    </row>
    <row r="169" spans="1:37" ht="16.8" customHeight="1" x14ac:dyDescent="0.3">
      <c r="A169">
        <f t="shared" si="38"/>
        <v>15</v>
      </c>
      <c r="B169" t="str">
        <f t="shared" si="34"/>
        <v>CD44BBG131VSU04</v>
      </c>
      <c r="C169" t="str">
        <f t="shared" si="35"/>
        <v>CD-LAU-BBG-EBC-VSU-04</v>
      </c>
      <c r="E169" t="s">
        <v>37</v>
      </c>
      <c r="F169" t="str">
        <f>VLOOKUP(E169,Localizacoes!$A$3:$B$100,2,FALSE)</f>
        <v>CD</v>
      </c>
      <c r="G169" t="str">
        <f>VLOOKUP(E169,ID!$A$3:$B$100,2,FALSE)</f>
        <v>CD</v>
      </c>
      <c r="H169" s="14" t="s">
        <v>33</v>
      </c>
      <c r="I169" t="str">
        <f>VLOOKUP(H169,Localizacoes!$C$3:$D$100,2,FALSE)</f>
        <v>LAU</v>
      </c>
      <c r="J169">
        <f>VLOOKUP(H169,ID!$C$3:$D$100,2,FALSE)</f>
        <v>44</v>
      </c>
      <c r="K169" t="s">
        <v>274</v>
      </c>
      <c r="L169" t="str">
        <f>VLOOKUP(K169,Localizacoes!$E$3:$F$100,2,FALSE)</f>
        <v>BBG</v>
      </c>
      <c r="M169" t="str">
        <f>VLOOKUP(K169,ID!$E$3:$F$100,2,FALSE)</f>
        <v>BBG</v>
      </c>
      <c r="N169" t="s">
        <v>704</v>
      </c>
      <c r="O169" t="str">
        <f>VLOOKUP(N169,Localizacoes!$G$3:$H$100,2,FALSE)</f>
        <v>EBC</v>
      </c>
      <c r="P169">
        <f>VLOOKUP(N169,ID!$G$3:$H$100,2,FALSE)</f>
        <v>131</v>
      </c>
      <c r="Q169" t="s">
        <v>276</v>
      </c>
      <c r="R169" t="str">
        <f>VLOOKUP(Q169,Localizacoes!$I$3:$J$100,2,FALSE)</f>
        <v>VSU</v>
      </c>
      <c r="S169" t="str">
        <f>VLOOKUP(Q169,ID!$I$3:$J$100,2,FALSE)</f>
        <v>VSU</v>
      </c>
      <c r="T169" s="4" t="s">
        <v>188</v>
      </c>
      <c r="U169" t="s">
        <v>264</v>
      </c>
      <c r="Y169" t="s">
        <v>372</v>
      </c>
      <c r="Z169" t="str">
        <f t="shared" si="36"/>
        <v>Válvula Sucção 04</v>
      </c>
      <c r="AA169">
        <v>2007</v>
      </c>
      <c r="AD169" s="13" t="s">
        <v>267</v>
      </c>
      <c r="AF169" t="str">
        <f t="shared" si="37"/>
        <v>Electrobomba centrífugaVálvula Sucção</v>
      </c>
      <c r="AG169" s="28" t="str">
        <f>VLOOKUP(AF169,Imagens!$C$2:$D$42,2,FALSE)</f>
        <v>65e8cda0676b7</v>
      </c>
      <c r="AH169" t="str">
        <f>_xlfn.CONCAT(Imagens!$H$2,'registo_ativo-CDs (1)'!AG169)</f>
        <v>assets/imagens/products/65e8cda0676b7</v>
      </c>
      <c r="AI169" s="67">
        <v>45376</v>
      </c>
      <c r="AK169" s="32"/>
    </row>
    <row r="170" spans="1:37" ht="16.8" customHeight="1" x14ac:dyDescent="0.3">
      <c r="A170">
        <f t="shared" si="38"/>
        <v>15</v>
      </c>
      <c r="B170" t="str">
        <f t="shared" si="34"/>
        <v>CD44BBG131VDE04</v>
      </c>
      <c r="C170" t="str">
        <f t="shared" si="35"/>
        <v>CD-LAU-BBG-EBC-VDE-04</v>
      </c>
      <c r="E170" t="s">
        <v>37</v>
      </c>
      <c r="F170" t="str">
        <f>VLOOKUP(E170,Localizacoes!$A$3:$B$100,2,FALSE)</f>
        <v>CD</v>
      </c>
      <c r="G170" t="str">
        <f>VLOOKUP(E170,ID!$A$3:$B$100,2,FALSE)</f>
        <v>CD</v>
      </c>
      <c r="H170" s="14" t="s">
        <v>33</v>
      </c>
      <c r="I170" t="str">
        <f>VLOOKUP(H170,Localizacoes!$C$3:$D$100,2,FALSE)</f>
        <v>LAU</v>
      </c>
      <c r="J170">
        <f>VLOOKUP(H170,ID!$C$3:$D$100,2,FALSE)</f>
        <v>44</v>
      </c>
      <c r="K170" t="s">
        <v>274</v>
      </c>
      <c r="L170" t="str">
        <f>VLOOKUP(K170,Localizacoes!$E$3:$F$100,2,FALSE)</f>
        <v>BBG</v>
      </c>
      <c r="M170" t="str">
        <f>VLOOKUP(K170,ID!$E$3:$F$100,2,FALSE)</f>
        <v>BBG</v>
      </c>
      <c r="N170" t="s">
        <v>704</v>
      </c>
      <c r="O170" t="str">
        <f>VLOOKUP(N170,Localizacoes!$G$3:$H$100,2,FALSE)</f>
        <v>EBC</v>
      </c>
      <c r="P170">
        <f>VLOOKUP(N170,ID!$G$3:$H$100,2,FALSE)</f>
        <v>131</v>
      </c>
      <c r="Q170" t="s">
        <v>279</v>
      </c>
      <c r="R170" t="str">
        <f>VLOOKUP(Q170,Localizacoes!$I$3:$J$100,2,FALSE)</f>
        <v>VDE</v>
      </c>
      <c r="S170" t="str">
        <f>VLOOKUP(Q170,ID!$I$3:$J$100,2,FALSE)</f>
        <v>VDE</v>
      </c>
      <c r="T170" s="4" t="s">
        <v>188</v>
      </c>
      <c r="U170" t="s">
        <v>264</v>
      </c>
      <c r="Y170" t="s">
        <v>372</v>
      </c>
      <c r="Z170" t="str">
        <f t="shared" si="36"/>
        <v>Válvula Descarga 04</v>
      </c>
      <c r="AA170">
        <v>2007</v>
      </c>
      <c r="AD170" s="13" t="s">
        <v>267</v>
      </c>
      <c r="AF170" t="str">
        <f t="shared" si="37"/>
        <v>Electrobomba centrífugaVálvula Descarga</v>
      </c>
      <c r="AG170" s="28" t="str">
        <f>VLOOKUP(AF170,Imagens!$C$2:$D$42,2,FALSE)</f>
        <v>65e8cda0676b7</v>
      </c>
      <c r="AH170" t="str">
        <f>_xlfn.CONCAT(Imagens!$H$2,'registo_ativo-CDs (1)'!AG170)</f>
        <v>assets/imagens/products/65e8cda0676b7</v>
      </c>
      <c r="AI170" s="67">
        <v>45376</v>
      </c>
      <c r="AK170" s="32"/>
    </row>
    <row r="171" spans="1:37" ht="16.8" customHeight="1" x14ac:dyDescent="0.3">
      <c r="A171">
        <f t="shared" si="38"/>
        <v>15</v>
      </c>
      <c r="B171" t="str">
        <f t="shared" si="34"/>
        <v>CD44BBG152QMT01</v>
      </c>
      <c r="C171" t="str">
        <f t="shared" si="35"/>
        <v>CD-LAU-BBG-QEL-QMT-01</v>
      </c>
      <c r="E171" t="s">
        <v>37</v>
      </c>
      <c r="F171" t="str">
        <f>VLOOKUP(E171,Localizacoes!$A$3:$B$100,2,FALSE)</f>
        <v>CD</v>
      </c>
      <c r="G171" t="str">
        <f>VLOOKUP(E171,ID!$A$3:$B$100,2,FALSE)</f>
        <v>CD</v>
      </c>
      <c r="H171" s="14" t="s">
        <v>33</v>
      </c>
      <c r="I171" t="str">
        <f>VLOOKUP(H171,Localizacoes!$C$3:$D$100,2,FALSE)</f>
        <v>LAU</v>
      </c>
      <c r="J171">
        <f>VLOOKUP(H171,ID!$C$3:$D$100,2,FALSE)</f>
        <v>44</v>
      </c>
      <c r="K171" t="s">
        <v>274</v>
      </c>
      <c r="L171" t="str">
        <f>VLOOKUP(K171,Localizacoes!$E$3:$F$100,2,FALSE)</f>
        <v>BBG</v>
      </c>
      <c r="M171" t="str">
        <f>VLOOKUP(K171,ID!$E$3:$F$100,2,FALSE)</f>
        <v>BBG</v>
      </c>
      <c r="N171" t="s">
        <v>286</v>
      </c>
      <c r="O171" t="str">
        <f>VLOOKUP(N171,Localizacoes!$G$3:$H$100,2,FALSE)</f>
        <v>QEL</v>
      </c>
      <c r="P171">
        <f>VLOOKUP(N171,ID!$G$3:$H$100,2,FALSE)</f>
        <v>152</v>
      </c>
      <c r="Q171" t="s">
        <v>445</v>
      </c>
      <c r="R171" t="str">
        <f>VLOOKUP(Q171,Localizacoes!$I$3:$J$100,2,FALSE)</f>
        <v>QMT</v>
      </c>
      <c r="S171" t="str">
        <f>VLOOKUP(Q171,ID!$I$3:$J$100,2,FALSE)</f>
        <v>QMT</v>
      </c>
      <c r="T171" s="4" t="s">
        <v>182</v>
      </c>
      <c r="U171" t="s">
        <v>265</v>
      </c>
      <c r="Y171" t="s">
        <v>270</v>
      </c>
      <c r="Z171" t="str">
        <f t="shared" si="36"/>
        <v>Quadro de Media Tensão 01</v>
      </c>
      <c r="AA171">
        <v>2007</v>
      </c>
      <c r="AD171" s="13" t="s">
        <v>267</v>
      </c>
      <c r="AF171" t="str">
        <f t="shared" si="37"/>
        <v>Quadro EléctricoQuadro de Media Tensão</v>
      </c>
      <c r="AG171" s="28" t="str">
        <f>VLOOKUP(AF171,Imagens!$C$2:$D$42,2,FALSE)</f>
        <v>65d1346bf3835</v>
      </c>
      <c r="AH171" t="str">
        <f>_xlfn.CONCAT(Imagens!$H$2,'registo_ativo-CDs (1)'!AG171)</f>
        <v>assets/imagens/products/65d1346bf3835</v>
      </c>
      <c r="AI171" s="67">
        <v>45376</v>
      </c>
      <c r="AK171" s="32"/>
    </row>
    <row r="172" spans="1:37" ht="16.8" customHeight="1" x14ac:dyDescent="0.3">
      <c r="A172">
        <f t="shared" si="38"/>
        <v>15</v>
      </c>
      <c r="B172" t="str">
        <f t="shared" si="34"/>
        <v>CD44BBG152QMT02</v>
      </c>
      <c r="C172" t="str">
        <f t="shared" si="35"/>
        <v>CD-LAU-BBG-QEL-QMT-02</v>
      </c>
      <c r="E172" t="s">
        <v>37</v>
      </c>
      <c r="F172" t="str">
        <f>VLOOKUP(E172,Localizacoes!$A$3:$B$100,2,FALSE)</f>
        <v>CD</v>
      </c>
      <c r="G172" t="str">
        <f>VLOOKUP(E172,ID!$A$3:$B$100,2,FALSE)</f>
        <v>CD</v>
      </c>
      <c r="H172" s="14" t="s">
        <v>33</v>
      </c>
      <c r="I172" t="str">
        <f>VLOOKUP(H172,Localizacoes!$C$3:$D$100,2,FALSE)</f>
        <v>LAU</v>
      </c>
      <c r="J172">
        <f>VLOOKUP(H172,ID!$C$3:$D$100,2,FALSE)</f>
        <v>44</v>
      </c>
      <c r="K172" t="s">
        <v>274</v>
      </c>
      <c r="L172" t="str">
        <f>VLOOKUP(K172,Localizacoes!$E$3:$F$100,2,FALSE)</f>
        <v>BBG</v>
      </c>
      <c r="M172" t="str">
        <f>VLOOKUP(K172,ID!$E$3:$F$100,2,FALSE)</f>
        <v>BBG</v>
      </c>
      <c r="N172" t="s">
        <v>286</v>
      </c>
      <c r="O172" t="str">
        <f>VLOOKUP(N172,Localizacoes!$G$3:$H$100,2,FALSE)</f>
        <v>QEL</v>
      </c>
      <c r="P172">
        <f>VLOOKUP(N172,ID!$G$3:$H$100,2,FALSE)</f>
        <v>152</v>
      </c>
      <c r="Q172" t="s">
        <v>445</v>
      </c>
      <c r="R172" t="str">
        <f>VLOOKUP(Q172,Localizacoes!$I$3:$J$100,2,FALSE)</f>
        <v>QMT</v>
      </c>
      <c r="S172" t="str">
        <f>VLOOKUP(Q172,ID!$I$3:$J$100,2,FALSE)</f>
        <v>QMT</v>
      </c>
      <c r="T172" s="4" t="s">
        <v>186</v>
      </c>
      <c r="U172" t="s">
        <v>265</v>
      </c>
      <c r="Y172" t="s">
        <v>270</v>
      </c>
      <c r="Z172" t="str">
        <f t="shared" si="36"/>
        <v>Quadro de Media Tensão 02</v>
      </c>
      <c r="AA172">
        <v>2007</v>
      </c>
      <c r="AD172" s="13" t="s">
        <v>267</v>
      </c>
      <c r="AF172" t="str">
        <f t="shared" si="37"/>
        <v>Quadro EléctricoQuadro de Media Tensão</v>
      </c>
      <c r="AG172" s="28" t="str">
        <f>VLOOKUP(AF172,Imagens!$C$2:$D$42,2,FALSE)</f>
        <v>65d1346bf3835</v>
      </c>
      <c r="AH172" t="str">
        <f>_xlfn.CONCAT(Imagens!$H$2,'registo_ativo-CDs (1)'!AG172)</f>
        <v>assets/imagens/products/65d1346bf3835</v>
      </c>
      <c r="AI172" s="67">
        <v>45376</v>
      </c>
      <c r="AK172" s="32"/>
    </row>
    <row r="173" spans="1:37" ht="16.8" customHeight="1" x14ac:dyDescent="0.3">
      <c r="A173">
        <f t="shared" si="38"/>
        <v>15</v>
      </c>
      <c r="B173" t="str">
        <f t="shared" si="34"/>
        <v>CD44BBG165QMT03</v>
      </c>
      <c r="C173" t="str">
        <f t="shared" si="35"/>
        <v>CD-LAU-BBG-SUB-QMT-03</v>
      </c>
      <c r="E173" t="s">
        <v>37</v>
      </c>
      <c r="F173" t="str">
        <f>VLOOKUP(E173,Localizacoes!$A$3:$B$100,2,FALSE)</f>
        <v>CD</v>
      </c>
      <c r="G173" t="str">
        <f>VLOOKUP(E173,ID!$A$3:$B$100,2,FALSE)</f>
        <v>CD</v>
      </c>
      <c r="H173" s="14" t="s">
        <v>33</v>
      </c>
      <c r="I173" t="str">
        <f>VLOOKUP(H173,Localizacoes!$C$3:$D$100,2,FALSE)</f>
        <v>LAU</v>
      </c>
      <c r="J173">
        <f>VLOOKUP(H173,ID!$C$3:$D$100,2,FALSE)</f>
        <v>44</v>
      </c>
      <c r="K173" t="s">
        <v>274</v>
      </c>
      <c r="L173" t="str">
        <f>VLOOKUP(K173,Localizacoes!$E$3:$F$100,2,FALSE)</f>
        <v>BBG</v>
      </c>
      <c r="M173" t="str">
        <f>VLOOKUP(K173,ID!$E$3:$F$100,2,FALSE)</f>
        <v>BBG</v>
      </c>
      <c r="N173" t="s">
        <v>112</v>
      </c>
      <c r="O173" t="str">
        <f>VLOOKUP(N173,Localizacoes!$G$3:$H$100,2,FALSE)</f>
        <v>SUB</v>
      </c>
      <c r="P173">
        <f>VLOOKUP(N173,ID!$G$3:$H$100,2,FALSE)</f>
        <v>165</v>
      </c>
      <c r="Q173" t="s">
        <v>445</v>
      </c>
      <c r="R173" t="str">
        <f>VLOOKUP(Q173,Localizacoes!$I$3:$J$100,2,FALSE)</f>
        <v>QMT</v>
      </c>
      <c r="S173" t="str">
        <f>VLOOKUP(Q173,ID!$I$3:$J$100,2,FALSE)</f>
        <v>QMT</v>
      </c>
      <c r="T173" s="4" t="s">
        <v>187</v>
      </c>
      <c r="U173" t="s">
        <v>265</v>
      </c>
      <c r="Y173" t="s">
        <v>270</v>
      </c>
      <c r="Z173" t="str">
        <f t="shared" si="36"/>
        <v>Quadro de Media Tensão 03</v>
      </c>
      <c r="AA173">
        <v>2007</v>
      </c>
      <c r="AD173" s="13" t="s">
        <v>267</v>
      </c>
      <c r="AF173" t="str">
        <f t="shared" si="37"/>
        <v>SubestaçãoQuadro de Media Tensão</v>
      </c>
      <c r="AG173" s="28" t="str">
        <f>VLOOKUP(AF173,Imagens!$C$2:$D$42,2,FALSE)</f>
        <v>65d1346bf3835</v>
      </c>
      <c r="AH173" t="str">
        <f>_xlfn.CONCAT(Imagens!$H$2,'registo_ativo-CDs (1)'!AG173)</f>
        <v>assets/imagens/products/65d1346bf3835</v>
      </c>
      <c r="AI173" s="67">
        <v>45376</v>
      </c>
      <c r="AK173" s="32"/>
    </row>
    <row r="174" spans="1:37" ht="16.8" customHeight="1" x14ac:dyDescent="0.3">
      <c r="A174">
        <f t="shared" si="38"/>
        <v>15</v>
      </c>
      <c r="B174" t="str">
        <f t="shared" si="34"/>
        <v>CD44BBG165QMT04</v>
      </c>
      <c r="C174" t="str">
        <f t="shared" si="35"/>
        <v>CD-LAU-BBG-SUB-QMT-04</v>
      </c>
      <c r="E174" t="s">
        <v>37</v>
      </c>
      <c r="F174" t="str">
        <f>VLOOKUP(E174,Localizacoes!$A$3:$B$100,2,FALSE)</f>
        <v>CD</v>
      </c>
      <c r="G174" t="str">
        <f>VLOOKUP(E174,ID!$A$3:$B$100,2,FALSE)</f>
        <v>CD</v>
      </c>
      <c r="H174" s="14" t="s">
        <v>33</v>
      </c>
      <c r="I174" t="str">
        <f>VLOOKUP(H174,Localizacoes!$C$3:$D$100,2,FALSE)</f>
        <v>LAU</v>
      </c>
      <c r="J174">
        <f>VLOOKUP(H174,ID!$C$3:$D$100,2,FALSE)</f>
        <v>44</v>
      </c>
      <c r="K174" t="s">
        <v>274</v>
      </c>
      <c r="L174" t="str">
        <f>VLOOKUP(K174,Localizacoes!$E$3:$F$100,2,FALSE)</f>
        <v>BBG</v>
      </c>
      <c r="M174" t="str">
        <f>VLOOKUP(K174,ID!$E$3:$F$100,2,FALSE)</f>
        <v>BBG</v>
      </c>
      <c r="N174" t="s">
        <v>112</v>
      </c>
      <c r="O174" t="str">
        <f>VLOOKUP(N174,Localizacoes!$G$3:$H$100,2,FALSE)</f>
        <v>SUB</v>
      </c>
      <c r="P174">
        <f>VLOOKUP(N174,ID!$G$3:$H$100,2,FALSE)</f>
        <v>165</v>
      </c>
      <c r="Q174" t="s">
        <v>445</v>
      </c>
      <c r="R174" t="str">
        <f>VLOOKUP(Q174,Localizacoes!$I$3:$J$100,2,FALSE)</f>
        <v>QMT</v>
      </c>
      <c r="S174" t="str">
        <f>VLOOKUP(Q174,ID!$I$3:$J$100,2,FALSE)</f>
        <v>QMT</v>
      </c>
      <c r="T174" s="4" t="s">
        <v>188</v>
      </c>
      <c r="U174" t="s">
        <v>265</v>
      </c>
      <c r="Y174" t="s">
        <v>270</v>
      </c>
      <c r="Z174" t="str">
        <f t="shared" si="36"/>
        <v>Quadro de Media Tensão 04</v>
      </c>
      <c r="AA174">
        <v>2007</v>
      </c>
      <c r="AD174" s="13" t="s">
        <v>267</v>
      </c>
      <c r="AF174" t="str">
        <f t="shared" si="37"/>
        <v>SubestaçãoQuadro de Media Tensão</v>
      </c>
      <c r="AG174" s="28" t="str">
        <f>VLOOKUP(AF174,Imagens!$C$2:$D$42,2,FALSE)</f>
        <v>65d1346bf3835</v>
      </c>
      <c r="AH174" t="str">
        <f>_xlfn.CONCAT(Imagens!$H$2,'registo_ativo-CDs (1)'!AG174)</f>
        <v>assets/imagens/products/65d1346bf3835</v>
      </c>
      <c r="AI174" s="67">
        <v>45376</v>
      </c>
      <c r="AK174" s="32"/>
    </row>
    <row r="175" spans="1:37" ht="16.8" customHeight="1" x14ac:dyDescent="0.3">
      <c r="A175">
        <f t="shared" si="38"/>
        <v>15</v>
      </c>
      <c r="B175" t="str">
        <f t="shared" si="34"/>
        <v>CD44BBG165QMT05</v>
      </c>
      <c r="C175" t="str">
        <f t="shared" si="35"/>
        <v>CD-LAU-BBG-SUB-QMT-05</v>
      </c>
      <c r="E175" t="s">
        <v>37</v>
      </c>
      <c r="F175" t="str">
        <f>VLOOKUP(E175,Localizacoes!$A$3:$B$100,2,FALSE)</f>
        <v>CD</v>
      </c>
      <c r="G175" t="str">
        <f>VLOOKUP(E175,ID!$A$3:$B$100,2,FALSE)</f>
        <v>CD</v>
      </c>
      <c r="H175" s="14" t="s">
        <v>33</v>
      </c>
      <c r="I175" t="str">
        <f>VLOOKUP(H175,Localizacoes!$C$3:$D$100,2,FALSE)</f>
        <v>LAU</v>
      </c>
      <c r="J175">
        <f>VLOOKUP(H175,ID!$C$3:$D$100,2,FALSE)</f>
        <v>44</v>
      </c>
      <c r="K175" t="s">
        <v>274</v>
      </c>
      <c r="L175" t="str">
        <f>VLOOKUP(K175,Localizacoes!$E$3:$F$100,2,FALSE)</f>
        <v>BBG</v>
      </c>
      <c r="M175" t="str">
        <f>VLOOKUP(K175,ID!$E$3:$F$100,2,FALSE)</f>
        <v>BBG</v>
      </c>
      <c r="N175" t="s">
        <v>112</v>
      </c>
      <c r="O175" t="str">
        <f>VLOOKUP(N175,Localizacoes!$G$3:$H$100,2,FALSE)</f>
        <v>SUB</v>
      </c>
      <c r="P175">
        <f>VLOOKUP(N175,ID!$G$3:$H$100,2,FALSE)</f>
        <v>165</v>
      </c>
      <c r="Q175" t="s">
        <v>445</v>
      </c>
      <c r="R175" t="str">
        <f>VLOOKUP(Q175,Localizacoes!$I$3:$J$100,2,FALSE)</f>
        <v>QMT</v>
      </c>
      <c r="S175" t="str">
        <f>VLOOKUP(Q175,ID!$I$3:$J$100,2,FALSE)</f>
        <v>QMT</v>
      </c>
      <c r="T175" s="4" t="s">
        <v>189</v>
      </c>
      <c r="U175" t="s">
        <v>265</v>
      </c>
      <c r="Y175" t="s">
        <v>270</v>
      </c>
      <c r="Z175" t="str">
        <f t="shared" si="36"/>
        <v>Quadro de Media Tensão 05</v>
      </c>
      <c r="AA175">
        <v>2007</v>
      </c>
      <c r="AD175" s="13" t="s">
        <v>267</v>
      </c>
      <c r="AF175" t="str">
        <f t="shared" si="37"/>
        <v>SubestaçãoQuadro de Media Tensão</v>
      </c>
      <c r="AG175" s="28" t="str">
        <f>VLOOKUP(AF175,Imagens!$C$2:$D$42,2,FALSE)</f>
        <v>65d1346bf3835</v>
      </c>
      <c r="AH175" t="str">
        <f>_xlfn.CONCAT(Imagens!$H$2,'registo_ativo-CDs (1)'!AG175)</f>
        <v>assets/imagens/products/65d1346bf3835</v>
      </c>
      <c r="AI175" s="67">
        <v>45376</v>
      </c>
      <c r="AK175" s="32"/>
    </row>
    <row r="176" spans="1:37" ht="16.8" customHeight="1" x14ac:dyDescent="0.3">
      <c r="A176">
        <f t="shared" si="38"/>
        <v>15</v>
      </c>
      <c r="B176" t="str">
        <f t="shared" si="34"/>
        <v>CD44BBG152QMT06</v>
      </c>
      <c r="C176" t="str">
        <f t="shared" si="35"/>
        <v>CD-LAU-BBG-QEL-QMT-06</v>
      </c>
      <c r="E176" t="s">
        <v>37</v>
      </c>
      <c r="F176" t="str">
        <f>VLOOKUP(E176,Localizacoes!$A$3:$B$100,2,FALSE)</f>
        <v>CD</v>
      </c>
      <c r="G176" t="str">
        <f>VLOOKUP(E176,ID!$A$3:$B$100,2,FALSE)</f>
        <v>CD</v>
      </c>
      <c r="H176" s="14" t="s">
        <v>33</v>
      </c>
      <c r="I176" t="str">
        <f>VLOOKUP(H176,Localizacoes!$C$3:$D$100,2,FALSE)</f>
        <v>LAU</v>
      </c>
      <c r="J176">
        <f>VLOOKUP(H176,ID!$C$3:$D$100,2,FALSE)</f>
        <v>44</v>
      </c>
      <c r="K176" t="s">
        <v>274</v>
      </c>
      <c r="L176" t="str">
        <f>VLOOKUP(K176,Localizacoes!$E$3:$F$100,2,FALSE)</f>
        <v>BBG</v>
      </c>
      <c r="M176" t="str">
        <f>VLOOKUP(K176,ID!$E$3:$F$100,2,FALSE)</f>
        <v>BBG</v>
      </c>
      <c r="N176" t="s">
        <v>286</v>
      </c>
      <c r="O176" t="str">
        <f>VLOOKUP(N176,Localizacoes!$G$3:$H$100,2,FALSE)</f>
        <v>QEL</v>
      </c>
      <c r="P176">
        <f>VLOOKUP(N176,ID!$G$3:$H$100,2,FALSE)</f>
        <v>152</v>
      </c>
      <c r="Q176" t="s">
        <v>445</v>
      </c>
      <c r="R176" t="str">
        <f>VLOOKUP(Q176,Localizacoes!$I$3:$J$100,2,FALSE)</f>
        <v>QMT</v>
      </c>
      <c r="S176" t="str">
        <f>VLOOKUP(Q176,ID!$I$3:$J$100,2,FALSE)</f>
        <v>QMT</v>
      </c>
      <c r="T176" s="4" t="s">
        <v>190</v>
      </c>
      <c r="U176" t="s">
        <v>265</v>
      </c>
      <c r="Y176" t="s">
        <v>270</v>
      </c>
      <c r="Z176" t="str">
        <f t="shared" si="36"/>
        <v>Quadro de Media Tensão 06</v>
      </c>
      <c r="AA176">
        <v>2007</v>
      </c>
      <c r="AD176" s="13" t="s">
        <v>267</v>
      </c>
      <c r="AF176" t="str">
        <f t="shared" si="37"/>
        <v>Quadro EléctricoQuadro de Media Tensão</v>
      </c>
      <c r="AG176" s="28" t="str">
        <f>VLOOKUP(AF176,Imagens!$C$2:$D$42,2,FALSE)</f>
        <v>65d1346bf3835</v>
      </c>
      <c r="AH176" t="str">
        <f>_xlfn.CONCAT(Imagens!$H$2,'registo_ativo-CDs (1)'!AG176)</f>
        <v>assets/imagens/products/65d1346bf3835</v>
      </c>
      <c r="AI176" s="67">
        <v>45376</v>
      </c>
      <c r="AK176" s="32"/>
    </row>
    <row r="177" spans="1:37" ht="16.8" customHeight="1" x14ac:dyDescent="0.3">
      <c r="A177">
        <f t="shared" si="38"/>
        <v>15</v>
      </c>
      <c r="B177" t="str">
        <f t="shared" si="34"/>
        <v>CD44ILU152QBT07</v>
      </c>
      <c r="C177" t="str">
        <f t="shared" si="35"/>
        <v>CD-LAU-ILU-QEL-QBT-07</v>
      </c>
      <c r="E177" t="s">
        <v>37</v>
      </c>
      <c r="F177" t="str">
        <f>VLOOKUP(E177,Localizacoes!$A$3:$B$100,2,FALSE)</f>
        <v>CD</v>
      </c>
      <c r="G177" t="str">
        <f>VLOOKUP(E177,ID!$A$3:$B$100,2,FALSE)</f>
        <v>CD</v>
      </c>
      <c r="H177" s="14" t="s">
        <v>33</v>
      </c>
      <c r="I177" t="str">
        <f>VLOOKUP(H177,Localizacoes!$C$3:$D$100,2,FALSE)</f>
        <v>LAU</v>
      </c>
      <c r="J177">
        <f>VLOOKUP(H177,ID!$C$3:$D$100,2,FALSE)</f>
        <v>44</v>
      </c>
      <c r="K177" t="s">
        <v>141</v>
      </c>
      <c r="L177" t="str">
        <f>VLOOKUP(K177,Localizacoes!$E$3:$F$100,2,FALSE)</f>
        <v>ILU</v>
      </c>
      <c r="M177" t="str">
        <f>VLOOKUP(K177,ID!$E$3:$F$100,2,FALSE)</f>
        <v>ILU</v>
      </c>
      <c r="N177" t="s">
        <v>286</v>
      </c>
      <c r="O177" t="str">
        <f>VLOOKUP(N177,Localizacoes!$G$3:$H$100,2,FALSE)</f>
        <v>QEL</v>
      </c>
      <c r="P177">
        <f>VLOOKUP(N177,ID!$G$3:$H$100,2,FALSE)</f>
        <v>152</v>
      </c>
      <c r="Q177" t="s">
        <v>443</v>
      </c>
      <c r="R177" t="str">
        <f>VLOOKUP(Q177,Localizacoes!$I$3:$J$100,2,FALSE)</f>
        <v>QBT</v>
      </c>
      <c r="S177" t="str">
        <f>VLOOKUP(Q177,ID!$I$3:$J$100,2,FALSE)</f>
        <v>QBT</v>
      </c>
      <c r="T177" s="4" t="s">
        <v>183</v>
      </c>
      <c r="U177" t="s">
        <v>265</v>
      </c>
      <c r="Y177" t="s">
        <v>270</v>
      </c>
      <c r="Z177" t="str">
        <f t="shared" si="36"/>
        <v>Quadro de Baixa Tensão 07</v>
      </c>
      <c r="AA177">
        <v>2007</v>
      </c>
      <c r="AD177" s="13" t="s">
        <v>267</v>
      </c>
      <c r="AF177" t="str">
        <f t="shared" si="37"/>
        <v>Quadro EléctricoQuadro de Baixa Tensão</v>
      </c>
      <c r="AG177" s="28" t="str">
        <f>VLOOKUP(AF177,Imagens!$C$2:$D$42,2,FALSE)</f>
        <v>65d1346bf3835</v>
      </c>
      <c r="AH177" t="str">
        <f>_xlfn.CONCAT(Imagens!$H$2,'registo_ativo-CDs (1)'!AG177)</f>
        <v>assets/imagens/products/65d1346bf3835</v>
      </c>
      <c r="AI177" s="67">
        <v>45376</v>
      </c>
      <c r="AK177" s="32"/>
    </row>
    <row r="178" spans="1:37" ht="16.8" customHeight="1" x14ac:dyDescent="0.3">
      <c r="A178">
        <f t="shared" si="38"/>
        <v>15</v>
      </c>
      <c r="B178" t="str">
        <f t="shared" si="34"/>
        <v>CD44BBG152QBT08</v>
      </c>
      <c r="C178" t="str">
        <f t="shared" si="35"/>
        <v>CD-LAU-BBG-QEL-QBT-08</v>
      </c>
      <c r="E178" t="s">
        <v>37</v>
      </c>
      <c r="F178" t="str">
        <f>VLOOKUP(E178,Localizacoes!$A$3:$B$100,2,FALSE)</f>
        <v>CD</v>
      </c>
      <c r="G178" t="str">
        <f>VLOOKUP(E178,ID!$A$3:$B$100,2,FALSE)</f>
        <v>CD</v>
      </c>
      <c r="H178" s="14" t="s">
        <v>33</v>
      </c>
      <c r="I178" t="str">
        <f>VLOOKUP(H178,Localizacoes!$C$3:$D$100,2,FALSE)</f>
        <v>LAU</v>
      </c>
      <c r="J178">
        <f>VLOOKUP(H178,ID!$C$3:$D$100,2,FALSE)</f>
        <v>44</v>
      </c>
      <c r="K178" t="s">
        <v>274</v>
      </c>
      <c r="L178" t="str">
        <f>VLOOKUP(K178,Localizacoes!$E$3:$F$100,2,FALSE)</f>
        <v>BBG</v>
      </c>
      <c r="M178" t="str">
        <f>VLOOKUP(K178,ID!$E$3:$F$100,2,FALSE)</f>
        <v>BBG</v>
      </c>
      <c r="N178" t="s">
        <v>286</v>
      </c>
      <c r="O178" t="str">
        <f>VLOOKUP(N178,Localizacoes!$G$3:$H$100,2,FALSE)</f>
        <v>QEL</v>
      </c>
      <c r="P178">
        <f>VLOOKUP(N178,ID!$G$3:$H$100,2,FALSE)</f>
        <v>152</v>
      </c>
      <c r="Q178" t="s">
        <v>443</v>
      </c>
      <c r="R178" t="str">
        <f>VLOOKUP(Q178,Localizacoes!$I$3:$J$100,2,FALSE)</f>
        <v>QBT</v>
      </c>
      <c r="S178" t="str">
        <f>VLOOKUP(Q178,ID!$I$3:$J$100,2,FALSE)</f>
        <v>QBT</v>
      </c>
      <c r="T178" s="4" t="s">
        <v>184</v>
      </c>
      <c r="U178" t="s">
        <v>265</v>
      </c>
      <c r="Y178" t="s">
        <v>270</v>
      </c>
      <c r="Z178" t="str">
        <f t="shared" si="36"/>
        <v>Quadro de Baixa Tensão 08</v>
      </c>
      <c r="AA178">
        <v>2007</v>
      </c>
      <c r="AD178" s="13" t="s">
        <v>267</v>
      </c>
      <c r="AF178" t="str">
        <f t="shared" si="37"/>
        <v>Quadro EléctricoQuadro de Baixa Tensão</v>
      </c>
      <c r="AG178" s="28" t="str">
        <f>VLOOKUP(AF178,Imagens!$C$2:$D$42,2,FALSE)</f>
        <v>65d1346bf3835</v>
      </c>
      <c r="AH178" t="str">
        <f>_xlfn.CONCAT(Imagens!$H$2,'registo_ativo-CDs (1)'!AG178)</f>
        <v>assets/imagens/products/65d1346bf3835</v>
      </c>
      <c r="AI178" s="67">
        <v>45376</v>
      </c>
      <c r="AK178" s="32"/>
    </row>
    <row r="179" spans="1:37" ht="16.8" customHeight="1" x14ac:dyDescent="0.3">
      <c r="A179">
        <f t="shared" si="38"/>
        <v>15</v>
      </c>
      <c r="B179" t="str">
        <f t="shared" si="34"/>
        <v>CD44ECA143PRO09</v>
      </c>
      <c r="C179" t="str">
        <f t="shared" si="35"/>
        <v>CD-LAU-ECA-GRU-PRO-09</v>
      </c>
      <c r="E179" t="s">
        <v>37</v>
      </c>
      <c r="F179" t="str">
        <f>VLOOKUP(E179,Localizacoes!$A$3:$B$100,2,FALSE)</f>
        <v>CD</v>
      </c>
      <c r="G179" t="str">
        <f>VLOOKUP(E179,ID!$A$3:$B$100,2,FALSE)</f>
        <v>CD</v>
      </c>
      <c r="H179" s="14" t="s">
        <v>33</v>
      </c>
      <c r="I179" t="str">
        <f>VLOOKUP(H179,Localizacoes!$C$3:$D$100,2,FALSE)</f>
        <v>LAU</v>
      </c>
      <c r="J179">
        <f>VLOOKUP(H179,ID!$C$3:$D$100,2,FALSE)</f>
        <v>44</v>
      </c>
      <c r="K179" t="s">
        <v>285</v>
      </c>
      <c r="L179" t="str">
        <f>VLOOKUP(K179,Localizacoes!$E$3:$F$100,2,FALSE)</f>
        <v>ECA</v>
      </c>
      <c r="M179" t="str">
        <f>VLOOKUP(K179,ID!$E$3:$F$100,2,FALSE)</f>
        <v>ECA</v>
      </c>
      <c r="N179" t="s">
        <v>104</v>
      </c>
      <c r="O179" t="str">
        <f>VLOOKUP(N179,Localizacoes!$G$3:$H$100,2,FALSE)</f>
        <v>GRU</v>
      </c>
      <c r="P179">
        <f>VLOOKUP(N179,ID!$G$3:$H$100,2,FALSE)</f>
        <v>143</v>
      </c>
      <c r="Q179" t="s">
        <v>153</v>
      </c>
      <c r="R179" t="str">
        <f>VLOOKUP(Q179,Localizacoes!$I$3:$J$100,2,FALSE)</f>
        <v>PRO</v>
      </c>
      <c r="S179" t="str">
        <f>VLOOKUP(Q179,ID!$I$3:$J$100,2,FALSE)</f>
        <v>PRO</v>
      </c>
      <c r="T179" s="4" t="s">
        <v>185</v>
      </c>
      <c r="U179" t="s">
        <v>264</v>
      </c>
      <c r="Y179" t="s">
        <v>270</v>
      </c>
      <c r="Z179" t="str">
        <f t="shared" si="36"/>
        <v>Ponte Rolante 09</v>
      </c>
      <c r="AA179">
        <v>2007</v>
      </c>
      <c r="AD179" s="13" t="s">
        <v>266</v>
      </c>
      <c r="AF179" t="str">
        <f t="shared" si="37"/>
        <v>GruaPonte Rolante</v>
      </c>
      <c r="AG179" s="28" t="str">
        <f>VLOOKUP(AF179,Imagens!$C$2:$D$42,2,FALSE)</f>
        <v>65c75d2748c4a</v>
      </c>
      <c r="AH179" t="str">
        <f>_xlfn.CONCAT(Imagens!$H$2,'registo_ativo-CDs (1)'!AG179)</f>
        <v>assets/imagens/products/65c75d2748c4a</v>
      </c>
      <c r="AI179" s="67">
        <v>45460</v>
      </c>
      <c r="AK179" s="32"/>
    </row>
    <row r="180" spans="1:37" ht="16.8" customHeight="1" x14ac:dyDescent="0.3">
      <c r="A180">
        <f t="shared" si="38"/>
        <v>15</v>
      </c>
      <c r="B180" t="str">
        <f t="shared" si="34"/>
        <v>CD44BBG152QBT10</v>
      </c>
      <c r="C180" t="str">
        <f t="shared" si="35"/>
        <v>CD-LAU-BBG-QEL-QBT-10</v>
      </c>
      <c r="E180" t="s">
        <v>37</v>
      </c>
      <c r="F180" t="str">
        <f>VLOOKUP(E180,Localizacoes!$A$3:$B$100,2,FALSE)</f>
        <v>CD</v>
      </c>
      <c r="G180" t="str">
        <f>VLOOKUP(E180,ID!$A$3:$B$100,2,FALSE)</f>
        <v>CD</v>
      </c>
      <c r="H180" s="14" t="s">
        <v>33</v>
      </c>
      <c r="I180" t="str">
        <f>VLOOKUP(H180,Localizacoes!$C$3:$D$100,2,FALSE)</f>
        <v>LAU</v>
      </c>
      <c r="J180">
        <f>VLOOKUP(H180,ID!$C$3:$D$100,2,FALSE)</f>
        <v>44</v>
      </c>
      <c r="K180" t="s">
        <v>274</v>
      </c>
      <c r="L180" t="str">
        <f>VLOOKUP(K180,Localizacoes!$E$3:$F$100,2,FALSE)</f>
        <v>BBG</v>
      </c>
      <c r="M180" t="str">
        <f>VLOOKUP(K180,ID!$E$3:$F$100,2,FALSE)</f>
        <v>BBG</v>
      </c>
      <c r="N180" t="s">
        <v>286</v>
      </c>
      <c r="O180" t="str">
        <f>VLOOKUP(N180,Localizacoes!$G$3:$H$100,2,FALSE)</f>
        <v>QEL</v>
      </c>
      <c r="P180">
        <f>VLOOKUP(N180,ID!$G$3:$H$100,2,FALSE)</f>
        <v>152</v>
      </c>
      <c r="Q180" t="s">
        <v>443</v>
      </c>
      <c r="R180" t="str">
        <f>VLOOKUP(Q180,Localizacoes!$I$3:$J$100,2,FALSE)</f>
        <v>QBT</v>
      </c>
      <c r="S180" t="str">
        <f>VLOOKUP(Q180,ID!$I$3:$J$100,2,FALSE)</f>
        <v>QBT</v>
      </c>
      <c r="T180" s="4" t="s">
        <v>192</v>
      </c>
      <c r="U180" t="s">
        <v>265</v>
      </c>
      <c r="X180" t="s">
        <v>6</v>
      </c>
      <c r="Y180" t="s">
        <v>270</v>
      </c>
      <c r="Z180" t="str">
        <f t="shared" si="36"/>
        <v>Quadro de Baixa Tensão 10</v>
      </c>
      <c r="AA180">
        <v>2007</v>
      </c>
      <c r="AD180" s="13" t="s">
        <v>267</v>
      </c>
      <c r="AF180" t="str">
        <f t="shared" si="37"/>
        <v>Quadro EléctricoQuadro de Baixa Tensão</v>
      </c>
      <c r="AG180" s="28" t="str">
        <f>VLOOKUP(AF180,Imagens!$C$2:$D$42,2,FALSE)</f>
        <v>65d1346bf3835</v>
      </c>
      <c r="AH180" t="str">
        <f>_xlfn.CONCAT(Imagens!$H$2,'registo_ativo-CDs (1)'!AG180)</f>
        <v>assets/imagens/products/65d1346bf3835</v>
      </c>
      <c r="AI180" s="67">
        <v>45376</v>
      </c>
      <c r="AK180" s="32"/>
    </row>
    <row r="181" spans="1:37" ht="16.8" customHeight="1" x14ac:dyDescent="0.3">
      <c r="A181">
        <f t="shared" si="38"/>
        <v>15</v>
      </c>
      <c r="B181" t="str">
        <f t="shared" si="34"/>
        <v>CD44CAN152CAN01</v>
      </c>
      <c r="C181" t="str">
        <f t="shared" si="35"/>
        <v>CD-LAU-CAN-QEL-CAN-01</v>
      </c>
      <c r="E181" t="s">
        <v>37</v>
      </c>
      <c r="F181" t="str">
        <f>VLOOKUP(E181,Localizacoes!$A$3:$B$100,2,FALSE)</f>
        <v>CD</v>
      </c>
      <c r="G181" t="str">
        <f>VLOOKUP(E181,ID!$A$3:$B$100,2,FALSE)</f>
        <v>CD</v>
      </c>
      <c r="H181" s="14" t="s">
        <v>33</v>
      </c>
      <c r="I181" t="str">
        <f>VLOOKUP(H181,Localizacoes!$C$3:$D$100,2,FALSE)</f>
        <v>LAU</v>
      </c>
      <c r="J181">
        <f>VLOOKUP(H181,ID!$C$3:$D$100,2,FALSE)</f>
        <v>44</v>
      </c>
      <c r="K181" t="s">
        <v>101</v>
      </c>
      <c r="L181" t="str">
        <f>VLOOKUP(K181,Localizacoes!$E$3:$F$100,2,FALSE)</f>
        <v>CAN</v>
      </c>
      <c r="M181" t="str">
        <f>VLOOKUP(K181,ID!$E$3:$F$100,2,FALSE)</f>
        <v>CAN</v>
      </c>
      <c r="N181" t="s">
        <v>286</v>
      </c>
      <c r="O181" t="str">
        <f>VLOOKUP(N181,Localizacoes!$G$3:$H$100,2,FALSE)</f>
        <v>QEL</v>
      </c>
      <c r="P181">
        <f>VLOOKUP(N181,ID!$G$3:$H$100,2,FALSE)</f>
        <v>152</v>
      </c>
      <c r="Q181" t="s">
        <v>101</v>
      </c>
      <c r="R181" t="str">
        <f>VLOOKUP(Q181,Localizacoes!$I$3:$J$100,2,FALSE)</f>
        <v>CAN</v>
      </c>
      <c r="S181" t="str">
        <f>VLOOKUP(Q181,ID!$I$3:$J$100,2,FALSE)</f>
        <v>CAN</v>
      </c>
      <c r="T181" s="4" t="s">
        <v>182</v>
      </c>
      <c r="U181" t="s">
        <v>265</v>
      </c>
      <c r="Y181" t="s">
        <v>270</v>
      </c>
      <c r="Z181" t="str">
        <f t="shared" si="36"/>
        <v>Canalização Eléctrica 01</v>
      </c>
      <c r="AA181">
        <v>2007</v>
      </c>
      <c r="AD181" s="24" t="s">
        <v>266</v>
      </c>
      <c r="AF181" t="str">
        <f t="shared" si="37"/>
        <v>Quadro EléctricoCanalização Eléctrica</v>
      </c>
      <c r="AG181" s="28" t="str">
        <f>VLOOKUP(AF181,Imagens!$C$2:$D$42,2,FALSE)</f>
        <v>65e8e4bb71249</v>
      </c>
      <c r="AH181" t="str">
        <f>_xlfn.CONCAT(Imagens!$H$2,'registo_ativo-CDs (1)'!AG181)</f>
        <v>assets/imagens/products/65e8e4bb71249</v>
      </c>
      <c r="AI181" s="67">
        <v>45460</v>
      </c>
      <c r="AK181" s="32"/>
    </row>
    <row r="182" spans="1:37" ht="16.8" customHeight="1" x14ac:dyDescent="0.3">
      <c r="A182">
        <f t="shared" si="38"/>
        <v>15</v>
      </c>
      <c r="B182" t="str">
        <f t="shared" si="34"/>
        <v>CD44ILU152QBT01</v>
      </c>
      <c r="C182" t="str">
        <f t="shared" si="35"/>
        <v>CD-LAU-ILU-QEL-QBT-01</v>
      </c>
      <c r="E182" t="s">
        <v>37</v>
      </c>
      <c r="F182" t="str">
        <f>VLOOKUP(E182,Localizacoes!$A$3:$B$100,2,FALSE)</f>
        <v>CD</v>
      </c>
      <c r="G182" t="str">
        <f>VLOOKUP(E182,ID!$A$3:$B$100,2,FALSE)</f>
        <v>CD</v>
      </c>
      <c r="H182" s="14" t="s">
        <v>33</v>
      </c>
      <c r="I182" t="str">
        <f>VLOOKUP(H182,Localizacoes!$C$3:$D$100,2,FALSE)</f>
        <v>LAU</v>
      </c>
      <c r="J182">
        <f>VLOOKUP(H182,ID!$C$3:$D$100,2,FALSE)</f>
        <v>44</v>
      </c>
      <c r="K182" t="s">
        <v>141</v>
      </c>
      <c r="L182" t="str">
        <f>VLOOKUP(K182,Localizacoes!$E$3:$F$100,2,FALSE)</f>
        <v>ILU</v>
      </c>
      <c r="M182" t="str">
        <f>VLOOKUP(K182,ID!$E$3:$F$100,2,FALSE)</f>
        <v>ILU</v>
      </c>
      <c r="N182" t="s">
        <v>286</v>
      </c>
      <c r="O182" t="str">
        <f>VLOOKUP(N182,Localizacoes!$G$3:$H$100,2,FALSE)</f>
        <v>QEL</v>
      </c>
      <c r="P182">
        <f>VLOOKUP(N182,ID!$G$3:$H$100,2,FALSE)</f>
        <v>152</v>
      </c>
      <c r="Q182" t="s">
        <v>443</v>
      </c>
      <c r="R182" t="str">
        <f>VLOOKUP(Q182,Localizacoes!$I$3:$J$100,2,FALSE)</f>
        <v>QBT</v>
      </c>
      <c r="S182" t="str">
        <f>VLOOKUP(Q182,ID!$I$3:$J$100,2,FALSE)</f>
        <v>QBT</v>
      </c>
      <c r="T182" s="4" t="s">
        <v>182</v>
      </c>
      <c r="U182" t="s">
        <v>265</v>
      </c>
      <c r="Y182" t="s">
        <v>270</v>
      </c>
      <c r="Z182" t="str">
        <f t="shared" si="36"/>
        <v>Quadro de Baixa Tensão 01</v>
      </c>
      <c r="AA182">
        <v>2007</v>
      </c>
      <c r="AD182" s="13" t="s">
        <v>267</v>
      </c>
      <c r="AF182" t="str">
        <f t="shared" si="37"/>
        <v>Quadro EléctricoQuadro de Baixa Tensão</v>
      </c>
      <c r="AG182" s="28" t="str">
        <f>VLOOKUP(AF182,Imagens!$C$2:$D$42,2,FALSE)</f>
        <v>65d1346bf3835</v>
      </c>
      <c r="AH182" t="str">
        <f>_xlfn.CONCAT(Imagens!$H$2,'registo_ativo-CDs (1)'!AG182)</f>
        <v>assets/imagens/products/65d1346bf3835</v>
      </c>
      <c r="AI182" s="67">
        <v>45376</v>
      </c>
      <c r="AK182" s="32"/>
    </row>
    <row r="183" spans="1:37" ht="16.8" customHeight="1" x14ac:dyDescent="0.3">
      <c r="A183">
        <f t="shared" si="38"/>
        <v>15</v>
      </c>
      <c r="B183" t="str">
        <f t="shared" si="34"/>
        <v>CD44SB1165TRA01</v>
      </c>
      <c r="C183" t="str">
        <f t="shared" si="35"/>
        <v>CD-LAU-SB1-SUB-TRA-01</v>
      </c>
      <c r="E183" t="s">
        <v>37</v>
      </c>
      <c r="F183" t="str">
        <f>VLOOKUP(E183,Localizacoes!$A$3:$B$100,2,FALSE)</f>
        <v>CD</v>
      </c>
      <c r="G183" t="str">
        <f>VLOOKUP(E183,ID!$A$3:$B$100,2,FALSE)</f>
        <v>CD</v>
      </c>
      <c r="H183" s="14" t="s">
        <v>33</v>
      </c>
      <c r="I183" t="str">
        <f>VLOOKUP(H183,Localizacoes!$C$3:$D$100,2,FALSE)</f>
        <v>LAU</v>
      </c>
      <c r="J183">
        <f>VLOOKUP(H183,ID!$C$3:$D$100,2,FALSE)</f>
        <v>44</v>
      </c>
      <c r="K183" t="s">
        <v>127</v>
      </c>
      <c r="L183" t="str">
        <f>VLOOKUP(K183,Localizacoes!$E$3:$F$100,2,FALSE)</f>
        <v>SB1</v>
      </c>
      <c r="M183" t="str">
        <f>VLOOKUP(K183,ID!$E$3:$F$100,2,FALSE)</f>
        <v>SB1</v>
      </c>
      <c r="N183" t="s">
        <v>112</v>
      </c>
      <c r="O183" t="str">
        <f>VLOOKUP(N183,Localizacoes!$G$3:$H$100,2,FALSE)</f>
        <v>SUB</v>
      </c>
      <c r="P183">
        <f>VLOOKUP(N183,ID!$G$3:$H$100,2,FALSE)</f>
        <v>165</v>
      </c>
      <c r="Q183" t="s">
        <v>176</v>
      </c>
      <c r="R183" t="str">
        <f>VLOOKUP(Q183,Localizacoes!$I$3:$J$100,2,FALSE)</f>
        <v>TRA</v>
      </c>
      <c r="S183" t="str">
        <f>VLOOKUP(Q183,ID!$I$3:$J$100,2,FALSE)</f>
        <v>TRA</v>
      </c>
      <c r="T183" s="4" t="s">
        <v>182</v>
      </c>
      <c r="U183" t="s">
        <v>265</v>
      </c>
      <c r="Y183" t="s">
        <v>270</v>
      </c>
      <c r="Z183" t="str">
        <f t="shared" si="36"/>
        <v>Transformador 01</v>
      </c>
      <c r="AA183">
        <v>2007</v>
      </c>
      <c r="AD183" s="13" t="s">
        <v>267</v>
      </c>
      <c r="AF183" t="str">
        <f t="shared" si="37"/>
        <v>SubestaçãoTransformador</v>
      </c>
      <c r="AG183" s="28" t="str">
        <f>VLOOKUP(AF183,Imagens!$C$2:$D$42,2,FALSE)</f>
        <v>65e8d98d73a3d</v>
      </c>
      <c r="AH183" t="str">
        <f>_xlfn.CONCAT(Imagens!$H$2,'registo_ativo-CDs (1)'!AG183)</f>
        <v>assets/imagens/products/65e8d98d73a3d</v>
      </c>
      <c r="AI183" s="67">
        <v>45320</v>
      </c>
      <c r="AK183" s="32"/>
    </row>
    <row r="184" spans="1:37" ht="16.8" customHeight="1" x14ac:dyDescent="0.3">
      <c r="A184">
        <f t="shared" si="38"/>
        <v>15</v>
      </c>
      <c r="B184" t="str">
        <f t="shared" si="34"/>
        <v>CD44BBG146MCD01</v>
      </c>
      <c r="C184" t="str">
        <f t="shared" si="35"/>
        <v>CD-LAU-BBG-MDD-MCD-01</v>
      </c>
      <c r="E184" t="s">
        <v>37</v>
      </c>
      <c r="F184" t="str">
        <f>VLOOKUP(E184,Localizacoes!$A$3:$B$100,2,FALSE)</f>
        <v>CD</v>
      </c>
      <c r="G184" t="str">
        <f>VLOOKUP(E184,ID!$A$3:$B$100,2,FALSE)</f>
        <v>CD</v>
      </c>
      <c r="H184" s="14" t="s">
        <v>33</v>
      </c>
      <c r="I184" t="str">
        <f>VLOOKUP(H184,Localizacoes!$C$3:$D$100,2,FALSE)</f>
        <v>LAU</v>
      </c>
      <c r="J184">
        <f>VLOOKUP(H184,ID!$C$3:$D$100,2,FALSE)</f>
        <v>44</v>
      </c>
      <c r="K184" t="s">
        <v>274</v>
      </c>
      <c r="L184" t="str">
        <f>VLOOKUP(K184,Localizacoes!$E$3:$F$100,2,FALSE)</f>
        <v>BBG</v>
      </c>
      <c r="M184" t="str">
        <f>VLOOKUP(K184,ID!$E$3:$F$100,2,FALSE)</f>
        <v>BBG</v>
      </c>
      <c r="N184" t="s">
        <v>672</v>
      </c>
      <c r="O184" t="str">
        <f>VLOOKUP(N184,Localizacoes!$G$3:$H$100,2,FALSE)</f>
        <v>MDD</v>
      </c>
      <c r="P184">
        <f>VLOOKUP(N184,ID!$G$3:$H$100,2,FALSE)</f>
        <v>146</v>
      </c>
      <c r="Q184" t="s">
        <v>370</v>
      </c>
      <c r="R184" t="str">
        <f>VLOOKUP(Q184,Localizacoes!$I$3:$J$100,2,FALSE)</f>
        <v>MCD</v>
      </c>
      <c r="S184" t="str">
        <f>VLOOKUP(Q184,ID!$I$3:$J$100,2,FALSE)</f>
        <v>MCD</v>
      </c>
      <c r="T184" s="4" t="s">
        <v>182</v>
      </c>
      <c r="U184" t="s">
        <v>265</v>
      </c>
      <c r="X184" t="s">
        <v>273</v>
      </c>
      <c r="Y184" t="s">
        <v>270</v>
      </c>
      <c r="Z184" t="str">
        <f t="shared" si="36"/>
        <v>Macromedidor 01</v>
      </c>
      <c r="AA184">
        <v>2007</v>
      </c>
      <c r="AD184" s="13" t="s">
        <v>266</v>
      </c>
      <c r="AF184" t="str">
        <f t="shared" si="37"/>
        <v>MedidorMacromedidor</v>
      </c>
      <c r="AG184" s="28" t="str">
        <f>VLOOKUP(AF184,Imagens!$C$2:$D$42,2,FALSE)</f>
        <v>65e8dd4a9cd58</v>
      </c>
      <c r="AH184" t="str">
        <f>_xlfn.CONCAT(Imagens!$H$2,'registo_ativo-CDs (1)'!AG184)</f>
        <v>assets/imagens/products/65e8dd4a9cd58</v>
      </c>
      <c r="AI184" s="67">
        <v>45348</v>
      </c>
      <c r="AK184" s="32"/>
    </row>
    <row r="185" spans="1:37" ht="16.8" customHeight="1" x14ac:dyDescent="0.3">
      <c r="A185">
        <f t="shared" si="38"/>
        <v>15</v>
      </c>
      <c r="B185" t="str">
        <f t="shared" si="34"/>
        <v>CD44BBG146MCD02</v>
      </c>
      <c r="C185" t="str">
        <f t="shared" si="35"/>
        <v>CD-LAU-BBG-MDD-MCD-02</v>
      </c>
      <c r="E185" t="s">
        <v>37</v>
      </c>
      <c r="F185" t="str">
        <f>VLOOKUP(E185,Localizacoes!$A$3:$B$100,2,FALSE)</f>
        <v>CD</v>
      </c>
      <c r="G185" t="str">
        <f>VLOOKUP(E185,ID!$A$3:$B$100,2,FALSE)</f>
        <v>CD</v>
      </c>
      <c r="H185" s="14" t="s">
        <v>33</v>
      </c>
      <c r="I185" t="str">
        <f>VLOOKUP(H185,Localizacoes!$C$3:$D$100,2,FALSE)</f>
        <v>LAU</v>
      </c>
      <c r="J185">
        <f>VLOOKUP(H185,ID!$C$3:$D$100,2,FALSE)</f>
        <v>44</v>
      </c>
      <c r="K185" t="s">
        <v>274</v>
      </c>
      <c r="L185" t="str">
        <f>VLOOKUP(K185,Localizacoes!$E$3:$F$100,2,FALSE)</f>
        <v>BBG</v>
      </c>
      <c r="M185" t="str">
        <f>VLOOKUP(K185,ID!$E$3:$F$100,2,FALSE)</f>
        <v>BBG</v>
      </c>
      <c r="N185" t="s">
        <v>672</v>
      </c>
      <c r="O185" t="str">
        <f>VLOOKUP(N185,Localizacoes!$G$3:$H$100,2,FALSE)</f>
        <v>MDD</v>
      </c>
      <c r="P185">
        <f>VLOOKUP(N185,ID!$G$3:$H$100,2,FALSE)</f>
        <v>146</v>
      </c>
      <c r="Q185" t="s">
        <v>370</v>
      </c>
      <c r="R185" t="str">
        <f>VLOOKUP(Q185,Localizacoes!$I$3:$J$100,2,FALSE)</f>
        <v>MCD</v>
      </c>
      <c r="S185" t="str">
        <f>VLOOKUP(Q185,ID!$I$3:$J$100,2,FALSE)</f>
        <v>MCD</v>
      </c>
      <c r="T185" s="4" t="s">
        <v>186</v>
      </c>
      <c r="U185" t="s">
        <v>265</v>
      </c>
      <c r="Y185" t="s">
        <v>270</v>
      </c>
      <c r="Z185" t="str">
        <f t="shared" si="36"/>
        <v>Macromedidor 02</v>
      </c>
      <c r="AA185">
        <v>2007</v>
      </c>
      <c r="AD185" s="13" t="s">
        <v>266</v>
      </c>
      <c r="AF185" t="str">
        <f t="shared" si="37"/>
        <v>MedidorMacromedidor</v>
      </c>
      <c r="AG185" s="28" t="str">
        <f>VLOOKUP(AF185,Imagens!$C$2:$D$42,2,FALSE)</f>
        <v>65e8dd4a9cd58</v>
      </c>
      <c r="AH185" t="str">
        <f>_xlfn.CONCAT(Imagens!$H$2,'registo_ativo-CDs (1)'!AG185)</f>
        <v>assets/imagens/products/65e8dd4a9cd58</v>
      </c>
      <c r="AI185" s="67">
        <v>45348</v>
      </c>
      <c r="AK185" s="32"/>
    </row>
    <row r="186" spans="1:37" ht="16.8" customHeight="1" x14ac:dyDescent="0.3">
      <c r="A186">
        <f t="shared" si="38"/>
        <v>15</v>
      </c>
      <c r="B186" t="str">
        <f t="shared" si="34"/>
        <v>CD44BBG146MCD03</v>
      </c>
      <c r="C186" t="str">
        <f t="shared" si="35"/>
        <v>CD-LAU-BBG-MDD-MCD-03</v>
      </c>
      <c r="E186" t="s">
        <v>37</v>
      </c>
      <c r="F186" t="str">
        <f>VLOOKUP(E186,Localizacoes!$A$3:$B$100,2,FALSE)</f>
        <v>CD</v>
      </c>
      <c r="G186" t="str">
        <f>VLOOKUP(E186,ID!$A$3:$B$100,2,FALSE)</f>
        <v>CD</v>
      </c>
      <c r="H186" s="14" t="s">
        <v>33</v>
      </c>
      <c r="I186" t="str">
        <f>VLOOKUP(H186,Localizacoes!$C$3:$D$100,2,FALSE)</f>
        <v>LAU</v>
      </c>
      <c r="J186">
        <f>VLOOKUP(H186,ID!$C$3:$D$100,2,FALSE)</f>
        <v>44</v>
      </c>
      <c r="K186" t="s">
        <v>274</v>
      </c>
      <c r="L186" t="str">
        <f>VLOOKUP(K186,Localizacoes!$E$3:$F$100,2,FALSE)</f>
        <v>BBG</v>
      </c>
      <c r="M186" t="str">
        <f>VLOOKUP(K186,ID!$E$3:$F$100,2,FALSE)</f>
        <v>BBG</v>
      </c>
      <c r="N186" t="s">
        <v>672</v>
      </c>
      <c r="O186" t="str">
        <f>VLOOKUP(N186,Localizacoes!$G$3:$H$100,2,FALSE)</f>
        <v>MDD</v>
      </c>
      <c r="P186">
        <f>VLOOKUP(N186,ID!$G$3:$H$100,2,FALSE)</f>
        <v>146</v>
      </c>
      <c r="Q186" t="s">
        <v>370</v>
      </c>
      <c r="R186" t="str">
        <f>VLOOKUP(Q186,Localizacoes!$I$3:$J$100,2,FALSE)</f>
        <v>MCD</v>
      </c>
      <c r="S186" t="str">
        <f>VLOOKUP(Q186,ID!$I$3:$J$100,2,FALSE)</f>
        <v>MCD</v>
      </c>
      <c r="T186" s="4" t="s">
        <v>187</v>
      </c>
      <c r="U186" t="s">
        <v>265</v>
      </c>
      <c r="Y186" t="s">
        <v>270</v>
      </c>
      <c r="Z186" t="str">
        <f t="shared" si="36"/>
        <v>Macromedidor 03</v>
      </c>
      <c r="AA186">
        <v>2007</v>
      </c>
      <c r="AD186" s="13" t="s">
        <v>266</v>
      </c>
      <c r="AF186" t="str">
        <f t="shared" si="37"/>
        <v>MedidorMacromedidor</v>
      </c>
      <c r="AG186" s="28" t="str">
        <f>VLOOKUP(AF186,Imagens!$C$2:$D$42,2,FALSE)</f>
        <v>65e8dd4a9cd58</v>
      </c>
      <c r="AH186" t="str">
        <f>_xlfn.CONCAT(Imagens!$H$2,'registo_ativo-CDs (1)'!AG186)</f>
        <v>assets/imagens/products/65e8dd4a9cd58</v>
      </c>
      <c r="AI186" s="67">
        <v>45348</v>
      </c>
      <c r="AK186" s="32"/>
    </row>
    <row r="187" spans="1:37" ht="16.8" customHeight="1" x14ac:dyDescent="0.3">
      <c r="A187">
        <f t="shared" si="38"/>
        <v>15</v>
      </c>
      <c r="B187" t="str">
        <f t="shared" si="34"/>
        <v>CD44HTH133MOT01</v>
      </c>
      <c r="C187" t="str">
        <f t="shared" si="35"/>
        <v>CD-LAU-HTH-EBD-MOT-01</v>
      </c>
      <c r="E187" t="s">
        <v>37</v>
      </c>
      <c r="F187" t="str">
        <f>VLOOKUP(E187,Localizacoes!$A$3:$B$100,2,FALSE)</f>
        <v>CD</v>
      </c>
      <c r="G187" t="str">
        <f>VLOOKUP(E187,ID!$A$3:$B$100,2,FALSE)</f>
        <v>CD</v>
      </c>
      <c r="H187" s="14" t="s">
        <v>33</v>
      </c>
      <c r="I187" t="str">
        <f>VLOOKUP(H187,Localizacoes!$C$3:$D$100,2,FALSE)</f>
        <v>LAU</v>
      </c>
      <c r="J187">
        <f>VLOOKUP(H187,ID!$C$3:$D$100,2,FALSE)</f>
        <v>44</v>
      </c>
      <c r="K187" t="s">
        <v>138</v>
      </c>
      <c r="L187" t="str">
        <f>VLOOKUP(K187,Localizacoes!$E$3:$F$100,2,FALSE)</f>
        <v>HTH</v>
      </c>
      <c r="M187" t="str">
        <f>VLOOKUP(K187,ID!$E$3:$F$100,2,FALSE)</f>
        <v>HTH</v>
      </c>
      <c r="N187" t="s">
        <v>662</v>
      </c>
      <c r="O187" t="str">
        <f>VLOOKUP(N187,Localizacoes!$G$3:$H$100,2,FALSE)</f>
        <v>EBD</v>
      </c>
      <c r="P187">
        <f>VLOOKUP(N187,ID!$G$3:$H$100,2,FALSE)</f>
        <v>133</v>
      </c>
      <c r="Q187" t="s">
        <v>21</v>
      </c>
      <c r="R187" t="str">
        <f>VLOOKUP(Q187,Localizacoes!$I$3:$J$100,2,FALSE)</f>
        <v>MOT</v>
      </c>
      <c r="S187" t="str">
        <f>VLOOKUP(Q187,ID!$I$3:$J$100,2,FALSE)</f>
        <v>MOT</v>
      </c>
      <c r="T187" s="4" t="s">
        <v>182</v>
      </c>
      <c r="U187" t="s">
        <v>265</v>
      </c>
      <c r="X187" t="s">
        <v>6</v>
      </c>
      <c r="Y187" t="s">
        <v>270</v>
      </c>
      <c r="Z187" t="str">
        <f t="shared" si="36"/>
        <v>Motor 01</v>
      </c>
      <c r="AA187">
        <v>2024</v>
      </c>
      <c r="AD187" s="13" t="s">
        <v>7</v>
      </c>
      <c r="AF187" t="str">
        <f t="shared" si="37"/>
        <v>Electrobomba Doseadora de DiafragmaMotor</v>
      </c>
      <c r="AG187" s="28" t="str">
        <f>VLOOKUP(AF187,Imagens!$C$2:$D$42,2,FALSE)</f>
        <v>65e8d1ea50af1</v>
      </c>
      <c r="AH187" t="str">
        <f>_xlfn.CONCAT(Imagens!$H$2,'registo_ativo-CDs (1)'!AG187)</f>
        <v>assets/imagens/products/65e8d1ea50af1</v>
      </c>
      <c r="AI187" s="67">
        <v>45320</v>
      </c>
      <c r="AK187" s="32"/>
    </row>
    <row r="188" spans="1:37" ht="16.8" customHeight="1" x14ac:dyDescent="0.3">
      <c r="A188">
        <f t="shared" si="38"/>
        <v>15</v>
      </c>
      <c r="B188" t="str">
        <f t="shared" si="34"/>
        <v>CD44HTH133BOM01</v>
      </c>
      <c r="C188" t="str">
        <f t="shared" si="35"/>
        <v>CD-LAU-HTH-EBD-BOM-01</v>
      </c>
      <c r="E188" t="s">
        <v>37</v>
      </c>
      <c r="F188" t="str">
        <f>VLOOKUP(E188,Localizacoes!$A$3:$B$100,2,FALSE)</f>
        <v>CD</v>
      </c>
      <c r="G188" t="str">
        <f>VLOOKUP(E188,ID!$A$3:$B$100,2,FALSE)</f>
        <v>CD</v>
      </c>
      <c r="H188" s="14" t="s">
        <v>33</v>
      </c>
      <c r="I188" t="str">
        <f>VLOOKUP(H188,Localizacoes!$C$3:$D$100,2,FALSE)</f>
        <v>LAU</v>
      </c>
      <c r="J188">
        <f>VLOOKUP(H188,ID!$C$3:$D$100,2,FALSE)</f>
        <v>44</v>
      </c>
      <c r="K188" t="s">
        <v>138</v>
      </c>
      <c r="L188" t="str">
        <f>VLOOKUP(K188,Localizacoes!$E$3:$F$100,2,FALSE)</f>
        <v>HTH</v>
      </c>
      <c r="M188" t="str">
        <f>VLOOKUP(K188,ID!$E$3:$F$100,2,FALSE)</f>
        <v>HTH</v>
      </c>
      <c r="N188" t="s">
        <v>662</v>
      </c>
      <c r="O188" t="str">
        <f>VLOOKUP(N188,Localizacoes!$G$3:$H$100,2,FALSE)</f>
        <v>EBD</v>
      </c>
      <c r="P188">
        <f>VLOOKUP(N188,ID!$G$3:$H$100,2,FALSE)</f>
        <v>133</v>
      </c>
      <c r="Q188" t="s">
        <v>150</v>
      </c>
      <c r="R188" t="str">
        <f>VLOOKUP(Q188,Localizacoes!$I$3:$J$100,2,FALSE)</f>
        <v>BOM</v>
      </c>
      <c r="S188" t="str">
        <f>VLOOKUP(Q188,ID!$I$3:$J$100,2,FALSE)</f>
        <v>BOM</v>
      </c>
      <c r="T188" s="4" t="s">
        <v>182</v>
      </c>
      <c r="U188" t="s">
        <v>264</v>
      </c>
      <c r="Y188" t="s">
        <v>270</v>
      </c>
      <c r="Z188" t="str">
        <f t="shared" si="36"/>
        <v>Bomba 01</v>
      </c>
      <c r="AA188">
        <v>2024</v>
      </c>
      <c r="AD188" s="13" t="s">
        <v>7</v>
      </c>
      <c r="AF188" t="str">
        <f t="shared" si="37"/>
        <v>Electrobomba Doseadora de DiafragmaBomba</v>
      </c>
      <c r="AG188" s="28" t="str">
        <f>VLOOKUP(AF188,Imagens!$C$2:$D$42,2,FALSE)</f>
        <v>65e8d1ea50af1</v>
      </c>
      <c r="AH188" t="str">
        <f>_xlfn.CONCAT(Imagens!$H$2,'registo_ativo-CDs (1)'!AG188)</f>
        <v>assets/imagens/products/65e8d1ea50af1</v>
      </c>
      <c r="AI188" s="67">
        <v>45320</v>
      </c>
      <c r="AK188" s="32"/>
    </row>
    <row r="189" spans="1:37" ht="16.8" customHeight="1" x14ac:dyDescent="0.3">
      <c r="A189">
        <f t="shared" si="38"/>
        <v>15</v>
      </c>
      <c r="B189" t="str">
        <f t="shared" si="34"/>
        <v>CD44BBG146MCD04</v>
      </c>
      <c r="C189" t="str">
        <f t="shared" si="35"/>
        <v>CD-LAU-BBG-MDD-MCD-04</v>
      </c>
      <c r="E189" t="s">
        <v>37</v>
      </c>
      <c r="F189" t="str">
        <f>VLOOKUP(E189,Localizacoes!$A$3:$B$100,2,FALSE)</f>
        <v>CD</v>
      </c>
      <c r="G189" t="str">
        <f>VLOOKUP(E189,ID!$A$3:$B$100,2,FALSE)</f>
        <v>CD</v>
      </c>
      <c r="H189" s="14" t="s">
        <v>33</v>
      </c>
      <c r="I189" t="str">
        <f>VLOOKUP(H189,Localizacoes!$C$3:$D$100,2,FALSE)</f>
        <v>LAU</v>
      </c>
      <c r="J189">
        <f>VLOOKUP(H189,ID!$C$3:$D$100,2,FALSE)</f>
        <v>44</v>
      </c>
      <c r="K189" t="s">
        <v>274</v>
      </c>
      <c r="L189" t="str">
        <f>VLOOKUP(K189,Localizacoes!$E$3:$F$100,2,FALSE)</f>
        <v>BBG</v>
      </c>
      <c r="M189" t="str">
        <f>VLOOKUP(K189,ID!$E$3:$F$100,2,FALSE)</f>
        <v>BBG</v>
      </c>
      <c r="N189" t="s">
        <v>672</v>
      </c>
      <c r="O189" t="str">
        <f>VLOOKUP(N189,Localizacoes!$G$3:$H$100,2,FALSE)</f>
        <v>MDD</v>
      </c>
      <c r="P189">
        <f>VLOOKUP(N189,ID!$G$3:$H$100,2,FALSE)</f>
        <v>146</v>
      </c>
      <c r="Q189" t="s">
        <v>370</v>
      </c>
      <c r="R189" t="str">
        <f>VLOOKUP(Q189,Localizacoes!$I$3:$J$100,2,FALSE)</f>
        <v>MCD</v>
      </c>
      <c r="S189" t="str">
        <f>VLOOKUP(Q189,ID!$I$3:$J$100,2,FALSE)</f>
        <v>MCD</v>
      </c>
      <c r="T189" s="4" t="s">
        <v>188</v>
      </c>
      <c r="U189" t="s">
        <v>265</v>
      </c>
      <c r="Y189" t="s">
        <v>270</v>
      </c>
      <c r="Z189" t="str">
        <f t="shared" si="36"/>
        <v>Macromedidor 04</v>
      </c>
      <c r="AA189">
        <v>2007</v>
      </c>
      <c r="AD189" s="13" t="s">
        <v>266</v>
      </c>
      <c r="AF189" t="str">
        <f t="shared" si="37"/>
        <v>MedidorMacromedidor</v>
      </c>
      <c r="AG189" s="28" t="str">
        <f>VLOOKUP(AF189,Imagens!$C$2:$D$42,2,FALSE)</f>
        <v>65e8dd4a9cd58</v>
      </c>
      <c r="AH189" t="str">
        <f>_xlfn.CONCAT(Imagens!$H$2,'registo_ativo-CDs (1)'!AG189)</f>
        <v>assets/imagens/products/65e8dd4a9cd58</v>
      </c>
      <c r="AI189" s="67">
        <v>45348</v>
      </c>
      <c r="AK189" s="32"/>
    </row>
    <row r="190" spans="1:37" ht="16.8" customHeight="1" x14ac:dyDescent="0.3">
      <c r="A190">
        <f t="shared" si="38"/>
        <v>15</v>
      </c>
      <c r="B190" t="str">
        <f t="shared" si="34"/>
        <v>CD44HTH103CEN01</v>
      </c>
      <c r="C190" t="str">
        <f t="shared" si="35"/>
        <v>CD-LAU-HTH-AGI-CEN-01</v>
      </c>
      <c r="E190" t="s">
        <v>37</v>
      </c>
      <c r="F190" t="str">
        <f>VLOOKUP(E190,Localizacoes!$A$3:$B$100,2,FALSE)</f>
        <v>CD</v>
      </c>
      <c r="G190" t="str">
        <f>VLOOKUP(E190,ID!$A$3:$B$100,2,FALSE)</f>
        <v>CD</v>
      </c>
      <c r="H190" s="14" t="s">
        <v>33</v>
      </c>
      <c r="I190" t="str">
        <f>VLOOKUP(H190,Localizacoes!$C$3:$D$100,2,FALSE)</f>
        <v>LAU</v>
      </c>
      <c r="J190">
        <f>VLOOKUP(H190,ID!$C$3:$D$100,2,FALSE)</f>
        <v>44</v>
      </c>
      <c r="K190" t="s">
        <v>138</v>
      </c>
      <c r="L190" t="str">
        <f>VLOOKUP(K190,Localizacoes!$E$3:$F$100,2,FALSE)</f>
        <v>HTH</v>
      </c>
      <c r="M190" t="str">
        <f>VLOOKUP(K190,ID!$E$3:$F$100,2,FALSE)</f>
        <v>HTH</v>
      </c>
      <c r="N190" t="s">
        <v>131</v>
      </c>
      <c r="O190" t="str">
        <f>VLOOKUP(N190,Localizacoes!$G$3:$H$100,2,FALSE)</f>
        <v>AGI</v>
      </c>
      <c r="P190">
        <f>VLOOKUP(N190,ID!$G$3:$H$100,2,FALSE)</f>
        <v>103</v>
      </c>
      <c r="Q190" t="s">
        <v>333</v>
      </c>
      <c r="R190" t="str">
        <f>VLOOKUP(Q190,Localizacoes!$I$3:$J$100,2,FALSE)</f>
        <v>CEN</v>
      </c>
      <c r="S190" t="str">
        <f>VLOOKUP(Q190,ID!$I$3:$J$100,2,FALSE)</f>
        <v>CEN</v>
      </c>
      <c r="T190" s="4" t="s">
        <v>182</v>
      </c>
      <c r="U190" t="s">
        <v>264</v>
      </c>
      <c r="V190" t="s">
        <v>401</v>
      </c>
      <c r="W190" t="s">
        <v>402</v>
      </c>
      <c r="Y190" t="s">
        <v>270</v>
      </c>
      <c r="Z190" t="str">
        <f t="shared" si="36"/>
        <v>Caixa de Engrenagem 01</v>
      </c>
      <c r="AA190"/>
      <c r="AD190" s="13" t="s">
        <v>7</v>
      </c>
      <c r="AF190" t="str">
        <f t="shared" si="37"/>
        <v>Agitador  Caixa de Engrenagem</v>
      </c>
      <c r="AG190" s="28" t="str">
        <f>VLOOKUP(AF190,Imagens!$C$2:$D$42,2,FALSE)</f>
        <v>65e8e1a7e4bd4</v>
      </c>
      <c r="AH190" t="str">
        <f>_xlfn.CONCAT(Imagens!$H$2,'registo_ativo-CDs (1)'!AG190)</f>
        <v>assets/imagens/products/65e8e1a7e4bd4</v>
      </c>
      <c r="AI190" s="67">
        <v>45320</v>
      </c>
      <c r="AK190" s="32"/>
    </row>
    <row r="191" spans="1:37" ht="16.8" customHeight="1" x14ac:dyDescent="0.3">
      <c r="A191">
        <f t="shared" si="38"/>
        <v>15</v>
      </c>
      <c r="B191" t="str">
        <f t="shared" si="34"/>
        <v>CD44HTH103MOT01</v>
      </c>
      <c r="C191" t="str">
        <f t="shared" si="35"/>
        <v>CD-LAU-HTH-AGI-MOT-01</v>
      </c>
      <c r="E191" t="s">
        <v>37</v>
      </c>
      <c r="F191" t="str">
        <f>VLOOKUP(E191,Localizacoes!$A$3:$B$100,2,FALSE)</f>
        <v>CD</v>
      </c>
      <c r="G191" t="str">
        <f>VLOOKUP(E191,ID!$A$3:$B$100,2,FALSE)</f>
        <v>CD</v>
      </c>
      <c r="H191" s="14" t="s">
        <v>33</v>
      </c>
      <c r="I191" t="str">
        <f>VLOOKUP(H191,Localizacoes!$C$3:$D$100,2,FALSE)</f>
        <v>LAU</v>
      </c>
      <c r="J191">
        <f>VLOOKUP(H191,ID!$C$3:$D$100,2,FALSE)</f>
        <v>44</v>
      </c>
      <c r="K191" t="s">
        <v>138</v>
      </c>
      <c r="L191" t="str">
        <f>VLOOKUP(K191,Localizacoes!$E$3:$F$100,2,FALSE)</f>
        <v>HTH</v>
      </c>
      <c r="M191" t="str">
        <f>VLOOKUP(K191,ID!$E$3:$F$100,2,FALSE)</f>
        <v>HTH</v>
      </c>
      <c r="N191" t="s">
        <v>131</v>
      </c>
      <c r="O191" t="str">
        <f>VLOOKUP(N191,Localizacoes!$G$3:$H$100,2,FALSE)</f>
        <v>AGI</v>
      </c>
      <c r="P191">
        <f>VLOOKUP(N191,ID!$G$3:$H$100,2,FALSE)</f>
        <v>103</v>
      </c>
      <c r="Q191" t="s">
        <v>21</v>
      </c>
      <c r="R191" t="str">
        <f>VLOOKUP(Q191,Localizacoes!$I$3:$J$100,2,FALSE)</f>
        <v>MOT</v>
      </c>
      <c r="S191" t="str">
        <f>VLOOKUP(Q191,ID!$I$3:$J$100,2,FALSE)</f>
        <v>MOT</v>
      </c>
      <c r="T191" s="4" t="s">
        <v>182</v>
      </c>
      <c r="U191" t="s">
        <v>265</v>
      </c>
      <c r="Y191" t="s">
        <v>270</v>
      </c>
      <c r="Z191" t="str">
        <f t="shared" si="36"/>
        <v>Motor 01</v>
      </c>
      <c r="AA191"/>
      <c r="AD191" s="13" t="s">
        <v>7</v>
      </c>
      <c r="AF191" t="str">
        <f t="shared" si="37"/>
        <v>Agitador  Motor</v>
      </c>
      <c r="AG191" s="28" t="str">
        <f>VLOOKUP(AF191,Imagens!$C$2:$D$42,2,FALSE)</f>
        <v>65e8e1a7e4bd4</v>
      </c>
      <c r="AH191" t="str">
        <f>_xlfn.CONCAT(Imagens!$H$2,'registo_ativo-CDs (1)'!AG191)</f>
        <v>assets/imagens/products/65e8e1a7e4bd4</v>
      </c>
      <c r="AI191" s="67">
        <v>45320</v>
      </c>
      <c r="AK191" s="32"/>
    </row>
    <row r="192" spans="1:37" ht="16.8" customHeight="1" x14ac:dyDescent="0.3">
      <c r="A192">
        <f t="shared" si="38"/>
        <v>15</v>
      </c>
      <c r="B192" t="str">
        <f t="shared" si="34"/>
        <v>CD49BBG131BOM01</v>
      </c>
      <c r="C192" t="str">
        <f t="shared" si="35"/>
        <v>CD-MAT-BBG-EBC-BOM-01</v>
      </c>
      <c r="E192" t="s">
        <v>37</v>
      </c>
      <c r="F192" t="str">
        <f>VLOOKUP(E192,Localizacoes!$A$3:$B$100,2,FALSE)</f>
        <v>CD</v>
      </c>
      <c r="G192" t="str">
        <f>VLOOKUP(E192,ID!$A$3:$B$100,2,FALSE)</f>
        <v>CD</v>
      </c>
      <c r="H192" s="14" t="s">
        <v>29</v>
      </c>
      <c r="I192" t="str">
        <f>VLOOKUP(H192,Localizacoes!$C$3:$D$100,2,FALSE)</f>
        <v>MAT</v>
      </c>
      <c r="J192">
        <f>VLOOKUP(H192,ID!$C$3:$D$100,2,FALSE)</f>
        <v>49</v>
      </c>
      <c r="K192" t="s">
        <v>274</v>
      </c>
      <c r="L192" t="str">
        <f>VLOOKUP(K192,Localizacoes!$E$3:$F$100,2,FALSE)</f>
        <v>BBG</v>
      </c>
      <c r="M192" t="str">
        <f>VLOOKUP(K192,ID!$E$3:$F$100,2,FALSE)</f>
        <v>BBG</v>
      </c>
      <c r="N192" t="s">
        <v>704</v>
      </c>
      <c r="O192" t="str">
        <f>VLOOKUP(N192,Localizacoes!$G$3:$H$100,2,FALSE)</f>
        <v>EBC</v>
      </c>
      <c r="P192">
        <f>VLOOKUP(N192,ID!$G$3:$H$100,2,FALSE)</f>
        <v>131</v>
      </c>
      <c r="Q192" t="s">
        <v>150</v>
      </c>
      <c r="R192" t="str">
        <f>VLOOKUP(Q192,Localizacoes!$I$3:$J$100,2,FALSE)</f>
        <v>BOM</v>
      </c>
      <c r="S192" t="str">
        <f>VLOOKUP(Q192,ID!$I$3:$J$100,2,FALSE)</f>
        <v>BOM</v>
      </c>
      <c r="T192" s="4" t="s">
        <v>182</v>
      </c>
      <c r="U192" t="s">
        <v>264</v>
      </c>
      <c r="Y192" t="s">
        <v>270</v>
      </c>
      <c r="Z192" t="str">
        <f t="shared" si="36"/>
        <v>Bomba 01</v>
      </c>
      <c r="AA192"/>
      <c r="AD192" s="13" t="s">
        <v>7</v>
      </c>
      <c r="AF192" t="str">
        <f t="shared" si="37"/>
        <v>Electrobomba centrífugaBomba</v>
      </c>
      <c r="AG192" s="28" t="str">
        <f>VLOOKUP(AF192,Imagens!$C$2:$D$42,2,FALSE)</f>
        <v>65e96125c1d11</v>
      </c>
      <c r="AH192" t="str">
        <f>_xlfn.CONCAT(Imagens!$H$2,'registo_ativo-CDs (1)'!AG192)</f>
        <v>assets/imagens/products/65e96125c1d11</v>
      </c>
      <c r="AI192" s="67">
        <v>45300</v>
      </c>
      <c r="AK192" s="32"/>
    </row>
    <row r="193" spans="1:37" ht="16.8" customHeight="1" x14ac:dyDescent="0.3">
      <c r="A193">
        <f t="shared" si="38"/>
        <v>15</v>
      </c>
      <c r="B193" t="str">
        <f t="shared" si="34"/>
        <v>CD49BBG131MOT01</v>
      </c>
      <c r="C193" t="str">
        <f t="shared" si="35"/>
        <v>CD-MAT-BBG-EBC-MOT-01</v>
      </c>
      <c r="E193" t="s">
        <v>37</v>
      </c>
      <c r="F193" t="str">
        <f>VLOOKUP(E193,Localizacoes!$A$3:$B$100,2,FALSE)</f>
        <v>CD</v>
      </c>
      <c r="G193" t="str">
        <f>VLOOKUP(E193,ID!$A$3:$B$100,2,FALSE)</f>
        <v>CD</v>
      </c>
      <c r="H193" s="14" t="s">
        <v>29</v>
      </c>
      <c r="I193" t="str">
        <f>VLOOKUP(H193,Localizacoes!$C$3:$D$100,2,FALSE)</f>
        <v>MAT</v>
      </c>
      <c r="J193">
        <f>VLOOKUP(H193,ID!$C$3:$D$100,2,FALSE)</f>
        <v>49</v>
      </c>
      <c r="K193" t="s">
        <v>274</v>
      </c>
      <c r="L193" t="str">
        <f>VLOOKUP(K193,Localizacoes!$E$3:$F$100,2,FALSE)</f>
        <v>BBG</v>
      </c>
      <c r="M193" t="str">
        <f>VLOOKUP(K193,ID!$E$3:$F$100,2,FALSE)</f>
        <v>BBG</v>
      </c>
      <c r="N193" t="s">
        <v>704</v>
      </c>
      <c r="O193" t="str">
        <f>VLOOKUP(N193,Localizacoes!$G$3:$H$100,2,FALSE)</f>
        <v>EBC</v>
      </c>
      <c r="P193">
        <f>VLOOKUP(N193,ID!$G$3:$H$100,2,FALSE)</f>
        <v>131</v>
      </c>
      <c r="Q193" t="s">
        <v>21</v>
      </c>
      <c r="R193" t="str">
        <f>VLOOKUP(Q193,Localizacoes!$I$3:$J$100,2,FALSE)</f>
        <v>MOT</v>
      </c>
      <c r="S193" t="str">
        <f>VLOOKUP(Q193,ID!$I$3:$J$100,2,FALSE)</f>
        <v>MOT</v>
      </c>
      <c r="T193" s="4" t="s">
        <v>182</v>
      </c>
      <c r="U193" t="s">
        <v>265</v>
      </c>
      <c r="X193" t="s">
        <v>6</v>
      </c>
      <c r="Y193" t="s">
        <v>270</v>
      </c>
      <c r="Z193" t="str">
        <f t="shared" si="36"/>
        <v>Motor 01</v>
      </c>
      <c r="AA193"/>
      <c r="AD193" s="13" t="s">
        <v>7</v>
      </c>
      <c r="AF193" t="str">
        <f t="shared" si="37"/>
        <v>Electrobomba centrífugaMotor</v>
      </c>
      <c r="AG193" s="28" t="str">
        <f>VLOOKUP(AF193,Imagens!$C$2:$D$42,2,FALSE)</f>
        <v>65d04210323a4</v>
      </c>
      <c r="AH193" t="str">
        <f>_xlfn.CONCAT(Imagens!$H$2,'registo_ativo-CDs (1)'!AG193)</f>
        <v>assets/imagens/products/65d04210323a4</v>
      </c>
      <c r="AI193" s="67">
        <v>45300</v>
      </c>
      <c r="AK193" s="32"/>
    </row>
    <row r="194" spans="1:37" ht="16.8" customHeight="1" x14ac:dyDescent="0.3">
      <c r="A194">
        <f t="shared" si="38"/>
        <v>15</v>
      </c>
      <c r="B194" t="str">
        <f t="shared" si="34"/>
        <v>CD49BBG131QEA01</v>
      </c>
      <c r="C194" t="str">
        <f t="shared" si="35"/>
        <v>CD-MAT-BBG-EBC-QEA-01</v>
      </c>
      <c r="E194" t="s">
        <v>37</v>
      </c>
      <c r="F194" t="str">
        <f>VLOOKUP(E194,Localizacoes!$A$3:$B$100,2,FALSE)</f>
        <v>CD</v>
      </c>
      <c r="G194" t="str">
        <f>VLOOKUP(E194,ID!$A$3:$B$100,2,FALSE)</f>
        <v>CD</v>
      </c>
      <c r="H194" s="14" t="s">
        <v>29</v>
      </c>
      <c r="I194" t="str">
        <f>VLOOKUP(H194,Localizacoes!$C$3:$D$100,2,FALSE)</f>
        <v>MAT</v>
      </c>
      <c r="J194">
        <f>VLOOKUP(H194,ID!$C$3:$D$100,2,FALSE)</f>
        <v>49</v>
      </c>
      <c r="K194" t="s">
        <v>274</v>
      </c>
      <c r="L194" t="str">
        <f>VLOOKUP(K194,Localizacoes!$E$3:$F$100,2,FALSE)</f>
        <v>BBG</v>
      </c>
      <c r="M194" t="str">
        <f>VLOOKUP(K194,ID!$E$3:$F$100,2,FALSE)</f>
        <v>BBG</v>
      </c>
      <c r="N194" t="s">
        <v>704</v>
      </c>
      <c r="O194" t="str">
        <f>VLOOKUP(N194,Localizacoes!$G$3:$H$100,2,FALSE)</f>
        <v>EBC</v>
      </c>
      <c r="P194">
        <f>VLOOKUP(N194,ID!$G$3:$H$100,2,FALSE)</f>
        <v>131</v>
      </c>
      <c r="Q194" t="s">
        <v>154</v>
      </c>
      <c r="R194" t="str">
        <f>VLOOKUP(Q194,Localizacoes!$I$3:$J$100,2,FALSE)</f>
        <v>QEA</v>
      </c>
      <c r="S194" t="str">
        <f>VLOOKUP(Q194,ID!$I$3:$J$100,2,FALSE)</f>
        <v>QEA</v>
      </c>
      <c r="T194" s="4" t="s">
        <v>182</v>
      </c>
      <c r="U194" t="s">
        <v>265</v>
      </c>
      <c r="Y194" t="s">
        <v>270</v>
      </c>
      <c r="Z194" t="str">
        <f t="shared" si="36"/>
        <v>Quadros Eléctricos de Arranque 01</v>
      </c>
      <c r="AA194"/>
      <c r="AD194" s="13" t="s">
        <v>267</v>
      </c>
      <c r="AF194" t="str">
        <f t="shared" si="37"/>
        <v>Electrobomba centrífugaQuadros Eléctricos de Arranque</v>
      </c>
      <c r="AG194" s="28" t="str">
        <f>VLOOKUP(AF194,Imagens!$C$2:$D$42,2,FALSE)</f>
        <v>65e8d2fa35c12</v>
      </c>
      <c r="AH194" t="str">
        <f>_xlfn.CONCAT(Imagens!$H$2,'registo_ativo-CDs (1)'!AG194)</f>
        <v>assets/imagens/products/65e8d2fa35c12</v>
      </c>
      <c r="AI194" s="67">
        <v>45356</v>
      </c>
      <c r="AK194" s="32"/>
    </row>
    <row r="195" spans="1:37" ht="16.8" customHeight="1" x14ac:dyDescent="0.3">
      <c r="A195">
        <f t="shared" si="38"/>
        <v>15</v>
      </c>
      <c r="B195" t="str">
        <f t="shared" si="34"/>
        <v>CD49BBG131VSU01</v>
      </c>
      <c r="C195" t="str">
        <f t="shared" si="35"/>
        <v>CD-MAT-BBG-EBC-VSU-01</v>
      </c>
      <c r="E195" t="s">
        <v>37</v>
      </c>
      <c r="F195" t="str">
        <f>VLOOKUP(E195,Localizacoes!$A$3:$B$100,2,FALSE)</f>
        <v>CD</v>
      </c>
      <c r="G195" t="str">
        <f>VLOOKUP(E195,ID!$A$3:$B$100,2,FALSE)</f>
        <v>CD</v>
      </c>
      <c r="H195" s="14" t="s">
        <v>29</v>
      </c>
      <c r="I195" t="str">
        <f>VLOOKUP(H195,Localizacoes!$C$3:$D$100,2,FALSE)</f>
        <v>MAT</v>
      </c>
      <c r="J195">
        <f>VLOOKUP(H195,ID!$C$3:$D$100,2,FALSE)</f>
        <v>49</v>
      </c>
      <c r="K195" t="s">
        <v>274</v>
      </c>
      <c r="L195" t="str">
        <f>VLOOKUP(K195,Localizacoes!$E$3:$F$100,2,FALSE)</f>
        <v>BBG</v>
      </c>
      <c r="M195" t="str">
        <f>VLOOKUP(K195,ID!$E$3:$F$100,2,FALSE)</f>
        <v>BBG</v>
      </c>
      <c r="N195" t="s">
        <v>704</v>
      </c>
      <c r="O195" t="str">
        <f>VLOOKUP(N195,Localizacoes!$G$3:$H$100,2,FALSE)</f>
        <v>EBC</v>
      </c>
      <c r="P195">
        <f>VLOOKUP(N195,ID!$G$3:$H$100,2,FALSE)</f>
        <v>131</v>
      </c>
      <c r="Q195" t="s">
        <v>276</v>
      </c>
      <c r="R195" t="str">
        <f>VLOOKUP(Q195,Localizacoes!$I$3:$J$100,2,FALSE)</f>
        <v>VSU</v>
      </c>
      <c r="S195" t="str">
        <f>VLOOKUP(Q195,ID!$I$3:$J$100,2,FALSE)</f>
        <v>VSU</v>
      </c>
      <c r="T195" s="4" t="s">
        <v>182</v>
      </c>
      <c r="U195" t="s">
        <v>264</v>
      </c>
      <c r="W195" t="s">
        <v>378</v>
      </c>
      <c r="Y195" t="s">
        <v>270</v>
      </c>
      <c r="Z195" t="str">
        <f t="shared" si="36"/>
        <v>Válvula Sucção 01</v>
      </c>
      <c r="AA195"/>
      <c r="AD195" s="13" t="s">
        <v>267</v>
      </c>
      <c r="AF195" t="str">
        <f t="shared" si="37"/>
        <v>Electrobomba centrífugaVálvula Sucção</v>
      </c>
      <c r="AG195" s="28" t="str">
        <f>VLOOKUP(AF195,Imagens!$C$2:$D$42,2,FALSE)</f>
        <v>65e8cda0676b7</v>
      </c>
      <c r="AH195" t="str">
        <f>_xlfn.CONCAT(Imagens!$H$2,'registo_ativo-CDs (1)'!AG195)</f>
        <v>assets/imagens/products/65e8cda0676b7</v>
      </c>
      <c r="AI195" s="67">
        <v>45356</v>
      </c>
      <c r="AK195" s="32"/>
    </row>
    <row r="196" spans="1:37" ht="16.8" customHeight="1" x14ac:dyDescent="0.3">
      <c r="A196">
        <f t="shared" si="38"/>
        <v>15</v>
      </c>
      <c r="B196" t="str">
        <f t="shared" si="34"/>
        <v>CD49BBG131VDE01</v>
      </c>
      <c r="C196" t="str">
        <f t="shared" si="35"/>
        <v>CD-MAT-BBG-EBC-VDE-01</v>
      </c>
      <c r="E196" t="s">
        <v>37</v>
      </c>
      <c r="F196" t="str">
        <f>VLOOKUP(E196,Localizacoes!$A$3:$B$100,2,FALSE)</f>
        <v>CD</v>
      </c>
      <c r="G196" t="str">
        <f>VLOOKUP(E196,ID!$A$3:$B$100,2,FALSE)</f>
        <v>CD</v>
      </c>
      <c r="H196" s="14" t="s">
        <v>29</v>
      </c>
      <c r="I196" t="str">
        <f>VLOOKUP(H196,Localizacoes!$C$3:$D$100,2,FALSE)</f>
        <v>MAT</v>
      </c>
      <c r="J196">
        <f>VLOOKUP(H196,ID!$C$3:$D$100,2,FALSE)</f>
        <v>49</v>
      </c>
      <c r="K196" t="s">
        <v>274</v>
      </c>
      <c r="L196" t="str">
        <f>VLOOKUP(K196,Localizacoes!$E$3:$F$100,2,FALSE)</f>
        <v>BBG</v>
      </c>
      <c r="M196" t="str">
        <f>VLOOKUP(K196,ID!$E$3:$F$100,2,FALSE)</f>
        <v>BBG</v>
      </c>
      <c r="N196" t="s">
        <v>704</v>
      </c>
      <c r="O196" t="str">
        <f>VLOOKUP(N196,Localizacoes!$G$3:$H$100,2,FALSE)</f>
        <v>EBC</v>
      </c>
      <c r="P196">
        <f>VLOOKUP(N196,ID!$G$3:$H$100,2,FALSE)</f>
        <v>131</v>
      </c>
      <c r="Q196" t="s">
        <v>279</v>
      </c>
      <c r="R196" t="str">
        <f>VLOOKUP(Q196,Localizacoes!$I$3:$J$100,2,FALSE)</f>
        <v>VDE</v>
      </c>
      <c r="S196" t="str">
        <f>VLOOKUP(Q196,ID!$I$3:$J$100,2,FALSE)</f>
        <v>VDE</v>
      </c>
      <c r="T196" s="4" t="s">
        <v>182</v>
      </c>
      <c r="U196" t="s">
        <v>264</v>
      </c>
      <c r="W196" t="s">
        <v>379</v>
      </c>
      <c r="Y196" t="s">
        <v>270</v>
      </c>
      <c r="Z196" t="str">
        <f t="shared" si="36"/>
        <v>Válvula Descarga 01</v>
      </c>
      <c r="AA196"/>
      <c r="AD196" s="13" t="s">
        <v>267</v>
      </c>
      <c r="AF196" t="str">
        <f t="shared" si="37"/>
        <v>Electrobomba centrífugaVálvula Descarga</v>
      </c>
      <c r="AG196" s="28" t="str">
        <f>VLOOKUP(AF196,Imagens!$C$2:$D$42,2,FALSE)</f>
        <v>65e8cda0676b7</v>
      </c>
      <c r="AH196" t="str">
        <f>_xlfn.CONCAT(Imagens!$H$2,'registo_ativo-CDs (1)'!AG196)</f>
        <v>assets/imagens/products/65e8cda0676b7</v>
      </c>
      <c r="AI196" s="67">
        <v>45356</v>
      </c>
      <c r="AK196" s="32"/>
    </row>
    <row r="197" spans="1:37" ht="16.8" customHeight="1" x14ac:dyDescent="0.3">
      <c r="A197">
        <f t="shared" si="38"/>
        <v>15</v>
      </c>
      <c r="B197" t="str">
        <f t="shared" si="34"/>
        <v>CD49BBG131BOM02</v>
      </c>
      <c r="C197" t="str">
        <f t="shared" si="35"/>
        <v>CD-MAT-BBG-EBC-BOM-02</v>
      </c>
      <c r="E197" t="s">
        <v>37</v>
      </c>
      <c r="F197" t="str">
        <f>VLOOKUP(E197,Localizacoes!$A$3:$B$100,2,FALSE)</f>
        <v>CD</v>
      </c>
      <c r="G197" t="str">
        <f>VLOOKUP(E197,ID!$A$3:$B$100,2,FALSE)</f>
        <v>CD</v>
      </c>
      <c r="H197" s="14" t="s">
        <v>29</v>
      </c>
      <c r="I197" t="str">
        <f>VLOOKUP(H197,Localizacoes!$C$3:$D$100,2,FALSE)</f>
        <v>MAT</v>
      </c>
      <c r="J197">
        <f>VLOOKUP(H197,ID!$C$3:$D$100,2,FALSE)</f>
        <v>49</v>
      </c>
      <c r="K197" t="s">
        <v>274</v>
      </c>
      <c r="L197" t="str">
        <f>VLOOKUP(K197,Localizacoes!$E$3:$F$100,2,FALSE)</f>
        <v>BBG</v>
      </c>
      <c r="M197" t="str">
        <f>VLOOKUP(K197,ID!$E$3:$F$100,2,FALSE)</f>
        <v>BBG</v>
      </c>
      <c r="N197" t="s">
        <v>704</v>
      </c>
      <c r="O197" t="str">
        <f>VLOOKUP(N197,Localizacoes!$G$3:$H$100,2,FALSE)</f>
        <v>EBC</v>
      </c>
      <c r="P197">
        <f>VLOOKUP(N197,ID!$G$3:$H$100,2,FALSE)</f>
        <v>131</v>
      </c>
      <c r="Q197" t="s">
        <v>150</v>
      </c>
      <c r="R197" t="str">
        <f>VLOOKUP(Q197,Localizacoes!$I$3:$J$100,2,FALSE)</f>
        <v>BOM</v>
      </c>
      <c r="S197" t="str">
        <f>VLOOKUP(Q197,ID!$I$3:$J$100,2,FALSE)</f>
        <v>BOM</v>
      </c>
      <c r="T197" s="4" t="s">
        <v>186</v>
      </c>
      <c r="U197" t="s">
        <v>264</v>
      </c>
      <c r="Y197" t="s">
        <v>270</v>
      </c>
      <c r="Z197" t="str">
        <f t="shared" si="36"/>
        <v>Bomba 02</v>
      </c>
      <c r="AA197"/>
      <c r="AD197" s="13" t="s">
        <v>7</v>
      </c>
      <c r="AF197" t="str">
        <f t="shared" si="37"/>
        <v>Electrobomba centrífugaBomba</v>
      </c>
      <c r="AG197" s="28" t="str">
        <f>VLOOKUP(AF197,Imagens!$C$2:$D$42,2,FALSE)</f>
        <v>65e96125c1d11</v>
      </c>
      <c r="AH197" t="str">
        <f>_xlfn.CONCAT(Imagens!$H$2,'registo_ativo-CDs (1)'!AG197)</f>
        <v>assets/imagens/products/65e96125c1d11</v>
      </c>
      <c r="AI197" s="67">
        <v>45300</v>
      </c>
      <c r="AK197" s="32"/>
    </row>
    <row r="198" spans="1:37" ht="16.8" customHeight="1" x14ac:dyDescent="0.3">
      <c r="A198">
        <f t="shared" si="38"/>
        <v>15</v>
      </c>
      <c r="B198" t="str">
        <f t="shared" si="34"/>
        <v>CD49BBG131MOT02</v>
      </c>
      <c r="C198" t="str">
        <f t="shared" si="35"/>
        <v>CD-MAT-BBG-EBC-MOT-02</v>
      </c>
      <c r="E198" t="s">
        <v>37</v>
      </c>
      <c r="F198" t="str">
        <f>VLOOKUP(E198,Localizacoes!$A$3:$B$100,2,FALSE)</f>
        <v>CD</v>
      </c>
      <c r="G198" t="str">
        <f>VLOOKUP(E198,ID!$A$3:$B$100,2,FALSE)</f>
        <v>CD</v>
      </c>
      <c r="H198" s="14" t="s">
        <v>29</v>
      </c>
      <c r="I198" t="str">
        <f>VLOOKUP(H198,Localizacoes!$C$3:$D$100,2,FALSE)</f>
        <v>MAT</v>
      </c>
      <c r="J198">
        <f>VLOOKUP(H198,ID!$C$3:$D$100,2,FALSE)</f>
        <v>49</v>
      </c>
      <c r="K198" t="s">
        <v>274</v>
      </c>
      <c r="L198" t="str">
        <f>VLOOKUP(K198,Localizacoes!$E$3:$F$100,2,FALSE)</f>
        <v>BBG</v>
      </c>
      <c r="M198" t="str">
        <f>VLOOKUP(K198,ID!$E$3:$F$100,2,FALSE)</f>
        <v>BBG</v>
      </c>
      <c r="N198" t="s">
        <v>704</v>
      </c>
      <c r="O198" t="str">
        <f>VLOOKUP(N198,Localizacoes!$G$3:$H$100,2,FALSE)</f>
        <v>EBC</v>
      </c>
      <c r="P198">
        <f>VLOOKUP(N198,ID!$G$3:$H$100,2,FALSE)</f>
        <v>131</v>
      </c>
      <c r="Q198" t="s">
        <v>21</v>
      </c>
      <c r="R198" t="str">
        <f>VLOOKUP(Q198,Localizacoes!$I$3:$J$100,2,FALSE)</f>
        <v>MOT</v>
      </c>
      <c r="S198" t="str">
        <f>VLOOKUP(Q198,ID!$I$3:$J$100,2,FALSE)</f>
        <v>MOT</v>
      </c>
      <c r="T198" s="4" t="s">
        <v>186</v>
      </c>
      <c r="U198" t="s">
        <v>265</v>
      </c>
      <c r="Y198" t="s">
        <v>270</v>
      </c>
      <c r="Z198" t="str">
        <f t="shared" si="36"/>
        <v>Motor 02</v>
      </c>
      <c r="AA198"/>
      <c r="AD198" s="13" t="s">
        <v>7</v>
      </c>
      <c r="AF198" t="str">
        <f t="shared" si="37"/>
        <v>Electrobomba centrífugaMotor</v>
      </c>
      <c r="AG198" s="28" t="str">
        <f>VLOOKUP(AF198,Imagens!$C$2:$D$42,2,FALSE)</f>
        <v>65d04210323a4</v>
      </c>
      <c r="AH198" t="str">
        <f>_xlfn.CONCAT(Imagens!$H$2,'registo_ativo-CDs (1)'!AG198)</f>
        <v>assets/imagens/products/65d04210323a4</v>
      </c>
      <c r="AI198" s="67">
        <v>45300</v>
      </c>
      <c r="AK198" s="32"/>
    </row>
    <row r="199" spans="1:37" ht="16.8" customHeight="1" x14ac:dyDescent="0.3">
      <c r="A199">
        <f t="shared" si="38"/>
        <v>15</v>
      </c>
      <c r="B199" t="str">
        <f t="shared" si="34"/>
        <v>CD49BBG131QEA02</v>
      </c>
      <c r="C199" t="str">
        <f t="shared" si="35"/>
        <v>CD-MAT-BBG-EBC-QEA-02</v>
      </c>
      <c r="E199" t="s">
        <v>37</v>
      </c>
      <c r="F199" t="str">
        <f>VLOOKUP(E199,Localizacoes!$A$3:$B$100,2,FALSE)</f>
        <v>CD</v>
      </c>
      <c r="G199" t="str">
        <f>VLOOKUP(E199,ID!$A$3:$B$100,2,FALSE)</f>
        <v>CD</v>
      </c>
      <c r="H199" s="14" t="s">
        <v>29</v>
      </c>
      <c r="I199" t="str">
        <f>VLOOKUP(H199,Localizacoes!$C$3:$D$100,2,FALSE)</f>
        <v>MAT</v>
      </c>
      <c r="J199">
        <f>VLOOKUP(H199,ID!$C$3:$D$100,2,FALSE)</f>
        <v>49</v>
      </c>
      <c r="K199" t="s">
        <v>274</v>
      </c>
      <c r="L199" t="str">
        <f>VLOOKUP(K199,Localizacoes!$E$3:$F$100,2,FALSE)</f>
        <v>BBG</v>
      </c>
      <c r="M199" t="str">
        <f>VLOOKUP(K199,ID!$E$3:$F$100,2,FALSE)</f>
        <v>BBG</v>
      </c>
      <c r="N199" t="s">
        <v>704</v>
      </c>
      <c r="O199" t="str">
        <f>VLOOKUP(N199,Localizacoes!$G$3:$H$100,2,FALSE)</f>
        <v>EBC</v>
      </c>
      <c r="P199">
        <f>VLOOKUP(N199,ID!$G$3:$H$100,2,FALSE)</f>
        <v>131</v>
      </c>
      <c r="Q199" t="s">
        <v>154</v>
      </c>
      <c r="R199" t="str">
        <f>VLOOKUP(Q199,Localizacoes!$I$3:$J$100,2,FALSE)</f>
        <v>QEA</v>
      </c>
      <c r="S199" t="str">
        <f>VLOOKUP(Q199,ID!$I$3:$J$100,2,FALSE)</f>
        <v>QEA</v>
      </c>
      <c r="T199" s="4" t="s">
        <v>186</v>
      </c>
      <c r="U199" t="s">
        <v>265</v>
      </c>
      <c r="Y199" t="s">
        <v>270</v>
      </c>
      <c r="Z199" t="str">
        <f t="shared" si="36"/>
        <v>Quadros Eléctricos de Arranque 02</v>
      </c>
      <c r="AA199"/>
      <c r="AD199" s="13" t="s">
        <v>267</v>
      </c>
      <c r="AF199" t="str">
        <f t="shared" si="37"/>
        <v>Electrobomba centrífugaQuadros Eléctricos de Arranque</v>
      </c>
      <c r="AG199" s="28" t="str">
        <f>VLOOKUP(AF199,Imagens!$C$2:$D$42,2,FALSE)</f>
        <v>65e8d2fa35c12</v>
      </c>
      <c r="AH199" t="str">
        <f>_xlfn.CONCAT(Imagens!$H$2,'registo_ativo-CDs (1)'!AG199)</f>
        <v>assets/imagens/products/65e8d2fa35c12</v>
      </c>
      <c r="AI199" s="67">
        <v>45356</v>
      </c>
      <c r="AK199" s="32"/>
    </row>
    <row r="200" spans="1:37" ht="16.8" customHeight="1" x14ac:dyDescent="0.3">
      <c r="A200">
        <f t="shared" si="38"/>
        <v>15</v>
      </c>
      <c r="B200" t="str">
        <f t="shared" si="34"/>
        <v>CD49BBG131VSU02</v>
      </c>
      <c r="C200" t="str">
        <f t="shared" si="35"/>
        <v>CD-MAT-BBG-EBC-VSU-02</v>
      </c>
      <c r="E200" t="s">
        <v>37</v>
      </c>
      <c r="F200" t="str">
        <f>VLOOKUP(E200,Localizacoes!$A$3:$B$100,2,FALSE)</f>
        <v>CD</v>
      </c>
      <c r="G200" t="str">
        <f>VLOOKUP(E200,ID!$A$3:$B$100,2,FALSE)</f>
        <v>CD</v>
      </c>
      <c r="H200" s="14" t="s">
        <v>29</v>
      </c>
      <c r="I200" t="str">
        <f>VLOOKUP(H200,Localizacoes!$C$3:$D$100,2,FALSE)</f>
        <v>MAT</v>
      </c>
      <c r="J200">
        <f>VLOOKUP(H200,ID!$C$3:$D$100,2,FALSE)</f>
        <v>49</v>
      </c>
      <c r="K200" t="s">
        <v>274</v>
      </c>
      <c r="L200" t="str">
        <f>VLOOKUP(K200,Localizacoes!$E$3:$F$100,2,FALSE)</f>
        <v>BBG</v>
      </c>
      <c r="M200" t="str">
        <f>VLOOKUP(K200,ID!$E$3:$F$100,2,FALSE)</f>
        <v>BBG</v>
      </c>
      <c r="N200" t="s">
        <v>704</v>
      </c>
      <c r="O200" t="str">
        <f>VLOOKUP(N200,Localizacoes!$G$3:$H$100,2,FALSE)</f>
        <v>EBC</v>
      </c>
      <c r="P200">
        <f>VLOOKUP(N200,ID!$G$3:$H$100,2,FALSE)</f>
        <v>131</v>
      </c>
      <c r="Q200" t="s">
        <v>276</v>
      </c>
      <c r="R200" t="str">
        <f>VLOOKUP(Q200,Localizacoes!$I$3:$J$100,2,FALSE)</f>
        <v>VSU</v>
      </c>
      <c r="S200" t="str">
        <f>VLOOKUP(Q200,ID!$I$3:$J$100,2,FALSE)</f>
        <v>VSU</v>
      </c>
      <c r="T200" s="4" t="s">
        <v>186</v>
      </c>
      <c r="U200" t="s">
        <v>264</v>
      </c>
      <c r="W200" t="s">
        <v>378</v>
      </c>
      <c r="X200" t="s">
        <v>6</v>
      </c>
      <c r="Y200" t="s">
        <v>270</v>
      </c>
      <c r="Z200" t="str">
        <f t="shared" si="36"/>
        <v>Válvula Sucção 02</v>
      </c>
      <c r="AA200"/>
      <c r="AD200" s="13" t="s">
        <v>267</v>
      </c>
      <c r="AF200" t="str">
        <f t="shared" si="37"/>
        <v>Electrobomba centrífugaVálvula Sucção</v>
      </c>
      <c r="AG200" s="28" t="str">
        <f>VLOOKUP(AF200,Imagens!$C$2:$D$42,2,FALSE)</f>
        <v>65e8cda0676b7</v>
      </c>
      <c r="AH200" t="str">
        <f>_xlfn.CONCAT(Imagens!$H$2,'registo_ativo-CDs (1)'!AG200)</f>
        <v>assets/imagens/products/65e8cda0676b7</v>
      </c>
      <c r="AI200" s="67">
        <v>45356</v>
      </c>
      <c r="AK200" s="32"/>
    </row>
    <row r="201" spans="1:37" ht="16.8" customHeight="1" x14ac:dyDescent="0.3">
      <c r="A201">
        <f t="shared" si="38"/>
        <v>15</v>
      </c>
      <c r="B201" t="str">
        <f t="shared" si="34"/>
        <v>CD49BBG131VDE02</v>
      </c>
      <c r="C201" t="str">
        <f t="shared" si="35"/>
        <v>CD-MAT-BBG-EBC-VDE-02</v>
      </c>
      <c r="E201" t="s">
        <v>37</v>
      </c>
      <c r="F201" t="str">
        <f>VLOOKUP(E201,Localizacoes!$A$3:$B$100,2,FALSE)</f>
        <v>CD</v>
      </c>
      <c r="G201" t="str">
        <f>VLOOKUP(E201,ID!$A$3:$B$100,2,FALSE)</f>
        <v>CD</v>
      </c>
      <c r="H201" s="14" t="s">
        <v>29</v>
      </c>
      <c r="I201" t="str">
        <f>VLOOKUP(H201,Localizacoes!$C$3:$D$100,2,FALSE)</f>
        <v>MAT</v>
      </c>
      <c r="J201">
        <f>VLOOKUP(H201,ID!$C$3:$D$100,2,FALSE)</f>
        <v>49</v>
      </c>
      <c r="K201" t="s">
        <v>274</v>
      </c>
      <c r="L201" t="str">
        <f>VLOOKUP(K201,Localizacoes!$E$3:$F$100,2,FALSE)</f>
        <v>BBG</v>
      </c>
      <c r="M201" t="str">
        <f>VLOOKUP(K201,ID!$E$3:$F$100,2,FALSE)</f>
        <v>BBG</v>
      </c>
      <c r="N201" t="s">
        <v>704</v>
      </c>
      <c r="O201" t="str">
        <f>VLOOKUP(N201,Localizacoes!$G$3:$H$100,2,FALSE)</f>
        <v>EBC</v>
      </c>
      <c r="P201">
        <f>VLOOKUP(N201,ID!$G$3:$H$100,2,FALSE)</f>
        <v>131</v>
      </c>
      <c r="Q201" t="s">
        <v>279</v>
      </c>
      <c r="R201" t="str">
        <f>VLOOKUP(Q201,Localizacoes!$I$3:$J$100,2,FALSE)</f>
        <v>VDE</v>
      </c>
      <c r="S201" t="str">
        <f>VLOOKUP(Q201,ID!$I$3:$J$100,2,FALSE)</f>
        <v>VDE</v>
      </c>
      <c r="T201" s="4" t="s">
        <v>186</v>
      </c>
      <c r="U201" t="s">
        <v>264</v>
      </c>
      <c r="W201" t="s">
        <v>379</v>
      </c>
      <c r="Y201" t="s">
        <v>270</v>
      </c>
      <c r="Z201" t="str">
        <f t="shared" si="36"/>
        <v>Válvula Descarga 02</v>
      </c>
      <c r="AA201"/>
      <c r="AD201" s="13" t="s">
        <v>267</v>
      </c>
      <c r="AF201" t="str">
        <f t="shared" si="37"/>
        <v>Electrobomba centrífugaVálvula Descarga</v>
      </c>
      <c r="AG201" s="28" t="str">
        <f>VLOOKUP(AF201,Imagens!$C$2:$D$42,2,FALSE)</f>
        <v>65e8cda0676b7</v>
      </c>
      <c r="AH201" t="str">
        <f>_xlfn.CONCAT(Imagens!$H$2,'registo_ativo-CDs (1)'!AG201)</f>
        <v>assets/imagens/products/65e8cda0676b7</v>
      </c>
      <c r="AI201" s="67">
        <v>45356</v>
      </c>
      <c r="AK201" s="32"/>
    </row>
    <row r="202" spans="1:37" ht="16.8" customHeight="1" x14ac:dyDescent="0.3">
      <c r="A202">
        <f t="shared" si="38"/>
        <v>15</v>
      </c>
      <c r="B202" t="str">
        <f t="shared" si="34"/>
        <v>CD49BBG131BOM03</v>
      </c>
      <c r="C202" t="str">
        <f t="shared" si="35"/>
        <v>CD-MAT-BBG-EBC-BOM-03</v>
      </c>
      <c r="E202" t="s">
        <v>37</v>
      </c>
      <c r="F202" t="str">
        <f>VLOOKUP(E202,Localizacoes!$A$3:$B$100,2,FALSE)</f>
        <v>CD</v>
      </c>
      <c r="G202" t="str">
        <f>VLOOKUP(E202,ID!$A$3:$B$100,2,FALSE)</f>
        <v>CD</v>
      </c>
      <c r="H202" s="14" t="s">
        <v>29</v>
      </c>
      <c r="I202" t="str">
        <f>VLOOKUP(H202,Localizacoes!$C$3:$D$100,2,FALSE)</f>
        <v>MAT</v>
      </c>
      <c r="J202">
        <f>VLOOKUP(H202,ID!$C$3:$D$100,2,FALSE)</f>
        <v>49</v>
      </c>
      <c r="K202" t="s">
        <v>274</v>
      </c>
      <c r="L202" t="str">
        <f>VLOOKUP(K202,Localizacoes!$E$3:$F$100,2,FALSE)</f>
        <v>BBG</v>
      </c>
      <c r="M202" t="str">
        <f>VLOOKUP(K202,ID!$E$3:$F$100,2,FALSE)</f>
        <v>BBG</v>
      </c>
      <c r="N202" t="s">
        <v>704</v>
      </c>
      <c r="O202" t="str">
        <f>VLOOKUP(N202,Localizacoes!$G$3:$H$100,2,FALSE)</f>
        <v>EBC</v>
      </c>
      <c r="P202">
        <f>VLOOKUP(N202,ID!$G$3:$H$100,2,FALSE)</f>
        <v>131</v>
      </c>
      <c r="Q202" t="s">
        <v>150</v>
      </c>
      <c r="R202" t="str">
        <f>VLOOKUP(Q202,Localizacoes!$I$3:$J$100,2,FALSE)</f>
        <v>BOM</v>
      </c>
      <c r="S202" t="str">
        <f>VLOOKUP(Q202,ID!$I$3:$J$100,2,FALSE)</f>
        <v>BOM</v>
      </c>
      <c r="T202" s="4" t="s">
        <v>187</v>
      </c>
      <c r="U202" t="s">
        <v>264</v>
      </c>
      <c r="V202" t="s">
        <v>374</v>
      </c>
      <c r="W202" t="s">
        <v>373</v>
      </c>
      <c r="Y202" t="s">
        <v>270</v>
      </c>
      <c r="Z202" t="str">
        <f t="shared" si="36"/>
        <v>Bomba 03</v>
      </c>
      <c r="AA202">
        <v>1971</v>
      </c>
      <c r="AD202" s="13" t="s">
        <v>7</v>
      </c>
      <c r="AF202" t="str">
        <f t="shared" si="37"/>
        <v>Electrobomba centrífugaBomba</v>
      </c>
      <c r="AG202" s="28" t="str">
        <f>VLOOKUP(AF202,Imagens!$C$2:$D$42,2,FALSE)</f>
        <v>65e96125c1d11</v>
      </c>
      <c r="AH202" t="str">
        <f>_xlfn.CONCAT(Imagens!$H$2,'registo_ativo-CDs (1)'!AG202)</f>
        <v>assets/imagens/products/65e96125c1d11</v>
      </c>
      <c r="AI202" s="67">
        <v>45300</v>
      </c>
      <c r="AK202" s="32"/>
    </row>
    <row r="203" spans="1:37" ht="16.8" customHeight="1" x14ac:dyDescent="0.3">
      <c r="A203">
        <f t="shared" si="38"/>
        <v>15</v>
      </c>
      <c r="B203" t="str">
        <f t="shared" si="34"/>
        <v>CD49BBG131MOT03</v>
      </c>
      <c r="C203" t="str">
        <f t="shared" si="35"/>
        <v>CD-MAT-BBG-EBC-MOT-03</v>
      </c>
      <c r="E203" t="s">
        <v>37</v>
      </c>
      <c r="F203" t="str">
        <f>VLOOKUP(E203,Localizacoes!$A$3:$B$100,2,FALSE)</f>
        <v>CD</v>
      </c>
      <c r="G203" t="str">
        <f>VLOOKUP(E203,ID!$A$3:$B$100,2,FALSE)</f>
        <v>CD</v>
      </c>
      <c r="H203" s="14" t="s">
        <v>29</v>
      </c>
      <c r="I203" t="str">
        <f>VLOOKUP(H203,Localizacoes!$C$3:$D$100,2,FALSE)</f>
        <v>MAT</v>
      </c>
      <c r="J203">
        <f>VLOOKUP(H203,ID!$C$3:$D$100,2,FALSE)</f>
        <v>49</v>
      </c>
      <c r="K203" t="s">
        <v>274</v>
      </c>
      <c r="L203" t="str">
        <f>VLOOKUP(K203,Localizacoes!$E$3:$F$100,2,FALSE)</f>
        <v>BBG</v>
      </c>
      <c r="M203" t="str">
        <f>VLOOKUP(K203,ID!$E$3:$F$100,2,FALSE)</f>
        <v>BBG</v>
      </c>
      <c r="N203" t="s">
        <v>704</v>
      </c>
      <c r="O203" t="str">
        <f>VLOOKUP(N203,Localizacoes!$G$3:$H$100,2,FALSE)</f>
        <v>EBC</v>
      </c>
      <c r="P203">
        <f>VLOOKUP(N203,ID!$G$3:$H$100,2,FALSE)</f>
        <v>131</v>
      </c>
      <c r="Q203" t="s">
        <v>21</v>
      </c>
      <c r="R203" t="str">
        <f>VLOOKUP(Q203,Localizacoes!$I$3:$J$100,2,FALSE)</f>
        <v>MOT</v>
      </c>
      <c r="S203" t="str">
        <f>VLOOKUP(Q203,ID!$I$3:$J$100,2,FALSE)</f>
        <v>MOT</v>
      </c>
      <c r="T203" s="4" t="s">
        <v>187</v>
      </c>
      <c r="U203" t="s">
        <v>265</v>
      </c>
      <c r="V203" t="s">
        <v>376</v>
      </c>
      <c r="W203" t="s">
        <v>375</v>
      </c>
      <c r="Y203" t="s">
        <v>270</v>
      </c>
      <c r="Z203" t="str">
        <f t="shared" si="36"/>
        <v>Motor 03</v>
      </c>
      <c r="AA203">
        <v>1971</v>
      </c>
      <c r="AD203" s="13" t="s">
        <v>7</v>
      </c>
      <c r="AF203" t="str">
        <f t="shared" si="37"/>
        <v>Electrobomba centrífugaMotor</v>
      </c>
      <c r="AG203" s="28" t="str">
        <f>VLOOKUP(AF203,Imagens!$C$2:$D$42,2,FALSE)</f>
        <v>65d04210323a4</v>
      </c>
      <c r="AH203" t="str">
        <f>_xlfn.CONCAT(Imagens!$H$2,'registo_ativo-CDs (1)'!AG203)</f>
        <v>assets/imagens/products/65d04210323a4</v>
      </c>
      <c r="AI203" s="67">
        <v>45300</v>
      </c>
      <c r="AK203" s="32"/>
    </row>
    <row r="204" spans="1:37" ht="16.8" customHeight="1" x14ac:dyDescent="0.3">
      <c r="A204">
        <f t="shared" si="38"/>
        <v>15</v>
      </c>
      <c r="B204" t="str">
        <f t="shared" si="34"/>
        <v>CD49BBG131QEA03</v>
      </c>
      <c r="C204" t="str">
        <f t="shared" si="35"/>
        <v>CD-MAT-BBG-EBC-QEA-03</v>
      </c>
      <c r="E204" t="s">
        <v>37</v>
      </c>
      <c r="F204" t="str">
        <f>VLOOKUP(E204,Localizacoes!$A$3:$B$100,2,FALSE)</f>
        <v>CD</v>
      </c>
      <c r="G204" t="str">
        <f>VLOOKUP(E204,ID!$A$3:$B$100,2,FALSE)</f>
        <v>CD</v>
      </c>
      <c r="H204" s="14" t="s">
        <v>29</v>
      </c>
      <c r="I204" t="str">
        <f>VLOOKUP(H204,Localizacoes!$C$3:$D$100,2,FALSE)</f>
        <v>MAT</v>
      </c>
      <c r="J204">
        <f>VLOOKUP(H204,ID!$C$3:$D$100,2,FALSE)</f>
        <v>49</v>
      </c>
      <c r="K204" t="s">
        <v>274</v>
      </c>
      <c r="L204" t="str">
        <f>VLOOKUP(K204,Localizacoes!$E$3:$F$100,2,FALSE)</f>
        <v>BBG</v>
      </c>
      <c r="M204" t="str">
        <f>VLOOKUP(K204,ID!$E$3:$F$100,2,FALSE)</f>
        <v>BBG</v>
      </c>
      <c r="N204" t="s">
        <v>704</v>
      </c>
      <c r="O204" t="str">
        <f>VLOOKUP(N204,Localizacoes!$G$3:$H$100,2,FALSE)</f>
        <v>EBC</v>
      </c>
      <c r="P204">
        <f>VLOOKUP(N204,ID!$G$3:$H$100,2,FALSE)</f>
        <v>131</v>
      </c>
      <c r="Q204" t="s">
        <v>154</v>
      </c>
      <c r="R204" t="str">
        <f>VLOOKUP(Q204,Localizacoes!$I$3:$J$100,2,FALSE)</f>
        <v>QEA</v>
      </c>
      <c r="S204" t="str">
        <f>VLOOKUP(Q204,ID!$I$3:$J$100,2,FALSE)</f>
        <v>QEA</v>
      </c>
      <c r="T204" s="4" t="s">
        <v>187</v>
      </c>
      <c r="U204" t="s">
        <v>265</v>
      </c>
      <c r="W204" t="s">
        <v>380</v>
      </c>
      <c r="Y204" t="s">
        <v>270</v>
      </c>
      <c r="Z204" t="str">
        <f t="shared" si="36"/>
        <v>Quadros Eléctricos de Arranque 03</v>
      </c>
      <c r="AA204">
        <v>1971</v>
      </c>
      <c r="AD204" s="13" t="s">
        <v>267</v>
      </c>
      <c r="AF204" t="str">
        <f t="shared" si="37"/>
        <v>Electrobomba centrífugaQuadros Eléctricos de Arranque</v>
      </c>
      <c r="AG204" s="28" t="str">
        <f>VLOOKUP(AF204,Imagens!$C$2:$D$42,2,FALSE)</f>
        <v>65e8d2fa35c12</v>
      </c>
      <c r="AH204" t="str">
        <f>_xlfn.CONCAT(Imagens!$H$2,'registo_ativo-CDs (1)'!AG204)</f>
        <v>assets/imagens/products/65e8d2fa35c12</v>
      </c>
      <c r="AI204" s="67">
        <v>45356</v>
      </c>
      <c r="AK204" s="32"/>
    </row>
    <row r="205" spans="1:37" ht="16.8" customHeight="1" x14ac:dyDescent="0.3">
      <c r="A205">
        <f t="shared" ref="A205" si="39">LEN(B205)</f>
        <v>15</v>
      </c>
      <c r="B205" t="str">
        <f t="shared" ref="B205" si="40">CONCATENATE(G205,J205,M205,P205,S205,T205)</f>
        <v>CD49BBG131VSU03</v>
      </c>
      <c r="C205" t="str">
        <f t="shared" ref="C205" si="41">CONCATENATE(F205, "-", I205, "-", L205, "-", O205, "-", R205, "-", T205)</f>
        <v>CD-MAT-BBG-EBC-VSU-03</v>
      </c>
      <c r="E205" t="s">
        <v>37</v>
      </c>
      <c r="F205" t="str">
        <f>VLOOKUP(E205,Localizacoes!$A$3:$B$100,2,FALSE)</f>
        <v>CD</v>
      </c>
      <c r="G205" t="str">
        <f>VLOOKUP(E205,ID!$A$3:$B$100,2,FALSE)</f>
        <v>CD</v>
      </c>
      <c r="H205" s="14" t="s">
        <v>29</v>
      </c>
      <c r="I205" t="str">
        <f>VLOOKUP(H205,Localizacoes!$C$3:$D$100,2,FALSE)</f>
        <v>MAT</v>
      </c>
      <c r="J205">
        <f>VLOOKUP(H205,ID!$C$3:$D$100,2,FALSE)</f>
        <v>49</v>
      </c>
      <c r="K205" t="s">
        <v>274</v>
      </c>
      <c r="L205" t="str">
        <f>VLOOKUP(K205,Localizacoes!$E$3:$F$100,2,FALSE)</f>
        <v>BBG</v>
      </c>
      <c r="M205" t="str">
        <f>VLOOKUP(K205,ID!$E$3:$F$100,2,FALSE)</f>
        <v>BBG</v>
      </c>
      <c r="N205" t="s">
        <v>704</v>
      </c>
      <c r="O205" t="str">
        <f>VLOOKUP(N205,Localizacoes!$G$3:$H$100,2,FALSE)</f>
        <v>EBC</v>
      </c>
      <c r="P205">
        <f>VLOOKUP(N205,ID!$G$3:$H$100,2,FALSE)</f>
        <v>131</v>
      </c>
      <c r="Q205" t="s">
        <v>276</v>
      </c>
      <c r="R205" t="str">
        <f>VLOOKUP(Q205,Localizacoes!$I$3:$J$100,2,FALSE)</f>
        <v>VSU</v>
      </c>
      <c r="S205" t="str">
        <f>VLOOKUP(Q205,ID!$I$3:$J$100,2,FALSE)</f>
        <v>VSU</v>
      </c>
      <c r="T205" s="4" t="s">
        <v>187</v>
      </c>
      <c r="U205" t="s">
        <v>264</v>
      </c>
      <c r="W205" t="s">
        <v>504</v>
      </c>
      <c r="Y205" t="s">
        <v>270</v>
      </c>
      <c r="Z205" t="str">
        <f t="shared" ref="Z205" si="42">Q205&amp;" "&amp; T205</f>
        <v>Válvula Sucção 03</v>
      </c>
      <c r="AA205">
        <v>1971</v>
      </c>
      <c r="AD205" s="13" t="s">
        <v>267</v>
      </c>
      <c r="AF205" t="str">
        <f t="shared" si="37"/>
        <v>Electrobomba centrífugaVálvula Sucção</v>
      </c>
      <c r="AG205" s="28" t="str">
        <f>VLOOKUP(AF205,Imagens!$C$2:$D$42,2,FALSE)</f>
        <v>65e8cda0676b7</v>
      </c>
      <c r="AH205" t="str">
        <f>_xlfn.CONCAT(Imagens!$H$2,'registo_ativo-CDs (1)'!AG205)</f>
        <v>assets/imagens/products/65e8cda0676b7</v>
      </c>
      <c r="AI205" s="67">
        <v>45356</v>
      </c>
      <c r="AK205" s="32"/>
    </row>
    <row r="206" spans="1:37" ht="16.8" customHeight="1" x14ac:dyDescent="0.3">
      <c r="A206">
        <f t="shared" si="38"/>
        <v>15</v>
      </c>
      <c r="B206" t="str">
        <f t="shared" si="34"/>
        <v>CD49BBG131VDE03</v>
      </c>
      <c r="C206" t="str">
        <f t="shared" si="35"/>
        <v>CD-MAT-BBG-EBC-VDE-03</v>
      </c>
      <c r="E206" t="s">
        <v>37</v>
      </c>
      <c r="F206" t="str">
        <f>VLOOKUP(E206,Localizacoes!$A$3:$B$100,2,FALSE)</f>
        <v>CD</v>
      </c>
      <c r="G206" t="str">
        <f>VLOOKUP(E206,ID!$A$3:$B$100,2,FALSE)</f>
        <v>CD</v>
      </c>
      <c r="H206" s="14" t="s">
        <v>29</v>
      </c>
      <c r="I206" t="str">
        <f>VLOOKUP(H206,Localizacoes!$C$3:$D$100,2,FALSE)</f>
        <v>MAT</v>
      </c>
      <c r="J206">
        <f>VLOOKUP(H206,ID!$C$3:$D$100,2,FALSE)</f>
        <v>49</v>
      </c>
      <c r="K206" t="s">
        <v>274</v>
      </c>
      <c r="L206" t="str">
        <f>VLOOKUP(K206,Localizacoes!$E$3:$F$100,2,FALSE)</f>
        <v>BBG</v>
      </c>
      <c r="M206" t="str">
        <f>VLOOKUP(K206,ID!$E$3:$F$100,2,FALSE)</f>
        <v>BBG</v>
      </c>
      <c r="N206" t="s">
        <v>704</v>
      </c>
      <c r="O206" t="str">
        <f>VLOOKUP(N206,Localizacoes!$G$3:$H$100,2,FALSE)</f>
        <v>EBC</v>
      </c>
      <c r="P206">
        <f>VLOOKUP(N206,ID!$G$3:$H$100,2,FALSE)</f>
        <v>131</v>
      </c>
      <c r="Q206" t="s">
        <v>279</v>
      </c>
      <c r="R206" t="str">
        <f>VLOOKUP(Q206,Localizacoes!$I$3:$J$100,2,FALSE)</f>
        <v>VDE</v>
      </c>
      <c r="S206" t="str">
        <f>VLOOKUP(Q206,ID!$I$3:$J$100,2,FALSE)</f>
        <v>VDE</v>
      </c>
      <c r="T206" s="4" t="s">
        <v>187</v>
      </c>
      <c r="U206" t="s">
        <v>264</v>
      </c>
      <c r="W206" t="s">
        <v>378</v>
      </c>
      <c r="Y206" t="s">
        <v>270</v>
      </c>
      <c r="Z206" t="str">
        <f t="shared" si="36"/>
        <v>Válvula Descarga 03</v>
      </c>
      <c r="AA206">
        <v>1971</v>
      </c>
      <c r="AD206" s="13" t="s">
        <v>267</v>
      </c>
      <c r="AF206" t="str">
        <f t="shared" si="37"/>
        <v>Electrobomba centrífugaVálvula Descarga</v>
      </c>
      <c r="AG206" s="28" t="str">
        <f>VLOOKUP(AF206,Imagens!$C$2:$D$42,2,FALSE)</f>
        <v>65e8cda0676b7</v>
      </c>
      <c r="AH206" t="str">
        <f>_xlfn.CONCAT(Imagens!$H$2,'registo_ativo-CDs (1)'!AG206)</f>
        <v>assets/imagens/products/65e8cda0676b7</v>
      </c>
      <c r="AI206" s="67">
        <v>45356</v>
      </c>
      <c r="AK206" s="32"/>
    </row>
    <row r="207" spans="1:37" ht="16.8" customHeight="1" x14ac:dyDescent="0.3">
      <c r="A207">
        <f t="shared" si="38"/>
        <v>15</v>
      </c>
      <c r="B207" t="str">
        <f t="shared" si="34"/>
        <v>CD49BBG165QMT01</v>
      </c>
      <c r="C207" t="str">
        <f t="shared" si="35"/>
        <v>CD-MAT-BBG-SUB-QMT-01</v>
      </c>
      <c r="E207" t="s">
        <v>37</v>
      </c>
      <c r="F207" t="str">
        <f>VLOOKUP(E207,Localizacoes!$A$3:$B$100,2,FALSE)</f>
        <v>CD</v>
      </c>
      <c r="G207" t="str">
        <f>VLOOKUP(E207,ID!$A$3:$B$100,2,FALSE)</f>
        <v>CD</v>
      </c>
      <c r="H207" s="14" t="s">
        <v>29</v>
      </c>
      <c r="I207" t="str">
        <f>VLOOKUP(H207,Localizacoes!$C$3:$D$100,2,FALSE)</f>
        <v>MAT</v>
      </c>
      <c r="J207">
        <f>VLOOKUP(H207,ID!$C$3:$D$100,2,FALSE)</f>
        <v>49</v>
      </c>
      <c r="K207" t="s">
        <v>274</v>
      </c>
      <c r="L207" t="str">
        <f>VLOOKUP(K207,Localizacoes!$E$3:$F$100,2,FALSE)</f>
        <v>BBG</v>
      </c>
      <c r="M207" t="str">
        <f>VLOOKUP(K207,ID!$E$3:$F$100,2,FALSE)</f>
        <v>BBG</v>
      </c>
      <c r="N207" t="s">
        <v>112</v>
      </c>
      <c r="O207" t="str">
        <f>VLOOKUP(N207,Localizacoes!$G$3:$H$100,2,FALSE)</f>
        <v>SUB</v>
      </c>
      <c r="P207">
        <f>VLOOKUP(N207,ID!$G$3:$H$100,2,FALSE)</f>
        <v>165</v>
      </c>
      <c r="Q207" t="s">
        <v>445</v>
      </c>
      <c r="R207" t="str">
        <f>VLOOKUP(Q207,Localizacoes!$I$3:$J$100,2,FALSE)</f>
        <v>QMT</v>
      </c>
      <c r="S207" t="str">
        <f>VLOOKUP(Q207,ID!$I$3:$J$100,2,FALSE)</f>
        <v>QMT</v>
      </c>
      <c r="T207" s="4" t="s">
        <v>182</v>
      </c>
      <c r="U207" t="s">
        <v>265</v>
      </c>
      <c r="W207" t="s">
        <v>379</v>
      </c>
      <c r="Y207" t="s">
        <v>270</v>
      </c>
      <c r="Z207" t="str">
        <f t="shared" si="36"/>
        <v>Quadro de Media Tensão 01</v>
      </c>
      <c r="AA207"/>
      <c r="AD207" s="13" t="s">
        <v>267</v>
      </c>
      <c r="AF207" t="str">
        <f t="shared" si="37"/>
        <v>SubestaçãoQuadro de Media Tensão</v>
      </c>
      <c r="AG207" s="28" t="str">
        <f>VLOOKUP(AF207,Imagens!$C$2:$D$42,2,FALSE)</f>
        <v>65d1346bf3835</v>
      </c>
      <c r="AH207" t="str">
        <f>_xlfn.CONCAT(Imagens!$H$2,'registo_ativo-CDs (1)'!AG207)</f>
        <v>assets/imagens/products/65d1346bf3835</v>
      </c>
      <c r="AI207" s="67">
        <v>45356</v>
      </c>
      <c r="AK207" s="32"/>
    </row>
    <row r="208" spans="1:37" ht="16.8" customHeight="1" x14ac:dyDescent="0.3">
      <c r="A208">
        <f t="shared" si="38"/>
        <v>15</v>
      </c>
      <c r="B208" t="str">
        <f t="shared" si="34"/>
        <v>CD49BBG152QBT01</v>
      </c>
      <c r="C208" t="str">
        <f t="shared" si="35"/>
        <v>CD-MAT-BBG-QEL-QBT-01</v>
      </c>
      <c r="E208" t="s">
        <v>37</v>
      </c>
      <c r="F208" t="str">
        <f>VLOOKUP(E208,Localizacoes!$A$3:$B$100,2,FALSE)</f>
        <v>CD</v>
      </c>
      <c r="G208" t="str">
        <f>VLOOKUP(E208,ID!$A$3:$B$100,2,FALSE)</f>
        <v>CD</v>
      </c>
      <c r="H208" s="14" t="s">
        <v>29</v>
      </c>
      <c r="I208" t="str">
        <f>VLOOKUP(H208,Localizacoes!$C$3:$D$100,2,FALSE)</f>
        <v>MAT</v>
      </c>
      <c r="J208">
        <f>VLOOKUP(H208,ID!$C$3:$D$100,2,FALSE)</f>
        <v>49</v>
      </c>
      <c r="K208" t="s">
        <v>274</v>
      </c>
      <c r="L208" t="str">
        <f>VLOOKUP(K208,Localizacoes!$E$3:$F$100,2,FALSE)</f>
        <v>BBG</v>
      </c>
      <c r="M208" t="str">
        <f>VLOOKUP(K208,ID!$E$3:$F$100,2,FALSE)</f>
        <v>BBG</v>
      </c>
      <c r="N208" t="s">
        <v>286</v>
      </c>
      <c r="O208" t="str">
        <f>VLOOKUP(N208,Localizacoes!$G$3:$H$100,2,FALSE)</f>
        <v>QEL</v>
      </c>
      <c r="P208">
        <f>VLOOKUP(N208,ID!$G$3:$H$100,2,FALSE)</f>
        <v>152</v>
      </c>
      <c r="Q208" t="s">
        <v>443</v>
      </c>
      <c r="R208" t="str">
        <f>VLOOKUP(Q208,Localizacoes!$I$3:$J$100,2,FALSE)</f>
        <v>QBT</v>
      </c>
      <c r="S208" t="str">
        <f>VLOOKUP(Q208,ID!$I$3:$J$100,2,FALSE)</f>
        <v>QBT</v>
      </c>
      <c r="T208" s="4" t="s">
        <v>182</v>
      </c>
      <c r="U208" t="s">
        <v>265</v>
      </c>
      <c r="Y208" t="s">
        <v>270</v>
      </c>
      <c r="Z208" t="str">
        <f t="shared" ref="Z208:Z271" si="43">Q208&amp;" "&amp; T208</f>
        <v>Quadro de Baixa Tensão 01</v>
      </c>
      <c r="AA208"/>
      <c r="AD208" s="13" t="s">
        <v>267</v>
      </c>
      <c r="AF208" t="str">
        <f t="shared" si="37"/>
        <v>Quadro EléctricoQuadro de Baixa Tensão</v>
      </c>
      <c r="AG208" s="28" t="str">
        <f>VLOOKUP(AF208,Imagens!$C$2:$D$42,2,FALSE)</f>
        <v>65d1346bf3835</v>
      </c>
      <c r="AH208" t="str">
        <f>_xlfn.CONCAT(Imagens!$H$2,'registo_ativo-CDs (1)'!AG208)</f>
        <v>assets/imagens/products/65d1346bf3835</v>
      </c>
      <c r="AI208" s="67">
        <v>45356</v>
      </c>
      <c r="AK208" s="32"/>
    </row>
    <row r="209" spans="1:37" ht="16.8" customHeight="1" x14ac:dyDescent="0.3">
      <c r="A209">
        <f t="shared" si="38"/>
        <v>15</v>
      </c>
      <c r="B209" t="str">
        <f t="shared" si="34"/>
        <v>CD49BBG164ILL02</v>
      </c>
      <c r="C209" t="str">
        <f t="shared" si="35"/>
        <v>CD-MAT-BBG-SIL-ILL-02</v>
      </c>
      <c r="E209" t="s">
        <v>37</v>
      </c>
      <c r="F209" t="str">
        <f>VLOOKUP(E209,Localizacoes!$A$3:$B$100,2,FALSE)</f>
        <v>CD</v>
      </c>
      <c r="G209" t="str">
        <f>VLOOKUP(E209,ID!$A$3:$B$100,2,FALSE)</f>
        <v>CD</v>
      </c>
      <c r="H209" s="14" t="s">
        <v>29</v>
      </c>
      <c r="I209" t="str">
        <f>VLOOKUP(H209,Localizacoes!$C$3:$D$100,2,FALSE)</f>
        <v>MAT</v>
      </c>
      <c r="J209">
        <f>VLOOKUP(H209,ID!$C$3:$D$100,2,FALSE)</f>
        <v>49</v>
      </c>
      <c r="K209" t="s">
        <v>274</v>
      </c>
      <c r="L209" t="str">
        <f>VLOOKUP(K209,Localizacoes!$E$3:$F$100,2,FALSE)</f>
        <v>BBG</v>
      </c>
      <c r="M209" t="str">
        <f>VLOOKUP(K209,ID!$E$3:$F$100,2,FALSE)</f>
        <v>BBG</v>
      </c>
      <c r="N209" t="s">
        <v>688</v>
      </c>
      <c r="O209" t="str">
        <f>VLOOKUP(N209,Localizacoes!$G$3:$H$100,2,FALSE)</f>
        <v>SIL</v>
      </c>
      <c r="P209">
        <f>VLOOKUP(N209,ID!$G$3:$H$100,2,FALSE)</f>
        <v>164</v>
      </c>
      <c r="Q209" t="s">
        <v>141</v>
      </c>
      <c r="R209" t="str">
        <f>VLOOKUP(Q209,Localizacoes!$I$3:$J$100,2,FALSE)</f>
        <v>ILL</v>
      </c>
      <c r="S209" t="str">
        <f>VLOOKUP(Q209,ID!$I$3:$J$100,2,FALSE)</f>
        <v>ILL</v>
      </c>
      <c r="T209" s="4" t="s">
        <v>186</v>
      </c>
      <c r="U209" t="s">
        <v>265</v>
      </c>
      <c r="Y209" t="s">
        <v>270</v>
      </c>
      <c r="Z209" t="str">
        <f t="shared" si="43"/>
        <v>Iluminação 02</v>
      </c>
      <c r="AA209"/>
      <c r="AD209" s="13" t="s">
        <v>267</v>
      </c>
      <c r="AF209" t="str">
        <f t="shared" si="37"/>
        <v>Sistema de IluminaçãoIluminação</v>
      </c>
      <c r="AG209" s="28" t="str">
        <f>VLOOKUP(AF209,Imagens!$C$2:$D$42,2,FALSE)</f>
        <v>65e8e579bfe6c</v>
      </c>
      <c r="AH209" t="str">
        <f>_xlfn.CONCAT(Imagens!$H$2,'registo_ativo-CDs (1)'!AG209)</f>
        <v>assets/imagens/products/65e8e579bfe6c</v>
      </c>
      <c r="AI209" s="67">
        <v>45300</v>
      </c>
      <c r="AK209" s="32"/>
    </row>
    <row r="210" spans="1:37" ht="16.8" customHeight="1" x14ac:dyDescent="0.3">
      <c r="A210">
        <f t="shared" si="38"/>
        <v>15</v>
      </c>
      <c r="B210" t="str">
        <f t="shared" si="34"/>
        <v>CD49BBG146MCD01</v>
      </c>
      <c r="C210" t="str">
        <f t="shared" si="35"/>
        <v>CD-MAT-BBG-MDD-MCD-01</v>
      </c>
      <c r="E210" t="s">
        <v>37</v>
      </c>
      <c r="F210" t="str">
        <f>VLOOKUP(E210,Localizacoes!$A$3:$B$100,2,FALSE)</f>
        <v>CD</v>
      </c>
      <c r="G210" t="str">
        <f>VLOOKUP(E210,ID!$A$3:$B$100,2,FALSE)</f>
        <v>CD</v>
      </c>
      <c r="H210" s="14" t="s">
        <v>29</v>
      </c>
      <c r="I210" t="str">
        <f>VLOOKUP(H210,Localizacoes!$C$3:$D$100,2,FALSE)</f>
        <v>MAT</v>
      </c>
      <c r="J210">
        <f>VLOOKUP(H210,ID!$C$3:$D$100,2,FALSE)</f>
        <v>49</v>
      </c>
      <c r="K210" t="s">
        <v>274</v>
      </c>
      <c r="L210" t="str">
        <f>VLOOKUP(K210,Localizacoes!$E$3:$F$100,2,FALSE)</f>
        <v>BBG</v>
      </c>
      <c r="M210" t="str">
        <f>VLOOKUP(K210,ID!$E$3:$F$100,2,FALSE)</f>
        <v>BBG</v>
      </c>
      <c r="N210" t="s">
        <v>672</v>
      </c>
      <c r="O210" t="str">
        <f>VLOOKUP(N210,Localizacoes!$G$3:$H$100,2,FALSE)</f>
        <v>MDD</v>
      </c>
      <c r="P210">
        <f>VLOOKUP(N210,ID!$G$3:$H$100,2,FALSE)</f>
        <v>146</v>
      </c>
      <c r="Q210" t="s">
        <v>370</v>
      </c>
      <c r="R210" t="str">
        <f>VLOOKUP(Q210,Localizacoes!$I$3:$J$100,2,FALSE)</f>
        <v>MCD</v>
      </c>
      <c r="S210" t="str">
        <f>VLOOKUP(Q210,ID!$I$3:$J$100,2,FALSE)</f>
        <v>MCD</v>
      </c>
      <c r="T210" s="4" t="s">
        <v>182</v>
      </c>
      <c r="U210" t="s">
        <v>265</v>
      </c>
      <c r="Y210" t="s">
        <v>270</v>
      </c>
      <c r="Z210" t="str">
        <f t="shared" si="43"/>
        <v>Macromedidor 01</v>
      </c>
      <c r="AA210"/>
      <c r="AD210" s="13" t="s">
        <v>266</v>
      </c>
      <c r="AF210" t="str">
        <f t="shared" si="37"/>
        <v>MedidorMacromedidor</v>
      </c>
      <c r="AG210" s="28" t="str">
        <f>VLOOKUP(AF210,Imagens!$C$2:$D$42,2,FALSE)</f>
        <v>65e8dd4a9cd58</v>
      </c>
      <c r="AH210" t="str">
        <f>_xlfn.CONCAT(Imagens!$H$2,'registo_ativo-CDs (1)'!AG210)</f>
        <v>assets/imagens/products/65e8dd4a9cd58</v>
      </c>
      <c r="AI210" s="67">
        <v>45328</v>
      </c>
      <c r="AK210" s="32"/>
    </row>
    <row r="211" spans="1:37" ht="16.8" customHeight="1" x14ac:dyDescent="0.3">
      <c r="A211">
        <f t="shared" si="38"/>
        <v>15</v>
      </c>
      <c r="B211" t="str">
        <f t="shared" si="34"/>
        <v>CD49BBG146MCD02</v>
      </c>
      <c r="C211" t="str">
        <f t="shared" si="35"/>
        <v>CD-MAT-BBG-MDD-MCD-02</v>
      </c>
      <c r="E211" t="s">
        <v>37</v>
      </c>
      <c r="F211" t="str">
        <f>VLOOKUP(E211,Localizacoes!$A$3:$B$100,2,FALSE)</f>
        <v>CD</v>
      </c>
      <c r="G211" t="str">
        <f>VLOOKUP(E211,ID!$A$3:$B$100,2,FALSE)</f>
        <v>CD</v>
      </c>
      <c r="H211" s="14" t="s">
        <v>29</v>
      </c>
      <c r="I211" t="str">
        <f>VLOOKUP(H211,Localizacoes!$C$3:$D$100,2,FALSE)</f>
        <v>MAT</v>
      </c>
      <c r="J211">
        <f>VLOOKUP(H211,ID!$C$3:$D$100,2,FALSE)</f>
        <v>49</v>
      </c>
      <c r="K211" t="s">
        <v>274</v>
      </c>
      <c r="L211" t="str">
        <f>VLOOKUP(K211,Localizacoes!$E$3:$F$100,2,FALSE)</f>
        <v>BBG</v>
      </c>
      <c r="M211" t="str">
        <f>VLOOKUP(K211,ID!$E$3:$F$100,2,FALSE)</f>
        <v>BBG</v>
      </c>
      <c r="N211" t="s">
        <v>672</v>
      </c>
      <c r="O211" t="str">
        <f>VLOOKUP(N211,Localizacoes!$G$3:$H$100,2,FALSE)</f>
        <v>MDD</v>
      </c>
      <c r="P211">
        <f>VLOOKUP(N211,ID!$G$3:$H$100,2,FALSE)</f>
        <v>146</v>
      </c>
      <c r="Q211" t="s">
        <v>370</v>
      </c>
      <c r="R211" t="str">
        <f>VLOOKUP(Q211,Localizacoes!$I$3:$J$100,2,FALSE)</f>
        <v>MCD</v>
      </c>
      <c r="S211" t="str">
        <f>VLOOKUP(Q211,ID!$I$3:$J$100,2,FALSE)</f>
        <v>MCD</v>
      </c>
      <c r="T211" s="4" t="s">
        <v>186</v>
      </c>
      <c r="U211" t="s">
        <v>265</v>
      </c>
      <c r="Y211" t="s">
        <v>270</v>
      </c>
      <c r="Z211" t="str">
        <f t="shared" si="43"/>
        <v>Macromedidor 02</v>
      </c>
      <c r="AA211"/>
      <c r="AD211" s="13" t="s">
        <v>266</v>
      </c>
      <c r="AF211" t="str">
        <f t="shared" si="37"/>
        <v>MedidorMacromedidor</v>
      </c>
      <c r="AG211" s="28" t="str">
        <f>VLOOKUP(AF211,Imagens!$C$2:$D$42,2,FALSE)</f>
        <v>65e8dd4a9cd58</v>
      </c>
      <c r="AH211" t="str">
        <f>_xlfn.CONCAT(Imagens!$H$2,'registo_ativo-CDs (1)'!AG211)</f>
        <v>assets/imagens/products/65e8dd4a9cd58</v>
      </c>
      <c r="AI211" s="67">
        <v>45328</v>
      </c>
      <c r="AK211" s="32"/>
    </row>
    <row r="212" spans="1:37" ht="16.8" customHeight="1" x14ac:dyDescent="0.3">
      <c r="A212">
        <f t="shared" ref="A212:A271" si="44">LEN(B212)</f>
        <v>15</v>
      </c>
      <c r="B212" t="str">
        <f t="shared" ref="B212:B232" si="45">CONCATENATE(G212,J212,M212,P212,S212,T212)</f>
        <v>CD49BBG146MCD03</v>
      </c>
      <c r="C212" t="str">
        <f t="shared" ref="C212:C232" si="46">CONCATENATE(F212, "-", I212, "-", L212, "-", O212, "-", R212, "-", T212)</f>
        <v>CD-MAT-BBG-MDD-MCD-03</v>
      </c>
      <c r="E212" t="s">
        <v>37</v>
      </c>
      <c r="F212" t="str">
        <f>VLOOKUP(E212,Localizacoes!$A$3:$B$100,2,FALSE)</f>
        <v>CD</v>
      </c>
      <c r="G212" t="str">
        <f>VLOOKUP(E212,ID!$A$3:$B$100,2,FALSE)</f>
        <v>CD</v>
      </c>
      <c r="H212" s="14" t="s">
        <v>29</v>
      </c>
      <c r="I212" t="str">
        <f>VLOOKUP(H212,Localizacoes!$C$3:$D$100,2,FALSE)</f>
        <v>MAT</v>
      </c>
      <c r="J212">
        <f>VLOOKUP(H212,ID!$C$3:$D$100,2,FALSE)</f>
        <v>49</v>
      </c>
      <c r="K212" t="s">
        <v>274</v>
      </c>
      <c r="L212" t="str">
        <f>VLOOKUP(K212,Localizacoes!$E$3:$F$100,2,FALSE)</f>
        <v>BBG</v>
      </c>
      <c r="M212" t="str">
        <f>VLOOKUP(K212,ID!$E$3:$F$100,2,FALSE)</f>
        <v>BBG</v>
      </c>
      <c r="N212" t="s">
        <v>672</v>
      </c>
      <c r="O212" t="str">
        <f>VLOOKUP(N212,Localizacoes!$G$3:$H$100,2,FALSE)</f>
        <v>MDD</v>
      </c>
      <c r="P212">
        <f>VLOOKUP(N212,ID!$G$3:$H$100,2,FALSE)</f>
        <v>146</v>
      </c>
      <c r="Q212" t="s">
        <v>370</v>
      </c>
      <c r="R212" t="str">
        <f>VLOOKUP(Q212,Localizacoes!$I$3:$J$100,2,FALSE)</f>
        <v>MCD</v>
      </c>
      <c r="S212" t="str">
        <f>VLOOKUP(Q212,ID!$I$3:$J$100,2,FALSE)</f>
        <v>MCD</v>
      </c>
      <c r="T212" s="4" t="s">
        <v>187</v>
      </c>
      <c r="U212" t="s">
        <v>265</v>
      </c>
      <c r="Y212" t="s">
        <v>270</v>
      </c>
      <c r="Z212" t="str">
        <f t="shared" si="43"/>
        <v>Macromedidor 03</v>
      </c>
      <c r="AA212"/>
      <c r="AD212" s="13" t="s">
        <v>266</v>
      </c>
      <c r="AF212" t="str">
        <f t="shared" si="37"/>
        <v>MedidorMacromedidor</v>
      </c>
      <c r="AG212" s="28" t="str">
        <f>VLOOKUP(AF212,Imagens!$C$2:$D$42,2,FALSE)</f>
        <v>65e8dd4a9cd58</v>
      </c>
      <c r="AH212" t="str">
        <f>_xlfn.CONCAT(Imagens!$H$2,'registo_ativo-CDs (1)'!AG212)</f>
        <v>assets/imagens/products/65e8dd4a9cd58</v>
      </c>
      <c r="AI212" s="67">
        <v>45328</v>
      </c>
      <c r="AK212" s="32"/>
    </row>
    <row r="213" spans="1:37" ht="16.8" customHeight="1" x14ac:dyDescent="0.3">
      <c r="A213">
        <f t="shared" si="44"/>
        <v>15</v>
      </c>
      <c r="B213" t="str">
        <f t="shared" si="45"/>
        <v>CD49SB1165TRA01</v>
      </c>
      <c r="C213" t="str">
        <f t="shared" si="46"/>
        <v>CD-MAT-SB1-SUB-TRA-01</v>
      </c>
      <c r="E213" t="s">
        <v>37</v>
      </c>
      <c r="F213" t="str">
        <f>VLOOKUP(E213,Localizacoes!$A$3:$B$100,2,FALSE)</f>
        <v>CD</v>
      </c>
      <c r="G213" t="str">
        <f>VLOOKUP(E213,ID!$A$3:$B$100,2,FALSE)</f>
        <v>CD</v>
      </c>
      <c r="H213" s="14" t="s">
        <v>29</v>
      </c>
      <c r="I213" t="str">
        <f>VLOOKUP(H213,Localizacoes!$C$3:$D$100,2,FALSE)</f>
        <v>MAT</v>
      </c>
      <c r="J213">
        <f>VLOOKUP(H213,ID!$C$3:$D$100,2,FALSE)</f>
        <v>49</v>
      </c>
      <c r="K213" t="s">
        <v>127</v>
      </c>
      <c r="L213" t="str">
        <f>VLOOKUP(K213,Localizacoes!$E$3:$F$100,2,FALSE)</f>
        <v>SB1</v>
      </c>
      <c r="M213" t="str">
        <f>VLOOKUP(K213,ID!$E$3:$F$100,2,FALSE)</f>
        <v>SB1</v>
      </c>
      <c r="N213" t="s">
        <v>112</v>
      </c>
      <c r="O213" t="str">
        <f>VLOOKUP(N213,Localizacoes!$G$3:$H$100,2,FALSE)</f>
        <v>SUB</v>
      </c>
      <c r="P213">
        <f>VLOOKUP(N213,ID!$G$3:$H$100,2,FALSE)</f>
        <v>165</v>
      </c>
      <c r="Q213" t="s">
        <v>176</v>
      </c>
      <c r="R213" t="str">
        <f>VLOOKUP(Q213,Localizacoes!$I$3:$J$100,2,FALSE)</f>
        <v>TRA</v>
      </c>
      <c r="S213" t="str">
        <f>VLOOKUP(Q213,ID!$I$3:$J$100,2,FALSE)</f>
        <v>TRA</v>
      </c>
      <c r="T213" s="4" t="s">
        <v>182</v>
      </c>
      <c r="U213" t="s">
        <v>265</v>
      </c>
      <c r="Y213" t="s">
        <v>270</v>
      </c>
      <c r="Z213" t="s">
        <v>576</v>
      </c>
      <c r="AA213"/>
      <c r="AD213" s="13" t="s">
        <v>267</v>
      </c>
      <c r="AF213" t="str">
        <f t="shared" si="37"/>
        <v>SubestaçãoTransformador</v>
      </c>
      <c r="AG213" s="28" t="str">
        <f>VLOOKUP(AF213,Imagens!$C$2:$D$42,2,FALSE)</f>
        <v>65e8d98d73a3d</v>
      </c>
      <c r="AH213" t="str">
        <f>_xlfn.CONCAT(Imagens!$H$2,'registo_ativo-CDs (1)'!AG213)</f>
        <v>assets/imagens/products/65e8d98d73a3d</v>
      </c>
      <c r="AI213" s="67">
        <v>45300</v>
      </c>
      <c r="AK213" s="32"/>
    </row>
    <row r="214" spans="1:37" ht="15" customHeight="1" x14ac:dyDescent="0.3">
      <c r="A214">
        <f t="shared" ref="A214" si="47">LEN(B214)</f>
        <v>15</v>
      </c>
      <c r="B214" t="str">
        <f>CONCATENATE(G214,J214,M214,P214,S214,T214)</f>
        <v>CD49ECA143PRO01</v>
      </c>
      <c r="C214" t="str">
        <f>CONCATENATE(F214, "-", I214, "-", L214, "-", O214, "-", R214, "-", T214)</f>
        <v>CD-MAT-ECA-GRU-PRO-01</v>
      </c>
      <c r="E214" t="s">
        <v>37</v>
      </c>
      <c r="F214" t="str">
        <f>VLOOKUP(E214,Localizacoes!$A$3:$B$100,2,FALSE)</f>
        <v>CD</v>
      </c>
      <c r="G214" t="str">
        <f>VLOOKUP(E214,ID!$A$3:$B$100,2,FALSE)</f>
        <v>CD</v>
      </c>
      <c r="H214" s="14" t="s">
        <v>29</v>
      </c>
      <c r="I214" t="str">
        <f>VLOOKUP(H214,Localizacoes!$C$3:$D$100,2,FALSE)</f>
        <v>MAT</v>
      </c>
      <c r="J214">
        <f>VLOOKUP(H214,ID!$C$3:$D$100,2,FALSE)</f>
        <v>49</v>
      </c>
      <c r="K214" t="s">
        <v>285</v>
      </c>
      <c r="L214" t="str">
        <f>VLOOKUP(K214,Localizacoes!$E$3:$F$100,2,FALSE)</f>
        <v>ECA</v>
      </c>
      <c r="M214" t="str">
        <f>VLOOKUP(K214,ID!$E$3:$F$100,2,FALSE)</f>
        <v>ECA</v>
      </c>
      <c r="N214" t="s">
        <v>104</v>
      </c>
      <c r="O214" t="str">
        <f>VLOOKUP(N214,Localizacoes!$G$3:$H$100,2,FALSE)</f>
        <v>GRU</v>
      </c>
      <c r="P214">
        <f>VLOOKUP(N214,ID!$G$3:$H$100,2,FALSE)</f>
        <v>143</v>
      </c>
      <c r="Q214" t="s">
        <v>153</v>
      </c>
      <c r="R214" t="str">
        <f>VLOOKUP(Q214,Localizacoes!$I$3:$J$100,2,FALSE)</f>
        <v>PRO</v>
      </c>
      <c r="S214" t="str">
        <f>VLOOKUP(Q214,ID!$I$3:$J$100,2,FALSE)</f>
        <v>PRO</v>
      </c>
      <c r="T214" s="4" t="s">
        <v>182</v>
      </c>
      <c r="U214" t="s">
        <v>264</v>
      </c>
      <c r="Y214" t="s">
        <v>270</v>
      </c>
      <c r="Z214" t="str">
        <f t="shared" ref="Z214" si="48">Q214&amp;" "&amp; T214</f>
        <v>Ponte Rolante 01</v>
      </c>
      <c r="AA214"/>
      <c r="AD214" s="13" t="s">
        <v>266</v>
      </c>
      <c r="AF214" t="str">
        <f>_xlfn.CONCAT(N214,Q214)</f>
        <v>GruaPonte Rolante</v>
      </c>
      <c r="AG214" s="28" t="str">
        <f>VLOOKUP(AF214,Imagens!$C$2:$D$42,2,FALSE)</f>
        <v>65c75d2748c4a</v>
      </c>
      <c r="AH214" t="str">
        <f>_xlfn.CONCAT(Imagens!$H$2,'registo_ativo-CDs (1)'!AG214)</f>
        <v>assets/imagens/products/65c75d2748c4a</v>
      </c>
      <c r="AI214" s="67">
        <v>45300</v>
      </c>
      <c r="AK214" s="32"/>
    </row>
    <row r="215" spans="1:37" ht="16.8" customHeight="1" x14ac:dyDescent="0.3">
      <c r="A215">
        <f t="shared" si="44"/>
        <v>15</v>
      </c>
      <c r="B215" t="str">
        <f t="shared" si="45"/>
        <v>CD49CAN152CAN01</v>
      </c>
      <c r="C215" t="str">
        <f t="shared" si="46"/>
        <v>CD-MAT-CAN-QEL-CAN-01</v>
      </c>
      <c r="E215" t="s">
        <v>37</v>
      </c>
      <c r="F215" t="str">
        <f>VLOOKUP(E215,Localizacoes!$A$3:$B$100,2,FALSE)</f>
        <v>CD</v>
      </c>
      <c r="G215" t="str">
        <f>VLOOKUP(E215,ID!$A$3:$B$100,2,FALSE)</f>
        <v>CD</v>
      </c>
      <c r="H215" s="14" t="s">
        <v>29</v>
      </c>
      <c r="I215" t="str">
        <f>VLOOKUP(H215,Localizacoes!$C$3:$D$100,2,FALSE)</f>
        <v>MAT</v>
      </c>
      <c r="J215">
        <f>VLOOKUP(H215,ID!$C$3:$D$100,2,FALSE)</f>
        <v>49</v>
      </c>
      <c r="K215" t="s">
        <v>101</v>
      </c>
      <c r="L215" t="str">
        <f>VLOOKUP(K215,Localizacoes!$E$3:$F$100,2,FALSE)</f>
        <v>CAN</v>
      </c>
      <c r="M215" t="str">
        <f>VLOOKUP(K215,ID!$E$3:$F$100,2,FALSE)</f>
        <v>CAN</v>
      </c>
      <c r="N215" t="s">
        <v>286</v>
      </c>
      <c r="O215" t="str">
        <f>VLOOKUP(N215,Localizacoes!$G$3:$H$100,2,FALSE)</f>
        <v>QEL</v>
      </c>
      <c r="P215">
        <f>VLOOKUP(N215,ID!$G$3:$H$100,2,FALSE)</f>
        <v>152</v>
      </c>
      <c r="Q215" t="s">
        <v>101</v>
      </c>
      <c r="R215" t="str">
        <f>VLOOKUP(Q215,Localizacoes!$I$3:$J$100,2,FALSE)</f>
        <v>CAN</v>
      </c>
      <c r="S215" t="str">
        <f>VLOOKUP(Q215,ID!$I$3:$J$100,2,FALSE)</f>
        <v>CAN</v>
      </c>
      <c r="T215" s="4" t="s">
        <v>182</v>
      </c>
      <c r="U215" t="s">
        <v>265</v>
      </c>
      <c r="Y215" t="s">
        <v>270</v>
      </c>
      <c r="Z215" t="str">
        <f t="shared" si="43"/>
        <v>Canalização Eléctrica 01</v>
      </c>
      <c r="AA215"/>
      <c r="AD215" s="13" t="s">
        <v>266</v>
      </c>
      <c r="AF215" t="str">
        <f t="shared" si="37"/>
        <v>Quadro EléctricoCanalização Eléctrica</v>
      </c>
      <c r="AG215" s="28" t="str">
        <f>VLOOKUP(AF215,Imagens!$C$2:$D$42,2,FALSE)</f>
        <v>65e8e4bb71249</v>
      </c>
      <c r="AH215" t="str">
        <f>_xlfn.CONCAT(Imagens!$H$2,'registo_ativo-CDs (1)'!AG215)</f>
        <v>assets/imagens/products/65e8e4bb71249</v>
      </c>
      <c r="AI215" s="67">
        <v>45454</v>
      </c>
      <c r="AK215" s="32"/>
    </row>
    <row r="216" spans="1:37" ht="16.8" customHeight="1" x14ac:dyDescent="0.3">
      <c r="A216">
        <f t="shared" si="44"/>
        <v>15</v>
      </c>
      <c r="B216" t="str">
        <f t="shared" si="45"/>
        <v>CD50BBG131BOM01</v>
      </c>
      <c r="C216" t="str">
        <f t="shared" si="46"/>
        <v>CD-MATR-BBG-EBC-BOM-01</v>
      </c>
      <c r="E216" t="s">
        <v>37</v>
      </c>
      <c r="F216" t="str">
        <f>VLOOKUP(E216,Localizacoes!$A$3:$B$100,2,FALSE)</f>
        <v>CD</v>
      </c>
      <c r="G216" t="str">
        <f>VLOOKUP(E216,ID!$A$3:$B$100,2,FALSE)</f>
        <v>CD</v>
      </c>
      <c r="H216" s="14" t="s">
        <v>54</v>
      </c>
      <c r="I216" t="str">
        <f>VLOOKUP(H216,Localizacoes!$C$3:$D$100,2,FALSE)</f>
        <v>MATR</v>
      </c>
      <c r="J216">
        <f>VLOOKUP(H216,ID!$C$3:$D$100,2,FALSE)</f>
        <v>50</v>
      </c>
      <c r="K216" t="s">
        <v>274</v>
      </c>
      <c r="L216" t="str">
        <f>VLOOKUP(K216,Localizacoes!$E$3:$F$100,2,FALSE)</f>
        <v>BBG</v>
      </c>
      <c r="M216" t="str">
        <f>VLOOKUP(K216,ID!$E$3:$F$100,2,FALSE)</f>
        <v>BBG</v>
      </c>
      <c r="N216" t="s">
        <v>704</v>
      </c>
      <c r="O216" t="str">
        <f>VLOOKUP(N216,Localizacoes!$G$3:$H$100,2,FALSE)</f>
        <v>EBC</v>
      </c>
      <c r="P216">
        <f>VLOOKUP(N216,ID!$G$3:$H$100,2,FALSE)</f>
        <v>131</v>
      </c>
      <c r="Q216" t="s">
        <v>150</v>
      </c>
      <c r="R216" t="str">
        <f>VLOOKUP(Q216,Localizacoes!$I$3:$J$100,2,FALSE)</f>
        <v>BOM</v>
      </c>
      <c r="S216" t="str">
        <f>VLOOKUP(Q216,ID!$I$3:$J$100,2,FALSE)</f>
        <v>BOM</v>
      </c>
      <c r="T216" s="4" t="s">
        <v>182</v>
      </c>
      <c r="U216" t="s">
        <v>264</v>
      </c>
      <c r="Y216" t="s">
        <v>270</v>
      </c>
      <c r="Z216" t="str">
        <f t="shared" si="43"/>
        <v>Bomba 01</v>
      </c>
      <c r="AA216"/>
      <c r="AD216" s="13" t="s">
        <v>7</v>
      </c>
      <c r="AF216" t="str">
        <f t="shared" si="37"/>
        <v>Electrobomba centrífugaBomba</v>
      </c>
      <c r="AG216" s="28" t="str">
        <f>VLOOKUP(AF216,Imagens!$C$2:$D$42,2,FALSE)</f>
        <v>65e96125c1d11</v>
      </c>
      <c r="AH216" t="str">
        <f>_xlfn.CONCAT(Imagens!$H$2,'registo_ativo-CDs (1)'!AG216)</f>
        <v>assets/imagens/products/65e96125c1d11</v>
      </c>
      <c r="AI216" s="67">
        <v>45314</v>
      </c>
      <c r="AK216" s="32"/>
    </row>
    <row r="217" spans="1:37" ht="16.8" customHeight="1" x14ac:dyDescent="0.3">
      <c r="A217">
        <f t="shared" si="44"/>
        <v>15</v>
      </c>
      <c r="B217" t="str">
        <f t="shared" si="45"/>
        <v>CD50BBG131MOT01</v>
      </c>
      <c r="C217" t="str">
        <f t="shared" si="46"/>
        <v>CD-MATR-BBG-EBC-MOT-01</v>
      </c>
      <c r="E217" t="s">
        <v>37</v>
      </c>
      <c r="F217" t="str">
        <f>VLOOKUP(E217,Localizacoes!$A$3:$B$100,2,FALSE)</f>
        <v>CD</v>
      </c>
      <c r="G217" t="str">
        <f>VLOOKUP(E217,ID!$A$3:$B$100,2,FALSE)</f>
        <v>CD</v>
      </c>
      <c r="H217" s="14" t="s">
        <v>54</v>
      </c>
      <c r="I217" t="str">
        <f>VLOOKUP(H217,Localizacoes!$C$3:$D$100,2,FALSE)</f>
        <v>MATR</v>
      </c>
      <c r="J217">
        <f>VLOOKUP(H217,ID!$C$3:$D$100,2,FALSE)</f>
        <v>50</v>
      </c>
      <c r="K217" t="s">
        <v>274</v>
      </c>
      <c r="L217" t="str">
        <f>VLOOKUP(K217,Localizacoes!$E$3:$F$100,2,FALSE)</f>
        <v>BBG</v>
      </c>
      <c r="M217" t="str">
        <f>VLOOKUP(K217,ID!$E$3:$F$100,2,FALSE)</f>
        <v>BBG</v>
      </c>
      <c r="N217" t="s">
        <v>704</v>
      </c>
      <c r="O217" t="str">
        <f>VLOOKUP(N217,Localizacoes!$G$3:$H$100,2,FALSE)</f>
        <v>EBC</v>
      </c>
      <c r="P217">
        <f>VLOOKUP(N217,ID!$G$3:$H$100,2,FALSE)</f>
        <v>131</v>
      </c>
      <c r="Q217" t="s">
        <v>21</v>
      </c>
      <c r="R217" t="str">
        <f>VLOOKUP(Q217,Localizacoes!$I$3:$J$100,2,FALSE)</f>
        <v>MOT</v>
      </c>
      <c r="S217" t="str">
        <f>VLOOKUP(Q217,ID!$I$3:$J$100,2,FALSE)</f>
        <v>MOT</v>
      </c>
      <c r="T217" s="4" t="s">
        <v>182</v>
      </c>
      <c r="U217" t="s">
        <v>265</v>
      </c>
      <c r="Y217" t="s">
        <v>270</v>
      </c>
      <c r="Z217" t="str">
        <f t="shared" si="43"/>
        <v>Motor 01</v>
      </c>
      <c r="AA217"/>
      <c r="AD217" s="13" t="s">
        <v>7</v>
      </c>
      <c r="AF217" t="str">
        <f t="shared" si="37"/>
        <v>Electrobomba centrífugaMotor</v>
      </c>
      <c r="AG217" s="28" t="str">
        <f>VLOOKUP(AF217,Imagens!$C$2:$D$42,2,FALSE)</f>
        <v>65d04210323a4</v>
      </c>
      <c r="AH217" t="str">
        <f>_xlfn.CONCAT(Imagens!$H$2,'registo_ativo-CDs (1)'!AG217)</f>
        <v>assets/imagens/products/65d04210323a4</v>
      </c>
      <c r="AI217" s="67">
        <v>45314</v>
      </c>
      <c r="AK217" s="32"/>
    </row>
    <row r="218" spans="1:37" ht="16.8" customHeight="1" x14ac:dyDescent="0.3">
      <c r="A218">
        <f t="shared" si="44"/>
        <v>15</v>
      </c>
      <c r="B218" t="str">
        <f t="shared" si="45"/>
        <v>CD50BBG131QEA01</v>
      </c>
      <c r="C218" t="str">
        <f t="shared" si="46"/>
        <v>CD-MATR-BBG-EBC-QEA-01</v>
      </c>
      <c r="E218" t="s">
        <v>37</v>
      </c>
      <c r="F218" t="str">
        <f>VLOOKUP(E218,Localizacoes!$A$3:$B$100,2,FALSE)</f>
        <v>CD</v>
      </c>
      <c r="G218" t="str">
        <f>VLOOKUP(E218,ID!$A$3:$B$100,2,FALSE)</f>
        <v>CD</v>
      </c>
      <c r="H218" s="14" t="s">
        <v>54</v>
      </c>
      <c r="I218" t="str">
        <f>VLOOKUP(H218,Localizacoes!$C$3:$D$100,2,FALSE)</f>
        <v>MATR</v>
      </c>
      <c r="J218">
        <f>VLOOKUP(H218,ID!$C$3:$D$100,2,FALSE)</f>
        <v>50</v>
      </c>
      <c r="K218" t="s">
        <v>274</v>
      </c>
      <c r="L218" t="str">
        <f>VLOOKUP(K218,Localizacoes!$E$3:$F$100,2,FALSE)</f>
        <v>BBG</v>
      </c>
      <c r="M218" t="str">
        <f>VLOOKUP(K218,ID!$E$3:$F$100,2,FALSE)</f>
        <v>BBG</v>
      </c>
      <c r="N218" t="s">
        <v>704</v>
      </c>
      <c r="O218" t="str">
        <f>VLOOKUP(N218,Localizacoes!$G$3:$H$100,2,FALSE)</f>
        <v>EBC</v>
      </c>
      <c r="P218">
        <f>VLOOKUP(N218,ID!$G$3:$H$100,2,FALSE)</f>
        <v>131</v>
      </c>
      <c r="Q218" t="s">
        <v>154</v>
      </c>
      <c r="R218" t="str">
        <f>VLOOKUP(Q218,Localizacoes!$I$3:$J$100,2,FALSE)</f>
        <v>QEA</v>
      </c>
      <c r="S218" t="str">
        <f>VLOOKUP(Q218,ID!$I$3:$J$100,2,FALSE)</f>
        <v>QEA</v>
      </c>
      <c r="T218" s="4" t="s">
        <v>182</v>
      </c>
      <c r="U218" t="s">
        <v>265</v>
      </c>
      <c r="Y218" t="s">
        <v>270</v>
      </c>
      <c r="Z218" t="str">
        <f t="shared" si="43"/>
        <v>Quadros Eléctricos de Arranque 01</v>
      </c>
      <c r="AA218"/>
      <c r="AD218" s="13" t="s">
        <v>267</v>
      </c>
      <c r="AF218" t="str">
        <f t="shared" si="37"/>
        <v>Electrobomba centrífugaQuadros Eléctricos de Arranque</v>
      </c>
      <c r="AG218" s="28" t="str">
        <f>VLOOKUP(AF218,Imagens!$C$2:$D$42,2,FALSE)</f>
        <v>65e8d2fa35c12</v>
      </c>
      <c r="AH218" t="str">
        <f>_xlfn.CONCAT(Imagens!$H$2,'registo_ativo-CDs (1)'!AG218)</f>
        <v>assets/imagens/products/65e8d2fa35c12</v>
      </c>
      <c r="AI218" s="67">
        <v>45370</v>
      </c>
      <c r="AK218" s="32"/>
    </row>
    <row r="219" spans="1:37" ht="16.8" customHeight="1" x14ac:dyDescent="0.3">
      <c r="A219">
        <f t="shared" si="44"/>
        <v>15</v>
      </c>
      <c r="B219" t="str">
        <f t="shared" si="45"/>
        <v>CD50BBG131VSU01</v>
      </c>
      <c r="C219" t="str">
        <f t="shared" si="46"/>
        <v>CD-MATR-BBG-EBC-VSU-01</v>
      </c>
      <c r="E219" t="s">
        <v>37</v>
      </c>
      <c r="F219" t="str">
        <f>VLOOKUP(E219,Localizacoes!$A$3:$B$100,2,FALSE)</f>
        <v>CD</v>
      </c>
      <c r="G219" t="str">
        <f>VLOOKUP(E219,ID!$A$3:$B$100,2,FALSE)</f>
        <v>CD</v>
      </c>
      <c r="H219" s="14" t="s">
        <v>54</v>
      </c>
      <c r="I219" t="str">
        <f>VLOOKUP(H219,Localizacoes!$C$3:$D$100,2,FALSE)</f>
        <v>MATR</v>
      </c>
      <c r="J219">
        <f>VLOOKUP(H219,ID!$C$3:$D$100,2,FALSE)</f>
        <v>50</v>
      </c>
      <c r="K219" t="s">
        <v>274</v>
      </c>
      <c r="L219" t="str">
        <f>VLOOKUP(K219,Localizacoes!$E$3:$F$100,2,FALSE)</f>
        <v>BBG</v>
      </c>
      <c r="M219" t="str">
        <f>VLOOKUP(K219,ID!$E$3:$F$100,2,FALSE)</f>
        <v>BBG</v>
      </c>
      <c r="N219" t="s">
        <v>704</v>
      </c>
      <c r="O219" t="str">
        <f>VLOOKUP(N219,Localizacoes!$G$3:$H$100,2,FALSE)</f>
        <v>EBC</v>
      </c>
      <c r="P219">
        <f>VLOOKUP(N219,ID!$G$3:$H$100,2,FALSE)</f>
        <v>131</v>
      </c>
      <c r="Q219" t="s">
        <v>276</v>
      </c>
      <c r="R219" t="str">
        <f>VLOOKUP(Q219,Localizacoes!$I$3:$J$100,2,FALSE)</f>
        <v>VSU</v>
      </c>
      <c r="S219" t="str">
        <f>VLOOKUP(Q219,ID!$I$3:$J$100,2,FALSE)</f>
        <v>VSU</v>
      </c>
      <c r="T219" s="4" t="s">
        <v>182</v>
      </c>
      <c r="U219" t="s">
        <v>264</v>
      </c>
      <c r="Y219" t="s">
        <v>270</v>
      </c>
      <c r="Z219" t="str">
        <f t="shared" si="43"/>
        <v>Válvula Sucção 01</v>
      </c>
      <c r="AA219"/>
      <c r="AD219" s="13" t="s">
        <v>267</v>
      </c>
      <c r="AF219" t="str">
        <f t="shared" si="37"/>
        <v>Electrobomba centrífugaVálvula Sucção</v>
      </c>
      <c r="AG219" s="28" t="str">
        <f>VLOOKUP(AF219,Imagens!$C$2:$D$42,2,FALSE)</f>
        <v>65e8cda0676b7</v>
      </c>
      <c r="AH219" t="str">
        <f>_xlfn.CONCAT(Imagens!$H$2,'registo_ativo-CDs (1)'!AG219)</f>
        <v>assets/imagens/products/65e8cda0676b7</v>
      </c>
      <c r="AI219" s="67">
        <v>45370</v>
      </c>
      <c r="AK219" s="32"/>
    </row>
    <row r="220" spans="1:37" ht="16.8" customHeight="1" x14ac:dyDescent="0.3">
      <c r="A220">
        <f t="shared" si="44"/>
        <v>15</v>
      </c>
      <c r="B220" t="str">
        <f t="shared" si="45"/>
        <v>CD50BBG131VDE01</v>
      </c>
      <c r="C220" t="str">
        <f t="shared" si="46"/>
        <v>CD-MATR-BBG-EBC-VDE-01</v>
      </c>
      <c r="E220" t="s">
        <v>37</v>
      </c>
      <c r="F220" t="str">
        <f>VLOOKUP(E220,Localizacoes!$A$3:$B$100,2,FALSE)</f>
        <v>CD</v>
      </c>
      <c r="G220" t="str">
        <f>VLOOKUP(E220,ID!$A$3:$B$100,2,FALSE)</f>
        <v>CD</v>
      </c>
      <c r="H220" s="14" t="s">
        <v>54</v>
      </c>
      <c r="I220" t="str">
        <f>VLOOKUP(H220,Localizacoes!$C$3:$D$100,2,FALSE)</f>
        <v>MATR</v>
      </c>
      <c r="J220">
        <f>VLOOKUP(H220,ID!$C$3:$D$100,2,FALSE)</f>
        <v>50</v>
      </c>
      <c r="K220" t="s">
        <v>274</v>
      </c>
      <c r="L220" t="str">
        <f>VLOOKUP(K220,Localizacoes!$E$3:$F$100,2,FALSE)</f>
        <v>BBG</v>
      </c>
      <c r="M220" t="str">
        <f>VLOOKUP(K220,ID!$E$3:$F$100,2,FALSE)</f>
        <v>BBG</v>
      </c>
      <c r="N220" t="s">
        <v>704</v>
      </c>
      <c r="O220" t="str">
        <f>VLOOKUP(N220,Localizacoes!$G$3:$H$100,2,FALSE)</f>
        <v>EBC</v>
      </c>
      <c r="P220">
        <f>VLOOKUP(N220,ID!$G$3:$H$100,2,FALSE)</f>
        <v>131</v>
      </c>
      <c r="Q220" t="s">
        <v>279</v>
      </c>
      <c r="R220" t="str">
        <f>VLOOKUP(Q220,Localizacoes!$I$3:$J$100,2,FALSE)</f>
        <v>VDE</v>
      </c>
      <c r="S220" t="str">
        <f>VLOOKUP(Q220,ID!$I$3:$J$100,2,FALSE)</f>
        <v>VDE</v>
      </c>
      <c r="T220" s="4" t="s">
        <v>182</v>
      </c>
      <c r="U220" t="s">
        <v>264</v>
      </c>
      <c r="Y220" t="s">
        <v>270</v>
      </c>
      <c r="Z220" t="str">
        <f t="shared" si="43"/>
        <v>Válvula Descarga 01</v>
      </c>
      <c r="AA220"/>
      <c r="AD220" s="13" t="s">
        <v>267</v>
      </c>
      <c r="AF220" t="str">
        <f t="shared" ref="AF220:AF232" si="49">_xlfn.CONCAT(N220,Q220)</f>
        <v>Electrobomba centrífugaVálvula Descarga</v>
      </c>
      <c r="AG220" s="28" t="str">
        <f>VLOOKUP(AF220,Imagens!$C$2:$D$42,2,FALSE)</f>
        <v>65e8cda0676b7</v>
      </c>
      <c r="AH220" t="str">
        <f>_xlfn.CONCAT(Imagens!$H$2,'registo_ativo-CDs (1)'!AG220)</f>
        <v>assets/imagens/products/65e8cda0676b7</v>
      </c>
      <c r="AI220" s="67">
        <v>45370</v>
      </c>
      <c r="AK220" s="32"/>
    </row>
    <row r="221" spans="1:37" ht="16.8" customHeight="1" x14ac:dyDescent="0.3">
      <c r="A221">
        <f t="shared" si="44"/>
        <v>15</v>
      </c>
      <c r="B221" t="str">
        <f t="shared" si="45"/>
        <v>CD50BBG131AEL01</v>
      </c>
      <c r="C221" t="str">
        <f t="shared" si="46"/>
        <v>CD-MATR-BBG-EBC-AEL-01</v>
      </c>
      <c r="E221" t="s">
        <v>37</v>
      </c>
      <c r="F221" t="str">
        <f>VLOOKUP(E221,Localizacoes!$A$3:$B$100,2,FALSE)</f>
        <v>CD</v>
      </c>
      <c r="G221" t="str">
        <f>VLOOKUP(E221,ID!$A$3:$B$100,2,FALSE)</f>
        <v>CD</v>
      </c>
      <c r="H221" s="14" t="s">
        <v>54</v>
      </c>
      <c r="I221" t="str">
        <f>VLOOKUP(H221,Localizacoes!$C$3:$D$100,2,FALSE)</f>
        <v>MATR</v>
      </c>
      <c r="J221">
        <f>VLOOKUP(H221,ID!$C$3:$D$100,2,FALSE)</f>
        <v>50</v>
      </c>
      <c r="K221" t="s">
        <v>274</v>
      </c>
      <c r="L221" t="str">
        <f>VLOOKUP(K221,Localizacoes!$E$3:$F$100,2,FALSE)</f>
        <v>BBG</v>
      </c>
      <c r="M221" t="str">
        <f>VLOOKUP(K221,ID!$E$3:$F$100,2,FALSE)</f>
        <v>BBG</v>
      </c>
      <c r="N221" t="s">
        <v>704</v>
      </c>
      <c r="O221" t="str">
        <f>VLOOKUP(N221,Localizacoes!$G$3:$H$100,2,FALSE)</f>
        <v>EBC</v>
      </c>
      <c r="P221">
        <f>VLOOKUP(N221,ID!$G$3:$H$100,2,FALSE)</f>
        <v>131</v>
      </c>
      <c r="Q221" t="s">
        <v>149</v>
      </c>
      <c r="R221" t="str">
        <f>VLOOKUP(Q221,Localizacoes!$I$3:$J$100,2,FALSE)</f>
        <v>AEL</v>
      </c>
      <c r="S221" t="str">
        <f>VLOOKUP(Q221,ID!$I$3:$J$100,2,FALSE)</f>
        <v>AEL</v>
      </c>
      <c r="T221" s="4" t="s">
        <v>182</v>
      </c>
      <c r="U221" t="s">
        <v>265</v>
      </c>
      <c r="Y221" s="2" t="s">
        <v>372</v>
      </c>
      <c r="Z221" t="str">
        <f t="shared" si="43"/>
        <v>Actuador Eléctrico 01</v>
      </c>
      <c r="AA221"/>
      <c r="AD221" s="13" t="s">
        <v>267</v>
      </c>
      <c r="AF221" t="str">
        <f t="shared" si="49"/>
        <v>Electrobomba centrífugaActuador Eléctrico</v>
      </c>
      <c r="AG221" s="28" t="str">
        <f>VLOOKUP(AF221,Imagens!$C$2:$D$42,2,FALSE)</f>
        <v>65e8db8f62d7b</v>
      </c>
      <c r="AH221" t="str">
        <f>_xlfn.CONCAT(Imagens!$H$2,'registo_ativo-CDs (1)'!AG221)</f>
        <v>assets/imagens/products/65e8db8f62d7b</v>
      </c>
      <c r="AI221" s="67">
        <v>45370</v>
      </c>
      <c r="AK221" s="32"/>
    </row>
    <row r="222" spans="1:37" ht="16.8" customHeight="1" x14ac:dyDescent="0.3">
      <c r="A222">
        <f t="shared" si="44"/>
        <v>15</v>
      </c>
      <c r="B222" t="str">
        <f t="shared" si="45"/>
        <v>CD50BBG131BOM02</v>
      </c>
      <c r="C222" t="str">
        <f t="shared" si="46"/>
        <v>CD-MATR-BBG-EBC-BOM-02</v>
      </c>
      <c r="E222" t="s">
        <v>37</v>
      </c>
      <c r="F222" t="str">
        <f>VLOOKUP(E222,Localizacoes!$A$3:$B$100,2,FALSE)</f>
        <v>CD</v>
      </c>
      <c r="G222" t="str">
        <f>VLOOKUP(E222,ID!$A$3:$B$100,2,FALSE)</f>
        <v>CD</v>
      </c>
      <c r="H222" s="14" t="s">
        <v>54</v>
      </c>
      <c r="I222" t="str">
        <f>VLOOKUP(H222,Localizacoes!$C$3:$D$100,2,FALSE)</f>
        <v>MATR</v>
      </c>
      <c r="J222">
        <f>VLOOKUP(H222,ID!$C$3:$D$100,2,FALSE)</f>
        <v>50</v>
      </c>
      <c r="K222" t="s">
        <v>274</v>
      </c>
      <c r="L222" t="str">
        <f>VLOOKUP(K222,Localizacoes!$E$3:$F$100,2,FALSE)</f>
        <v>BBG</v>
      </c>
      <c r="M222" t="str">
        <f>VLOOKUP(K222,ID!$E$3:$F$100,2,FALSE)</f>
        <v>BBG</v>
      </c>
      <c r="N222" t="s">
        <v>704</v>
      </c>
      <c r="O222" t="str">
        <f>VLOOKUP(N222,Localizacoes!$G$3:$H$100,2,FALSE)</f>
        <v>EBC</v>
      </c>
      <c r="P222">
        <f>VLOOKUP(N222,ID!$G$3:$H$100,2,FALSE)</f>
        <v>131</v>
      </c>
      <c r="Q222" t="s">
        <v>150</v>
      </c>
      <c r="R222" t="str">
        <f>VLOOKUP(Q222,Localizacoes!$I$3:$J$100,2,FALSE)</f>
        <v>BOM</v>
      </c>
      <c r="S222" t="str">
        <f>VLOOKUP(Q222,ID!$I$3:$J$100,2,FALSE)</f>
        <v>BOM</v>
      </c>
      <c r="T222" s="4" t="s">
        <v>186</v>
      </c>
      <c r="U222" t="s">
        <v>264</v>
      </c>
      <c r="Y222" t="s">
        <v>270</v>
      </c>
      <c r="Z222" t="str">
        <f t="shared" si="43"/>
        <v>Bomba 02</v>
      </c>
      <c r="AA222"/>
      <c r="AD222" s="13" t="s">
        <v>7</v>
      </c>
      <c r="AF222" t="str">
        <f t="shared" si="49"/>
        <v>Electrobomba centrífugaBomba</v>
      </c>
      <c r="AG222" s="28" t="str">
        <f>VLOOKUP(AF222,Imagens!$C$2:$D$42,2,FALSE)</f>
        <v>65e96125c1d11</v>
      </c>
      <c r="AH222" t="str">
        <f>_xlfn.CONCAT(Imagens!$H$2,'registo_ativo-CDs (1)'!AG222)</f>
        <v>assets/imagens/products/65e96125c1d11</v>
      </c>
      <c r="AI222" s="67">
        <v>45314</v>
      </c>
      <c r="AK222" s="32"/>
    </row>
    <row r="223" spans="1:37" ht="16.8" customHeight="1" x14ac:dyDescent="0.3">
      <c r="A223">
        <f t="shared" si="44"/>
        <v>15</v>
      </c>
      <c r="B223" t="str">
        <f t="shared" si="45"/>
        <v>CD50BBG131MOT02</v>
      </c>
      <c r="C223" t="str">
        <f t="shared" si="46"/>
        <v>CD-MATR-BBG-EBC-MOT-02</v>
      </c>
      <c r="E223" t="s">
        <v>37</v>
      </c>
      <c r="F223" t="str">
        <f>VLOOKUP(E223,Localizacoes!$A$3:$B$100,2,FALSE)</f>
        <v>CD</v>
      </c>
      <c r="G223" t="str">
        <f>VLOOKUP(E223,ID!$A$3:$B$100,2,FALSE)</f>
        <v>CD</v>
      </c>
      <c r="H223" s="14" t="s">
        <v>54</v>
      </c>
      <c r="I223" t="str">
        <f>VLOOKUP(H223,Localizacoes!$C$3:$D$100,2,FALSE)</f>
        <v>MATR</v>
      </c>
      <c r="J223">
        <f>VLOOKUP(H223,ID!$C$3:$D$100,2,FALSE)</f>
        <v>50</v>
      </c>
      <c r="K223" t="s">
        <v>274</v>
      </c>
      <c r="L223" t="str">
        <f>VLOOKUP(K223,Localizacoes!$E$3:$F$100,2,FALSE)</f>
        <v>BBG</v>
      </c>
      <c r="M223" t="str">
        <f>VLOOKUP(K223,ID!$E$3:$F$100,2,FALSE)</f>
        <v>BBG</v>
      </c>
      <c r="N223" t="s">
        <v>704</v>
      </c>
      <c r="O223" t="str">
        <f>VLOOKUP(N223,Localizacoes!$G$3:$H$100,2,FALSE)</f>
        <v>EBC</v>
      </c>
      <c r="P223">
        <f>VLOOKUP(N223,ID!$G$3:$H$100,2,FALSE)</f>
        <v>131</v>
      </c>
      <c r="Q223" t="s">
        <v>21</v>
      </c>
      <c r="R223" t="str">
        <f>VLOOKUP(Q223,Localizacoes!$I$3:$J$100,2,FALSE)</f>
        <v>MOT</v>
      </c>
      <c r="S223" t="str">
        <f>VLOOKUP(Q223,ID!$I$3:$J$100,2,FALSE)</f>
        <v>MOT</v>
      </c>
      <c r="T223" s="4" t="s">
        <v>186</v>
      </c>
      <c r="U223" t="s">
        <v>265</v>
      </c>
      <c r="X223" t="s">
        <v>6</v>
      </c>
      <c r="Y223" t="s">
        <v>270</v>
      </c>
      <c r="Z223" t="str">
        <f t="shared" si="43"/>
        <v>Motor 02</v>
      </c>
      <c r="AA223"/>
      <c r="AD223" s="13" t="s">
        <v>7</v>
      </c>
      <c r="AF223" t="str">
        <f t="shared" si="49"/>
        <v>Electrobomba centrífugaMotor</v>
      </c>
      <c r="AG223" s="28" t="str">
        <f>VLOOKUP(AF223,Imagens!$C$2:$D$42,2,FALSE)</f>
        <v>65d04210323a4</v>
      </c>
      <c r="AH223" t="str">
        <f>_xlfn.CONCAT(Imagens!$H$2,'registo_ativo-CDs (1)'!AG223)</f>
        <v>assets/imagens/products/65d04210323a4</v>
      </c>
      <c r="AI223" s="67">
        <v>45314</v>
      </c>
      <c r="AK223" s="32"/>
    </row>
    <row r="224" spans="1:37" ht="16.8" customHeight="1" x14ac:dyDescent="0.3">
      <c r="A224">
        <f t="shared" si="44"/>
        <v>15</v>
      </c>
      <c r="B224" t="str">
        <f t="shared" si="45"/>
        <v>CD50BBG131QEA02</v>
      </c>
      <c r="C224" t="str">
        <f t="shared" si="46"/>
        <v>CD-MATR-BBG-EBC-QEA-02</v>
      </c>
      <c r="E224" t="s">
        <v>37</v>
      </c>
      <c r="F224" t="str">
        <f>VLOOKUP(E224,Localizacoes!$A$3:$B$100,2,FALSE)</f>
        <v>CD</v>
      </c>
      <c r="G224" t="str">
        <f>VLOOKUP(E224,ID!$A$3:$B$100,2,FALSE)</f>
        <v>CD</v>
      </c>
      <c r="H224" s="14" t="s">
        <v>54</v>
      </c>
      <c r="I224" t="str">
        <f>VLOOKUP(H224,Localizacoes!$C$3:$D$100,2,FALSE)</f>
        <v>MATR</v>
      </c>
      <c r="J224">
        <f>VLOOKUP(H224,ID!$C$3:$D$100,2,FALSE)</f>
        <v>50</v>
      </c>
      <c r="K224" t="s">
        <v>274</v>
      </c>
      <c r="L224" t="str">
        <f>VLOOKUP(K224,Localizacoes!$E$3:$F$100,2,FALSE)</f>
        <v>BBG</v>
      </c>
      <c r="M224" t="str">
        <f>VLOOKUP(K224,ID!$E$3:$F$100,2,FALSE)</f>
        <v>BBG</v>
      </c>
      <c r="N224" t="s">
        <v>704</v>
      </c>
      <c r="O224" t="str">
        <f>VLOOKUP(N224,Localizacoes!$G$3:$H$100,2,FALSE)</f>
        <v>EBC</v>
      </c>
      <c r="P224">
        <f>VLOOKUP(N224,ID!$G$3:$H$100,2,FALSE)</f>
        <v>131</v>
      </c>
      <c r="Q224" t="s">
        <v>154</v>
      </c>
      <c r="R224" t="str">
        <f>VLOOKUP(Q224,Localizacoes!$I$3:$J$100,2,FALSE)</f>
        <v>QEA</v>
      </c>
      <c r="S224" t="str">
        <f>VLOOKUP(Q224,ID!$I$3:$J$100,2,FALSE)</f>
        <v>QEA</v>
      </c>
      <c r="T224" s="4" t="s">
        <v>186</v>
      </c>
      <c r="U224" t="s">
        <v>265</v>
      </c>
      <c r="Y224" t="s">
        <v>270</v>
      </c>
      <c r="Z224" t="str">
        <f t="shared" si="43"/>
        <v>Quadros Eléctricos de Arranque 02</v>
      </c>
      <c r="AA224"/>
      <c r="AD224" s="13" t="s">
        <v>267</v>
      </c>
      <c r="AF224" t="str">
        <f t="shared" si="49"/>
        <v>Electrobomba centrífugaQuadros Eléctricos de Arranque</v>
      </c>
      <c r="AG224" s="28" t="str">
        <f>VLOOKUP(AF224,Imagens!$C$2:$D$42,2,FALSE)</f>
        <v>65e8d2fa35c12</v>
      </c>
      <c r="AH224" t="str">
        <f>_xlfn.CONCAT(Imagens!$H$2,'registo_ativo-CDs (1)'!AG224)</f>
        <v>assets/imagens/products/65e8d2fa35c12</v>
      </c>
      <c r="AI224" s="67">
        <v>45370</v>
      </c>
      <c r="AK224" s="32"/>
    </row>
    <row r="225" spans="1:37" ht="16.8" customHeight="1" x14ac:dyDescent="0.3">
      <c r="A225">
        <f t="shared" si="44"/>
        <v>15</v>
      </c>
      <c r="B225" t="str">
        <f t="shared" si="45"/>
        <v>CD50BBG131VSU02</v>
      </c>
      <c r="C225" t="str">
        <f t="shared" si="46"/>
        <v>CD-MATR-BBG-EBC-VSU-02</v>
      </c>
      <c r="E225" t="s">
        <v>37</v>
      </c>
      <c r="F225" t="str">
        <f>VLOOKUP(E225,Localizacoes!$A$3:$B$100,2,FALSE)</f>
        <v>CD</v>
      </c>
      <c r="G225" t="str">
        <f>VLOOKUP(E225,ID!$A$3:$B$100,2,FALSE)</f>
        <v>CD</v>
      </c>
      <c r="H225" s="14" t="s">
        <v>54</v>
      </c>
      <c r="I225" t="str">
        <f>VLOOKUP(H225,Localizacoes!$C$3:$D$100,2,FALSE)</f>
        <v>MATR</v>
      </c>
      <c r="J225">
        <f>VLOOKUP(H225,ID!$C$3:$D$100,2,FALSE)</f>
        <v>50</v>
      </c>
      <c r="K225" t="s">
        <v>274</v>
      </c>
      <c r="L225" t="str">
        <f>VLOOKUP(K225,Localizacoes!$E$3:$F$100,2,FALSE)</f>
        <v>BBG</v>
      </c>
      <c r="M225" t="str">
        <f>VLOOKUP(K225,ID!$E$3:$F$100,2,FALSE)</f>
        <v>BBG</v>
      </c>
      <c r="N225" t="s">
        <v>704</v>
      </c>
      <c r="O225" t="str">
        <f>VLOOKUP(N225,Localizacoes!$G$3:$H$100,2,FALSE)</f>
        <v>EBC</v>
      </c>
      <c r="P225">
        <f>VLOOKUP(N225,ID!$G$3:$H$100,2,FALSE)</f>
        <v>131</v>
      </c>
      <c r="Q225" t="s">
        <v>276</v>
      </c>
      <c r="R225" t="str">
        <f>VLOOKUP(Q225,Localizacoes!$I$3:$J$100,2,FALSE)</f>
        <v>VSU</v>
      </c>
      <c r="S225" t="str">
        <f>VLOOKUP(Q225,ID!$I$3:$J$100,2,FALSE)</f>
        <v>VSU</v>
      </c>
      <c r="T225" s="4" t="s">
        <v>186</v>
      </c>
      <c r="U225" t="s">
        <v>264</v>
      </c>
      <c r="Y225" t="s">
        <v>270</v>
      </c>
      <c r="Z225" t="str">
        <f t="shared" si="43"/>
        <v>Válvula Sucção 02</v>
      </c>
      <c r="AA225"/>
      <c r="AD225" s="13" t="s">
        <v>267</v>
      </c>
      <c r="AF225" t="str">
        <f t="shared" si="49"/>
        <v>Electrobomba centrífugaVálvula Sucção</v>
      </c>
      <c r="AG225" s="28" t="str">
        <f>VLOOKUP(AF225,Imagens!$C$2:$D$42,2,FALSE)</f>
        <v>65e8cda0676b7</v>
      </c>
      <c r="AH225" t="str">
        <f>_xlfn.CONCAT(Imagens!$H$2,'registo_ativo-CDs (1)'!AG225)</f>
        <v>assets/imagens/products/65e8cda0676b7</v>
      </c>
      <c r="AI225" s="67">
        <v>45370</v>
      </c>
      <c r="AK225" s="32"/>
    </row>
    <row r="226" spans="1:37" ht="16.8" customHeight="1" x14ac:dyDescent="0.3">
      <c r="A226">
        <f t="shared" si="44"/>
        <v>15</v>
      </c>
      <c r="B226" t="str">
        <f t="shared" si="45"/>
        <v>CD50BBG131VDE02</v>
      </c>
      <c r="C226" t="str">
        <f t="shared" si="46"/>
        <v>CD-MATR-BBG-EBC-VDE-02</v>
      </c>
      <c r="E226" t="s">
        <v>37</v>
      </c>
      <c r="F226" t="str">
        <f>VLOOKUP(E226,Localizacoes!$A$3:$B$100,2,FALSE)</f>
        <v>CD</v>
      </c>
      <c r="G226" t="str">
        <f>VLOOKUP(E226,ID!$A$3:$B$100,2,FALSE)</f>
        <v>CD</v>
      </c>
      <c r="H226" s="14" t="s">
        <v>54</v>
      </c>
      <c r="I226" t="str">
        <f>VLOOKUP(H226,Localizacoes!$C$3:$D$100,2,FALSE)</f>
        <v>MATR</v>
      </c>
      <c r="J226">
        <f>VLOOKUP(H226,ID!$C$3:$D$100,2,FALSE)</f>
        <v>50</v>
      </c>
      <c r="K226" t="s">
        <v>274</v>
      </c>
      <c r="L226" t="str">
        <f>VLOOKUP(K226,Localizacoes!$E$3:$F$100,2,FALSE)</f>
        <v>BBG</v>
      </c>
      <c r="M226" t="str">
        <f>VLOOKUP(K226,ID!$E$3:$F$100,2,FALSE)</f>
        <v>BBG</v>
      </c>
      <c r="N226" t="s">
        <v>704</v>
      </c>
      <c r="O226" t="str">
        <f>VLOOKUP(N226,Localizacoes!$G$3:$H$100,2,FALSE)</f>
        <v>EBC</v>
      </c>
      <c r="P226">
        <f>VLOOKUP(N226,ID!$G$3:$H$100,2,FALSE)</f>
        <v>131</v>
      </c>
      <c r="Q226" t="s">
        <v>279</v>
      </c>
      <c r="R226" t="str">
        <f>VLOOKUP(Q226,Localizacoes!$I$3:$J$100,2,FALSE)</f>
        <v>VDE</v>
      </c>
      <c r="S226" t="str">
        <f>VLOOKUP(Q226,ID!$I$3:$J$100,2,FALSE)</f>
        <v>VDE</v>
      </c>
      <c r="T226" s="4" t="s">
        <v>186</v>
      </c>
      <c r="U226" t="s">
        <v>264</v>
      </c>
      <c r="X226" t="s">
        <v>6</v>
      </c>
      <c r="Y226" t="s">
        <v>270</v>
      </c>
      <c r="Z226" t="str">
        <f t="shared" si="43"/>
        <v>Válvula Descarga 02</v>
      </c>
      <c r="AA226"/>
      <c r="AD226" s="13" t="s">
        <v>267</v>
      </c>
      <c r="AF226" t="str">
        <f t="shared" si="49"/>
        <v>Electrobomba centrífugaVálvula Descarga</v>
      </c>
      <c r="AG226" s="28" t="str">
        <f>VLOOKUP(AF226,Imagens!$C$2:$D$42,2,FALSE)</f>
        <v>65e8cda0676b7</v>
      </c>
      <c r="AH226" t="str">
        <f>_xlfn.CONCAT(Imagens!$H$2,'registo_ativo-CDs (1)'!AG226)</f>
        <v>assets/imagens/products/65e8cda0676b7</v>
      </c>
      <c r="AI226" s="67">
        <v>45370</v>
      </c>
      <c r="AK226" s="32"/>
    </row>
    <row r="227" spans="1:37" ht="16.8" customHeight="1" x14ac:dyDescent="0.3">
      <c r="A227">
        <f t="shared" si="44"/>
        <v>15</v>
      </c>
      <c r="B227" t="str">
        <f t="shared" si="45"/>
        <v>CD50BBG131AEL02</v>
      </c>
      <c r="C227" t="str">
        <f t="shared" si="46"/>
        <v>CD-MATR-BBG-EBC-AEL-02</v>
      </c>
      <c r="E227" t="s">
        <v>37</v>
      </c>
      <c r="F227" t="str">
        <f>VLOOKUP(E227,Localizacoes!$A$3:$B$100,2,FALSE)</f>
        <v>CD</v>
      </c>
      <c r="G227" t="str">
        <f>VLOOKUP(E227,ID!$A$3:$B$100,2,FALSE)</f>
        <v>CD</v>
      </c>
      <c r="H227" s="14" t="s">
        <v>54</v>
      </c>
      <c r="I227" t="str">
        <f>VLOOKUP(H227,Localizacoes!$C$3:$D$100,2,FALSE)</f>
        <v>MATR</v>
      </c>
      <c r="J227">
        <f>VLOOKUP(H227,ID!$C$3:$D$100,2,FALSE)</f>
        <v>50</v>
      </c>
      <c r="K227" t="s">
        <v>274</v>
      </c>
      <c r="L227" t="str">
        <f>VLOOKUP(K227,Localizacoes!$E$3:$F$100,2,FALSE)</f>
        <v>BBG</v>
      </c>
      <c r="M227" t="str">
        <f>VLOOKUP(K227,ID!$E$3:$F$100,2,FALSE)</f>
        <v>BBG</v>
      </c>
      <c r="N227" t="s">
        <v>704</v>
      </c>
      <c r="O227" t="str">
        <f>VLOOKUP(N227,Localizacoes!$G$3:$H$100,2,FALSE)</f>
        <v>EBC</v>
      </c>
      <c r="P227">
        <f>VLOOKUP(N227,ID!$G$3:$H$100,2,FALSE)</f>
        <v>131</v>
      </c>
      <c r="Q227" t="s">
        <v>149</v>
      </c>
      <c r="R227" t="str">
        <f>VLOOKUP(Q227,Localizacoes!$I$3:$J$100,2,FALSE)</f>
        <v>AEL</v>
      </c>
      <c r="S227" t="str">
        <f>VLOOKUP(Q227,ID!$I$3:$J$100,2,FALSE)</f>
        <v>AEL</v>
      </c>
      <c r="T227" s="4" t="s">
        <v>186</v>
      </c>
      <c r="U227" t="s">
        <v>265</v>
      </c>
      <c r="Y227" s="2" t="s">
        <v>372</v>
      </c>
      <c r="Z227" t="str">
        <f t="shared" si="43"/>
        <v>Actuador Eléctrico 02</v>
      </c>
      <c r="AA227"/>
      <c r="AD227" s="13" t="s">
        <v>267</v>
      </c>
      <c r="AF227" t="str">
        <f t="shared" si="49"/>
        <v>Electrobomba centrífugaActuador Eléctrico</v>
      </c>
      <c r="AG227" s="28" t="str">
        <f>VLOOKUP(AF227,Imagens!$C$2:$D$42,2,FALSE)</f>
        <v>65e8db8f62d7b</v>
      </c>
      <c r="AH227" t="str">
        <f>_xlfn.CONCAT(Imagens!$H$2,'registo_ativo-CDs (1)'!AG227)</f>
        <v>assets/imagens/products/65e8db8f62d7b</v>
      </c>
      <c r="AI227" s="67">
        <v>45370</v>
      </c>
      <c r="AK227" s="32"/>
    </row>
    <row r="228" spans="1:37" ht="16.8" customHeight="1" x14ac:dyDescent="0.3">
      <c r="A228">
        <f t="shared" si="44"/>
        <v>15</v>
      </c>
      <c r="B228" t="str">
        <f t="shared" si="45"/>
        <v>CD50BBG131BOM03</v>
      </c>
      <c r="C228" t="str">
        <f t="shared" si="46"/>
        <v>CD-MATR-BBG-EBC-BOM-03</v>
      </c>
      <c r="E228" t="s">
        <v>37</v>
      </c>
      <c r="F228" t="str">
        <f>VLOOKUP(E228,Localizacoes!$A$3:$B$100,2,FALSE)</f>
        <v>CD</v>
      </c>
      <c r="G228" t="str">
        <f>VLOOKUP(E228,ID!$A$3:$B$100,2,FALSE)</f>
        <v>CD</v>
      </c>
      <c r="H228" s="14" t="s">
        <v>54</v>
      </c>
      <c r="I228" t="str">
        <f>VLOOKUP(H228,Localizacoes!$C$3:$D$100,2,FALSE)</f>
        <v>MATR</v>
      </c>
      <c r="J228">
        <f>VLOOKUP(H228,ID!$C$3:$D$100,2,FALSE)</f>
        <v>50</v>
      </c>
      <c r="K228" t="s">
        <v>274</v>
      </c>
      <c r="L228" t="str">
        <f>VLOOKUP(K228,Localizacoes!$E$3:$F$100,2,FALSE)</f>
        <v>BBG</v>
      </c>
      <c r="M228" t="str">
        <f>VLOOKUP(K228,ID!$E$3:$F$100,2,FALSE)</f>
        <v>BBG</v>
      </c>
      <c r="N228" t="s">
        <v>704</v>
      </c>
      <c r="O228" t="str">
        <f>VLOOKUP(N228,Localizacoes!$G$3:$H$100,2,FALSE)</f>
        <v>EBC</v>
      </c>
      <c r="P228">
        <f>VLOOKUP(N228,ID!$G$3:$H$100,2,FALSE)</f>
        <v>131</v>
      </c>
      <c r="Q228" t="s">
        <v>150</v>
      </c>
      <c r="R228" t="str">
        <f>VLOOKUP(Q228,Localizacoes!$I$3:$J$100,2,FALSE)</f>
        <v>BOM</v>
      </c>
      <c r="S228" t="str">
        <f>VLOOKUP(Q228,ID!$I$3:$J$100,2,FALSE)</f>
        <v>BOM</v>
      </c>
      <c r="T228" s="4" t="s">
        <v>187</v>
      </c>
      <c r="U228" t="s">
        <v>264</v>
      </c>
      <c r="Y228" t="s">
        <v>270</v>
      </c>
      <c r="Z228" t="str">
        <f t="shared" si="43"/>
        <v>Bomba 03</v>
      </c>
      <c r="AA228"/>
      <c r="AD228" s="13" t="s">
        <v>7</v>
      </c>
      <c r="AF228" t="str">
        <f t="shared" si="49"/>
        <v>Electrobomba centrífugaBomba</v>
      </c>
      <c r="AG228" s="28" t="str">
        <f>VLOOKUP(AF228,Imagens!$C$2:$D$42,2,FALSE)</f>
        <v>65e96125c1d11</v>
      </c>
      <c r="AH228" t="str">
        <f>_xlfn.CONCAT(Imagens!$H$2,'registo_ativo-CDs (1)'!AG228)</f>
        <v>assets/imagens/products/65e96125c1d11</v>
      </c>
      <c r="AI228" s="67">
        <v>45314</v>
      </c>
      <c r="AK228" s="32"/>
    </row>
    <row r="229" spans="1:37" ht="16.8" customHeight="1" x14ac:dyDescent="0.3">
      <c r="A229">
        <f t="shared" si="44"/>
        <v>15</v>
      </c>
      <c r="B229" t="str">
        <f t="shared" si="45"/>
        <v>CD50BBG131MOT03</v>
      </c>
      <c r="C229" t="str">
        <f t="shared" si="46"/>
        <v>CD-MATR-BBG-EBC-MOT-03</v>
      </c>
      <c r="E229" t="s">
        <v>37</v>
      </c>
      <c r="F229" t="str">
        <f>VLOOKUP(E229,Localizacoes!$A$3:$B$100,2,FALSE)</f>
        <v>CD</v>
      </c>
      <c r="G229" t="str">
        <f>VLOOKUP(E229,ID!$A$3:$B$100,2,FALSE)</f>
        <v>CD</v>
      </c>
      <c r="H229" s="14" t="s">
        <v>54</v>
      </c>
      <c r="I229" t="str">
        <f>VLOOKUP(H229,Localizacoes!$C$3:$D$100,2,FALSE)</f>
        <v>MATR</v>
      </c>
      <c r="J229">
        <f>VLOOKUP(H229,ID!$C$3:$D$100,2,FALSE)</f>
        <v>50</v>
      </c>
      <c r="K229" t="s">
        <v>274</v>
      </c>
      <c r="L229" t="str">
        <f>VLOOKUP(K229,Localizacoes!$E$3:$F$100,2,FALSE)</f>
        <v>BBG</v>
      </c>
      <c r="M229" t="str">
        <f>VLOOKUP(K229,ID!$E$3:$F$100,2,FALSE)</f>
        <v>BBG</v>
      </c>
      <c r="N229" t="s">
        <v>704</v>
      </c>
      <c r="O229" t="str">
        <f>VLOOKUP(N229,Localizacoes!$G$3:$H$100,2,FALSE)</f>
        <v>EBC</v>
      </c>
      <c r="P229">
        <f>VLOOKUP(N229,ID!$G$3:$H$100,2,FALSE)</f>
        <v>131</v>
      </c>
      <c r="Q229" t="s">
        <v>21</v>
      </c>
      <c r="R229" t="str">
        <f>VLOOKUP(Q229,Localizacoes!$I$3:$J$100,2,FALSE)</f>
        <v>MOT</v>
      </c>
      <c r="S229" t="str">
        <f>VLOOKUP(Q229,ID!$I$3:$J$100,2,FALSE)</f>
        <v>MOT</v>
      </c>
      <c r="T229" s="4" t="s">
        <v>187</v>
      </c>
      <c r="U229" t="s">
        <v>265</v>
      </c>
      <c r="X229" t="s">
        <v>273</v>
      </c>
      <c r="Y229" t="s">
        <v>270</v>
      </c>
      <c r="Z229" t="str">
        <f t="shared" si="43"/>
        <v>Motor 03</v>
      </c>
      <c r="AA229"/>
      <c r="AD229" s="13" t="s">
        <v>7</v>
      </c>
      <c r="AF229" t="str">
        <f t="shared" si="49"/>
        <v>Electrobomba centrífugaMotor</v>
      </c>
      <c r="AG229" s="28" t="str">
        <f>VLOOKUP(AF229,Imagens!$C$2:$D$42,2,FALSE)</f>
        <v>65d04210323a4</v>
      </c>
      <c r="AH229" t="str">
        <f>_xlfn.CONCAT(Imagens!$H$2,'registo_ativo-CDs (1)'!AG229)</f>
        <v>assets/imagens/products/65d04210323a4</v>
      </c>
      <c r="AI229" s="67">
        <v>45314</v>
      </c>
      <c r="AK229" s="32"/>
    </row>
    <row r="230" spans="1:37" ht="16.8" customHeight="1" x14ac:dyDescent="0.3">
      <c r="A230">
        <f t="shared" si="44"/>
        <v>15</v>
      </c>
      <c r="B230" t="str">
        <f t="shared" si="45"/>
        <v>CD50BBG131QEA03</v>
      </c>
      <c r="C230" t="str">
        <f t="shared" si="46"/>
        <v>CD-MATR-BBG-EBC-QEA-03</v>
      </c>
      <c r="E230" t="s">
        <v>37</v>
      </c>
      <c r="F230" t="str">
        <f>VLOOKUP(E230,Localizacoes!$A$3:$B$100,2,FALSE)</f>
        <v>CD</v>
      </c>
      <c r="G230" t="str">
        <f>VLOOKUP(E230,ID!$A$3:$B$100,2,FALSE)</f>
        <v>CD</v>
      </c>
      <c r="H230" s="14" t="s">
        <v>54</v>
      </c>
      <c r="I230" t="str">
        <f>VLOOKUP(H230,Localizacoes!$C$3:$D$100,2,FALSE)</f>
        <v>MATR</v>
      </c>
      <c r="J230">
        <f>VLOOKUP(H230,ID!$C$3:$D$100,2,FALSE)</f>
        <v>50</v>
      </c>
      <c r="K230" t="s">
        <v>274</v>
      </c>
      <c r="L230" t="str">
        <f>VLOOKUP(K230,Localizacoes!$E$3:$F$100,2,FALSE)</f>
        <v>BBG</v>
      </c>
      <c r="M230" t="str">
        <f>VLOOKUP(K230,ID!$E$3:$F$100,2,FALSE)</f>
        <v>BBG</v>
      </c>
      <c r="N230" t="s">
        <v>704</v>
      </c>
      <c r="O230" t="str">
        <f>VLOOKUP(N230,Localizacoes!$G$3:$H$100,2,FALSE)</f>
        <v>EBC</v>
      </c>
      <c r="P230">
        <f>VLOOKUP(N230,ID!$G$3:$H$100,2,FALSE)</f>
        <v>131</v>
      </c>
      <c r="Q230" t="s">
        <v>154</v>
      </c>
      <c r="R230" t="str">
        <f>VLOOKUP(Q230,Localizacoes!$I$3:$J$100,2,FALSE)</f>
        <v>QEA</v>
      </c>
      <c r="S230" t="str">
        <f>VLOOKUP(Q230,ID!$I$3:$J$100,2,FALSE)</f>
        <v>QEA</v>
      </c>
      <c r="T230" s="4" t="s">
        <v>187</v>
      </c>
      <c r="U230" t="s">
        <v>265</v>
      </c>
      <c r="Y230" t="s">
        <v>270</v>
      </c>
      <c r="Z230" t="str">
        <f t="shared" si="43"/>
        <v>Quadros Eléctricos de Arranque 03</v>
      </c>
      <c r="AA230"/>
      <c r="AD230" s="13" t="s">
        <v>267</v>
      </c>
      <c r="AF230" t="str">
        <f t="shared" si="49"/>
        <v>Electrobomba centrífugaQuadros Eléctricos de Arranque</v>
      </c>
      <c r="AG230" s="28" t="str">
        <f>VLOOKUP(AF230,Imagens!$C$2:$D$42,2,FALSE)</f>
        <v>65e8d2fa35c12</v>
      </c>
      <c r="AH230" t="str">
        <f>_xlfn.CONCAT(Imagens!$H$2,'registo_ativo-CDs (1)'!AG230)</f>
        <v>assets/imagens/products/65e8d2fa35c12</v>
      </c>
      <c r="AI230" s="67">
        <v>45370</v>
      </c>
      <c r="AK230" s="32"/>
    </row>
    <row r="231" spans="1:37" ht="16.8" customHeight="1" x14ac:dyDescent="0.3">
      <c r="A231">
        <f t="shared" si="44"/>
        <v>15</v>
      </c>
      <c r="B231" t="str">
        <f t="shared" si="45"/>
        <v>CD50BBG131VSU03</v>
      </c>
      <c r="C231" t="str">
        <f t="shared" si="46"/>
        <v>CD-MATR-BBG-EBC-VSU-03</v>
      </c>
      <c r="E231" t="s">
        <v>37</v>
      </c>
      <c r="F231" t="str">
        <f>VLOOKUP(E231,Localizacoes!$A$3:$B$100,2,FALSE)</f>
        <v>CD</v>
      </c>
      <c r="G231" t="str">
        <f>VLOOKUP(E231,ID!$A$3:$B$100,2,FALSE)</f>
        <v>CD</v>
      </c>
      <c r="H231" s="14" t="s">
        <v>54</v>
      </c>
      <c r="I231" t="str">
        <f>VLOOKUP(H231,Localizacoes!$C$3:$D$100,2,FALSE)</f>
        <v>MATR</v>
      </c>
      <c r="J231">
        <f>VLOOKUP(H231,ID!$C$3:$D$100,2,FALSE)</f>
        <v>50</v>
      </c>
      <c r="K231" t="s">
        <v>274</v>
      </c>
      <c r="L231" t="str">
        <f>VLOOKUP(K231,Localizacoes!$E$3:$F$100,2,FALSE)</f>
        <v>BBG</v>
      </c>
      <c r="M231" t="str">
        <f>VLOOKUP(K231,ID!$E$3:$F$100,2,FALSE)</f>
        <v>BBG</v>
      </c>
      <c r="N231" t="s">
        <v>704</v>
      </c>
      <c r="O231" t="str">
        <f>VLOOKUP(N231,Localizacoes!$G$3:$H$100,2,FALSE)</f>
        <v>EBC</v>
      </c>
      <c r="P231">
        <f>VLOOKUP(N231,ID!$G$3:$H$100,2,FALSE)</f>
        <v>131</v>
      </c>
      <c r="Q231" t="s">
        <v>276</v>
      </c>
      <c r="R231" t="str">
        <f>VLOOKUP(Q231,Localizacoes!$I$3:$J$100,2,FALSE)</f>
        <v>VSU</v>
      </c>
      <c r="S231" t="str">
        <f>VLOOKUP(Q231,ID!$I$3:$J$100,2,FALSE)</f>
        <v>VSU</v>
      </c>
      <c r="T231" s="4" t="s">
        <v>187</v>
      </c>
      <c r="U231" t="s">
        <v>264</v>
      </c>
      <c r="Y231" t="s">
        <v>270</v>
      </c>
      <c r="Z231" t="str">
        <f t="shared" si="43"/>
        <v>Válvula Sucção 03</v>
      </c>
      <c r="AA231"/>
      <c r="AD231" s="13" t="s">
        <v>267</v>
      </c>
      <c r="AF231" t="str">
        <f t="shared" si="49"/>
        <v>Electrobomba centrífugaVálvula Sucção</v>
      </c>
      <c r="AG231" s="28" t="str">
        <f>VLOOKUP(AF231,Imagens!$C$2:$D$42,2,FALSE)</f>
        <v>65e8cda0676b7</v>
      </c>
      <c r="AH231" t="str">
        <f>_xlfn.CONCAT(Imagens!$H$2,'registo_ativo-CDs (1)'!AG231)</f>
        <v>assets/imagens/products/65e8cda0676b7</v>
      </c>
      <c r="AI231" s="67">
        <v>45370</v>
      </c>
      <c r="AK231" s="32"/>
    </row>
    <row r="232" spans="1:37" ht="16.8" customHeight="1" x14ac:dyDescent="0.3">
      <c r="A232">
        <f t="shared" si="44"/>
        <v>15</v>
      </c>
      <c r="B232" t="str">
        <f t="shared" si="45"/>
        <v>CD50BBG131VDE03</v>
      </c>
      <c r="C232" t="str">
        <f t="shared" si="46"/>
        <v>CD-MATR-BBG-EBC-VDE-03</v>
      </c>
      <c r="E232" t="s">
        <v>37</v>
      </c>
      <c r="F232" t="str">
        <f>VLOOKUP(E232,Localizacoes!$A$3:$B$100,2,FALSE)</f>
        <v>CD</v>
      </c>
      <c r="G232" t="str">
        <f>VLOOKUP(E232,ID!$A$3:$B$100,2,FALSE)</f>
        <v>CD</v>
      </c>
      <c r="H232" s="14" t="s">
        <v>54</v>
      </c>
      <c r="I232" t="str">
        <f>VLOOKUP(H232,Localizacoes!$C$3:$D$100,2,FALSE)</f>
        <v>MATR</v>
      </c>
      <c r="J232">
        <f>VLOOKUP(H232,ID!$C$3:$D$100,2,FALSE)</f>
        <v>50</v>
      </c>
      <c r="K232" t="s">
        <v>274</v>
      </c>
      <c r="L232" t="str">
        <f>VLOOKUP(K232,Localizacoes!$E$3:$F$100,2,FALSE)</f>
        <v>BBG</v>
      </c>
      <c r="M232" t="str">
        <f>VLOOKUP(K232,ID!$E$3:$F$100,2,FALSE)</f>
        <v>BBG</v>
      </c>
      <c r="N232" t="s">
        <v>704</v>
      </c>
      <c r="O232" t="str">
        <f>VLOOKUP(N232,Localizacoes!$G$3:$H$100,2,FALSE)</f>
        <v>EBC</v>
      </c>
      <c r="P232">
        <f>VLOOKUP(N232,ID!$G$3:$H$100,2,FALSE)</f>
        <v>131</v>
      </c>
      <c r="Q232" t="s">
        <v>279</v>
      </c>
      <c r="R232" t="str">
        <f>VLOOKUP(Q232,Localizacoes!$I$3:$J$100,2,FALSE)</f>
        <v>VDE</v>
      </c>
      <c r="S232" t="str">
        <f>VLOOKUP(Q232,ID!$I$3:$J$100,2,FALSE)</f>
        <v>VDE</v>
      </c>
      <c r="T232" s="4" t="s">
        <v>187</v>
      </c>
      <c r="U232" t="s">
        <v>264</v>
      </c>
      <c r="X232" t="s">
        <v>6</v>
      </c>
      <c r="Y232" t="s">
        <v>270</v>
      </c>
      <c r="Z232" t="str">
        <f t="shared" si="43"/>
        <v>Válvula Descarga 03</v>
      </c>
      <c r="AA232"/>
      <c r="AD232" s="13" t="s">
        <v>267</v>
      </c>
      <c r="AF232" t="str">
        <f t="shared" si="49"/>
        <v>Electrobomba centrífugaVálvula Descarga</v>
      </c>
      <c r="AG232" s="28" t="str">
        <f>VLOOKUP(AF232,Imagens!$C$2:$D$42,2,FALSE)</f>
        <v>65e8cda0676b7</v>
      </c>
      <c r="AH232" t="str">
        <f>_xlfn.CONCAT(Imagens!$H$2,'registo_ativo-CDs (1)'!AG232)</f>
        <v>assets/imagens/products/65e8cda0676b7</v>
      </c>
      <c r="AI232" s="67">
        <v>45370</v>
      </c>
      <c r="AK232" s="32"/>
    </row>
    <row r="233" spans="1:37" ht="16.8" customHeight="1" x14ac:dyDescent="0.3">
      <c r="A233">
        <f t="shared" ref="A233:A237" si="50">LEN(B233)</f>
        <v>15</v>
      </c>
      <c r="B233" t="str">
        <f t="shared" ref="B233:B237" si="51">CONCATENATE(G233,J233,M233,P233,S233,T233)</f>
        <v>CD50BBG131BOM04</v>
      </c>
      <c r="C233" t="str">
        <f t="shared" ref="C233:C237" si="52">CONCATENATE(F233, "-", I233, "-", L233, "-", O233, "-", R233, "-", T233)</f>
        <v>CD-MATR-BBG-EBC-BOM-04</v>
      </c>
      <c r="E233" t="s">
        <v>37</v>
      </c>
      <c r="F233" t="str">
        <f>VLOOKUP(E233,Localizacoes!$A$3:$B$100,2,FALSE)</f>
        <v>CD</v>
      </c>
      <c r="G233" t="str">
        <f>VLOOKUP(E233,ID!$A$3:$B$100,2,FALSE)</f>
        <v>CD</v>
      </c>
      <c r="H233" s="14" t="s">
        <v>54</v>
      </c>
      <c r="I233" t="str">
        <f>VLOOKUP(H233,Localizacoes!$C$3:$D$100,2,FALSE)</f>
        <v>MATR</v>
      </c>
      <c r="J233">
        <f>VLOOKUP(H233,ID!$C$3:$D$100,2,FALSE)</f>
        <v>50</v>
      </c>
      <c r="K233" t="s">
        <v>274</v>
      </c>
      <c r="L233" t="str">
        <f>VLOOKUP(K233,Localizacoes!$E$3:$F$100,2,FALSE)</f>
        <v>BBG</v>
      </c>
      <c r="M233" t="str">
        <f>VLOOKUP(K233,ID!$E$3:$F$100,2,FALSE)</f>
        <v>BBG</v>
      </c>
      <c r="N233" t="s">
        <v>704</v>
      </c>
      <c r="O233" t="str">
        <f>VLOOKUP(N233,Localizacoes!$G$3:$H$100,2,FALSE)</f>
        <v>EBC</v>
      </c>
      <c r="P233">
        <f>VLOOKUP(N233,ID!$G$3:$H$100,2,FALSE)</f>
        <v>131</v>
      </c>
      <c r="Q233" t="s">
        <v>150</v>
      </c>
      <c r="R233" t="str">
        <f>VLOOKUP(Q233,Localizacoes!$I$3:$J$100,2,FALSE)</f>
        <v>BOM</v>
      </c>
      <c r="S233" t="str">
        <f>VLOOKUP(Q233,ID!$I$3:$J$100,2,FALSE)</f>
        <v>BOM</v>
      </c>
      <c r="T233" s="4" t="s">
        <v>188</v>
      </c>
      <c r="U233" t="s">
        <v>264</v>
      </c>
      <c r="Y233" t="s">
        <v>270</v>
      </c>
      <c r="Z233" t="str">
        <f t="shared" ref="Z233:Z237" si="53">Q233&amp;" "&amp; T233</f>
        <v>Bomba 04</v>
      </c>
      <c r="AA233"/>
      <c r="AD233" s="13" t="s">
        <v>7</v>
      </c>
      <c r="AF233" t="str">
        <f t="shared" ref="AF233:AF237" si="54">_xlfn.CONCAT(N233,Q233)</f>
        <v>Electrobomba centrífugaBomba</v>
      </c>
      <c r="AG233" s="28" t="str">
        <f>VLOOKUP(AF233,Imagens!$C$2:$D$42,2,FALSE)</f>
        <v>65e96125c1d11</v>
      </c>
      <c r="AH233" t="str">
        <f>_xlfn.CONCAT(Imagens!$H$2,'registo_ativo-CDs (1)'!AG233)</f>
        <v>assets/imagens/products/65e96125c1d11</v>
      </c>
      <c r="AI233" s="67">
        <v>45314</v>
      </c>
      <c r="AK233" s="32"/>
    </row>
    <row r="234" spans="1:37" ht="16.8" customHeight="1" x14ac:dyDescent="0.3">
      <c r="A234">
        <f t="shared" si="50"/>
        <v>15</v>
      </c>
      <c r="B234" t="str">
        <f t="shared" si="51"/>
        <v>CD50BBG131MOT04</v>
      </c>
      <c r="C234" t="str">
        <f t="shared" si="52"/>
        <v>CD-MATR-BBG-EBC-MOT-04</v>
      </c>
      <c r="E234" t="s">
        <v>37</v>
      </c>
      <c r="F234" t="str">
        <f>VLOOKUP(E234,Localizacoes!$A$3:$B$100,2,FALSE)</f>
        <v>CD</v>
      </c>
      <c r="G234" t="str">
        <f>VLOOKUP(E234,ID!$A$3:$B$100,2,FALSE)</f>
        <v>CD</v>
      </c>
      <c r="H234" s="14" t="s">
        <v>54</v>
      </c>
      <c r="I234" t="str">
        <f>VLOOKUP(H234,Localizacoes!$C$3:$D$100,2,FALSE)</f>
        <v>MATR</v>
      </c>
      <c r="J234">
        <f>VLOOKUP(H234,ID!$C$3:$D$100,2,FALSE)</f>
        <v>50</v>
      </c>
      <c r="K234" t="s">
        <v>274</v>
      </c>
      <c r="L234" t="str">
        <f>VLOOKUP(K234,Localizacoes!$E$3:$F$100,2,FALSE)</f>
        <v>BBG</v>
      </c>
      <c r="M234" t="str">
        <f>VLOOKUP(K234,ID!$E$3:$F$100,2,FALSE)</f>
        <v>BBG</v>
      </c>
      <c r="N234" t="s">
        <v>704</v>
      </c>
      <c r="O234" t="str">
        <f>VLOOKUP(N234,Localizacoes!$G$3:$H$100,2,FALSE)</f>
        <v>EBC</v>
      </c>
      <c r="P234">
        <f>VLOOKUP(N234,ID!$G$3:$H$100,2,FALSE)</f>
        <v>131</v>
      </c>
      <c r="Q234" t="s">
        <v>21</v>
      </c>
      <c r="R234" t="str">
        <f>VLOOKUP(Q234,Localizacoes!$I$3:$J$100,2,FALSE)</f>
        <v>MOT</v>
      </c>
      <c r="S234" t="str">
        <f>VLOOKUP(Q234,ID!$I$3:$J$100,2,FALSE)</f>
        <v>MOT</v>
      </c>
      <c r="T234" s="4" t="s">
        <v>188</v>
      </c>
      <c r="U234" t="s">
        <v>265</v>
      </c>
      <c r="X234" t="s">
        <v>273</v>
      </c>
      <c r="Y234" t="s">
        <v>270</v>
      </c>
      <c r="Z234" t="str">
        <f t="shared" si="53"/>
        <v>Motor 04</v>
      </c>
      <c r="AA234"/>
      <c r="AD234" s="13" t="s">
        <v>7</v>
      </c>
      <c r="AF234" t="str">
        <f t="shared" si="54"/>
        <v>Electrobomba centrífugaMotor</v>
      </c>
      <c r="AG234" s="28" t="str">
        <f>VLOOKUP(AF234,Imagens!$C$2:$D$42,2,FALSE)</f>
        <v>65d04210323a4</v>
      </c>
      <c r="AH234" t="str">
        <f>_xlfn.CONCAT(Imagens!$H$2,'registo_ativo-CDs (1)'!AG234)</f>
        <v>assets/imagens/products/65d04210323a4</v>
      </c>
      <c r="AI234" s="67">
        <v>45314</v>
      </c>
      <c r="AK234" s="32"/>
    </row>
    <row r="235" spans="1:37" ht="16.8" customHeight="1" x14ac:dyDescent="0.3">
      <c r="A235">
        <f t="shared" si="50"/>
        <v>15</v>
      </c>
      <c r="B235" t="str">
        <f t="shared" si="51"/>
        <v>CD50BBG131QEA04</v>
      </c>
      <c r="C235" t="str">
        <f t="shared" si="52"/>
        <v>CD-MATR-BBG-EBC-QEA-04</v>
      </c>
      <c r="E235" t="s">
        <v>37</v>
      </c>
      <c r="F235" t="str">
        <f>VLOOKUP(E235,Localizacoes!$A$3:$B$100,2,FALSE)</f>
        <v>CD</v>
      </c>
      <c r="G235" t="str">
        <f>VLOOKUP(E235,ID!$A$3:$B$100,2,FALSE)</f>
        <v>CD</v>
      </c>
      <c r="H235" s="14" t="s">
        <v>54</v>
      </c>
      <c r="I235" t="str">
        <f>VLOOKUP(H235,Localizacoes!$C$3:$D$100,2,FALSE)</f>
        <v>MATR</v>
      </c>
      <c r="J235">
        <f>VLOOKUP(H235,ID!$C$3:$D$100,2,FALSE)</f>
        <v>50</v>
      </c>
      <c r="K235" t="s">
        <v>274</v>
      </c>
      <c r="L235" t="str">
        <f>VLOOKUP(K235,Localizacoes!$E$3:$F$100,2,FALSE)</f>
        <v>BBG</v>
      </c>
      <c r="M235" t="str">
        <f>VLOOKUP(K235,ID!$E$3:$F$100,2,FALSE)</f>
        <v>BBG</v>
      </c>
      <c r="N235" t="s">
        <v>704</v>
      </c>
      <c r="O235" t="str">
        <f>VLOOKUP(N235,Localizacoes!$G$3:$H$100,2,FALSE)</f>
        <v>EBC</v>
      </c>
      <c r="P235">
        <f>VLOOKUP(N235,ID!$G$3:$H$100,2,FALSE)</f>
        <v>131</v>
      </c>
      <c r="Q235" t="s">
        <v>154</v>
      </c>
      <c r="R235" t="str">
        <f>VLOOKUP(Q235,Localizacoes!$I$3:$J$100,2,FALSE)</f>
        <v>QEA</v>
      </c>
      <c r="S235" t="str">
        <f>VLOOKUP(Q235,ID!$I$3:$J$100,2,FALSE)</f>
        <v>QEA</v>
      </c>
      <c r="T235" s="4" t="s">
        <v>188</v>
      </c>
      <c r="U235" t="s">
        <v>265</v>
      </c>
      <c r="Y235" t="s">
        <v>270</v>
      </c>
      <c r="Z235" t="str">
        <f t="shared" si="53"/>
        <v>Quadros Eléctricos de Arranque 04</v>
      </c>
      <c r="AA235"/>
      <c r="AD235" s="13" t="s">
        <v>267</v>
      </c>
      <c r="AF235" t="str">
        <f t="shared" si="54"/>
        <v>Electrobomba centrífugaQuadros Eléctricos de Arranque</v>
      </c>
      <c r="AG235" s="28" t="str">
        <f>VLOOKUP(AF235,Imagens!$C$2:$D$42,2,FALSE)</f>
        <v>65e8d2fa35c12</v>
      </c>
      <c r="AH235" t="str">
        <f>_xlfn.CONCAT(Imagens!$H$2,'registo_ativo-CDs (1)'!AG235)</f>
        <v>assets/imagens/products/65e8d2fa35c12</v>
      </c>
      <c r="AI235" s="67">
        <v>45370</v>
      </c>
      <c r="AK235" s="32"/>
    </row>
    <row r="236" spans="1:37" ht="16.8" customHeight="1" x14ac:dyDescent="0.3">
      <c r="A236">
        <f t="shared" si="50"/>
        <v>15</v>
      </c>
      <c r="B236" t="str">
        <f t="shared" si="51"/>
        <v>CD50BBG131VSU04</v>
      </c>
      <c r="C236" t="str">
        <f t="shared" si="52"/>
        <v>CD-MATR-BBG-EBC-VSU-04</v>
      </c>
      <c r="E236" t="s">
        <v>37</v>
      </c>
      <c r="F236" t="str">
        <f>VLOOKUP(E236,Localizacoes!$A$3:$B$100,2,FALSE)</f>
        <v>CD</v>
      </c>
      <c r="G236" t="str">
        <f>VLOOKUP(E236,ID!$A$3:$B$100,2,FALSE)</f>
        <v>CD</v>
      </c>
      <c r="H236" s="14" t="s">
        <v>54</v>
      </c>
      <c r="I236" t="str">
        <f>VLOOKUP(H236,Localizacoes!$C$3:$D$100,2,FALSE)</f>
        <v>MATR</v>
      </c>
      <c r="J236">
        <f>VLOOKUP(H236,ID!$C$3:$D$100,2,FALSE)</f>
        <v>50</v>
      </c>
      <c r="K236" t="s">
        <v>274</v>
      </c>
      <c r="L236" t="str">
        <f>VLOOKUP(K236,Localizacoes!$E$3:$F$100,2,FALSE)</f>
        <v>BBG</v>
      </c>
      <c r="M236" t="str">
        <f>VLOOKUP(K236,ID!$E$3:$F$100,2,FALSE)</f>
        <v>BBG</v>
      </c>
      <c r="N236" t="s">
        <v>704</v>
      </c>
      <c r="O236" t="str">
        <f>VLOOKUP(N236,Localizacoes!$G$3:$H$100,2,FALSE)</f>
        <v>EBC</v>
      </c>
      <c r="P236">
        <f>VLOOKUP(N236,ID!$G$3:$H$100,2,FALSE)</f>
        <v>131</v>
      </c>
      <c r="Q236" t="s">
        <v>276</v>
      </c>
      <c r="R236" t="str">
        <f>VLOOKUP(Q236,Localizacoes!$I$3:$J$100,2,FALSE)</f>
        <v>VSU</v>
      </c>
      <c r="S236" t="str">
        <f>VLOOKUP(Q236,ID!$I$3:$J$100,2,FALSE)</f>
        <v>VSU</v>
      </c>
      <c r="T236" s="4" t="s">
        <v>188</v>
      </c>
      <c r="U236" t="s">
        <v>264</v>
      </c>
      <c r="Y236" t="s">
        <v>270</v>
      </c>
      <c r="Z236" t="str">
        <f t="shared" si="53"/>
        <v>Válvula Sucção 04</v>
      </c>
      <c r="AA236"/>
      <c r="AD236" s="13" t="s">
        <v>267</v>
      </c>
      <c r="AF236" t="str">
        <f t="shared" si="54"/>
        <v>Electrobomba centrífugaVálvula Sucção</v>
      </c>
      <c r="AG236" s="28" t="str">
        <f>VLOOKUP(AF236,Imagens!$C$2:$D$42,2,FALSE)</f>
        <v>65e8cda0676b7</v>
      </c>
      <c r="AH236" t="str">
        <f>_xlfn.CONCAT(Imagens!$H$2,'registo_ativo-CDs (1)'!AG236)</f>
        <v>assets/imagens/products/65e8cda0676b7</v>
      </c>
      <c r="AI236" s="67">
        <v>45370</v>
      </c>
      <c r="AK236" s="32"/>
    </row>
    <row r="237" spans="1:37" ht="16.8" customHeight="1" x14ac:dyDescent="0.3">
      <c r="A237">
        <f t="shared" si="50"/>
        <v>15</v>
      </c>
      <c r="B237" t="str">
        <f t="shared" si="51"/>
        <v>CD50BBG131VDE04</v>
      </c>
      <c r="C237" t="str">
        <f t="shared" si="52"/>
        <v>CD-MATR-BBG-EBC-VDE-04</v>
      </c>
      <c r="E237" t="s">
        <v>37</v>
      </c>
      <c r="F237" t="str">
        <f>VLOOKUP(E237,Localizacoes!$A$3:$B$100,2,FALSE)</f>
        <v>CD</v>
      </c>
      <c r="G237" t="str">
        <f>VLOOKUP(E237,ID!$A$3:$B$100,2,FALSE)</f>
        <v>CD</v>
      </c>
      <c r="H237" s="14" t="s">
        <v>54</v>
      </c>
      <c r="I237" t="str">
        <f>VLOOKUP(H237,Localizacoes!$C$3:$D$100,2,FALSE)</f>
        <v>MATR</v>
      </c>
      <c r="J237">
        <f>VLOOKUP(H237,ID!$C$3:$D$100,2,FALSE)</f>
        <v>50</v>
      </c>
      <c r="K237" t="s">
        <v>274</v>
      </c>
      <c r="L237" t="str">
        <f>VLOOKUP(K237,Localizacoes!$E$3:$F$100,2,FALSE)</f>
        <v>BBG</v>
      </c>
      <c r="M237" t="str">
        <f>VLOOKUP(K237,ID!$E$3:$F$100,2,FALSE)</f>
        <v>BBG</v>
      </c>
      <c r="N237" t="s">
        <v>704</v>
      </c>
      <c r="O237" t="str">
        <f>VLOOKUP(N237,Localizacoes!$G$3:$H$100,2,FALSE)</f>
        <v>EBC</v>
      </c>
      <c r="P237">
        <f>VLOOKUP(N237,ID!$G$3:$H$100,2,FALSE)</f>
        <v>131</v>
      </c>
      <c r="Q237" t="s">
        <v>279</v>
      </c>
      <c r="R237" t="str">
        <f>VLOOKUP(Q237,Localizacoes!$I$3:$J$100,2,FALSE)</f>
        <v>VDE</v>
      </c>
      <c r="S237" t="str">
        <f>VLOOKUP(Q237,ID!$I$3:$J$100,2,FALSE)</f>
        <v>VDE</v>
      </c>
      <c r="T237" s="4" t="s">
        <v>188</v>
      </c>
      <c r="U237" t="s">
        <v>264</v>
      </c>
      <c r="X237" t="s">
        <v>6</v>
      </c>
      <c r="Y237" t="s">
        <v>270</v>
      </c>
      <c r="Z237" t="str">
        <f t="shared" si="53"/>
        <v>Válvula Descarga 04</v>
      </c>
      <c r="AA237"/>
      <c r="AD237" s="13" t="s">
        <v>267</v>
      </c>
      <c r="AF237" t="str">
        <f t="shared" si="54"/>
        <v>Electrobomba centrífugaVálvula Descarga</v>
      </c>
      <c r="AG237" s="28" t="str">
        <f>VLOOKUP(AF237,Imagens!$C$2:$D$42,2,FALSE)</f>
        <v>65e8cda0676b7</v>
      </c>
      <c r="AH237" t="str">
        <f>_xlfn.CONCAT(Imagens!$H$2,'registo_ativo-CDs (1)'!AG237)</f>
        <v>assets/imagens/products/65e8cda0676b7</v>
      </c>
      <c r="AI237" s="67">
        <v>45370</v>
      </c>
      <c r="AK237" s="32"/>
    </row>
    <row r="238" spans="1:37" ht="16.8" customHeight="1" x14ac:dyDescent="0.3">
      <c r="A238">
        <f t="shared" si="44"/>
        <v>15</v>
      </c>
      <c r="B238" t="str">
        <f t="shared" ref="B238:B303" si="55">CONCATENATE(G238,J238,M238,P238,S238,T238)</f>
        <v>CD50BBG164ILL05</v>
      </c>
      <c r="C238" t="str">
        <f t="shared" ref="C238:C303" si="56">CONCATENATE(F238, "-", I238, "-", L238, "-", O238, "-", R238, "-", T238)</f>
        <v>CD-MATR-BBG-SIL-ILL-05</v>
      </c>
      <c r="E238" t="s">
        <v>37</v>
      </c>
      <c r="F238" t="str">
        <f>VLOOKUP(E238,Localizacoes!$A$3:$B$100,2,FALSE)</f>
        <v>CD</v>
      </c>
      <c r="G238" t="str">
        <f>VLOOKUP(E238,ID!$A$3:$B$100,2,FALSE)</f>
        <v>CD</v>
      </c>
      <c r="H238" s="14" t="s">
        <v>54</v>
      </c>
      <c r="I238" t="str">
        <f>VLOOKUP(H238,Localizacoes!$C$3:$D$100,2,FALSE)</f>
        <v>MATR</v>
      </c>
      <c r="J238">
        <f>VLOOKUP(H238,ID!$C$3:$D$100,2,FALSE)</f>
        <v>50</v>
      </c>
      <c r="K238" t="s">
        <v>274</v>
      </c>
      <c r="L238" t="str">
        <f>VLOOKUP(K238,Localizacoes!$E$3:$F$100,2,FALSE)</f>
        <v>BBG</v>
      </c>
      <c r="M238" t="str">
        <f>VLOOKUP(K238,ID!$E$3:$F$100,2,FALSE)</f>
        <v>BBG</v>
      </c>
      <c r="N238" t="s">
        <v>688</v>
      </c>
      <c r="O238" t="str">
        <f>VLOOKUP(N238,Localizacoes!$G$3:$H$100,2,FALSE)</f>
        <v>SIL</v>
      </c>
      <c r="P238">
        <f>VLOOKUP(N238,ID!$G$3:$H$100,2,FALSE)</f>
        <v>164</v>
      </c>
      <c r="Q238" t="s">
        <v>141</v>
      </c>
      <c r="R238" t="str">
        <f>VLOOKUP(Q238,Localizacoes!$I$3:$J$100,2,FALSE)</f>
        <v>ILL</v>
      </c>
      <c r="S238" t="str">
        <f>VLOOKUP(Q238,ID!$I$3:$J$100,2,FALSE)</f>
        <v>ILL</v>
      </c>
      <c r="T238" s="4" t="s">
        <v>189</v>
      </c>
      <c r="U238" t="s">
        <v>265</v>
      </c>
      <c r="Y238" t="s">
        <v>270</v>
      </c>
      <c r="Z238" t="str">
        <f t="shared" si="43"/>
        <v>Iluminação 05</v>
      </c>
      <c r="AA238"/>
      <c r="AD238" s="13" t="s">
        <v>267</v>
      </c>
      <c r="AF238" t="str">
        <f t="shared" ref="AF238:AF303" si="57">_xlfn.CONCAT(N238,Q238)</f>
        <v>Sistema de IluminaçãoIluminação</v>
      </c>
      <c r="AG238" s="28" t="str">
        <f>VLOOKUP(AF238,Imagens!$C$2:$D$42,2,FALSE)</f>
        <v>65e8e579bfe6c</v>
      </c>
      <c r="AH238" t="str">
        <f>_xlfn.CONCAT(Imagens!$H$2,'registo_ativo-CDs (1)'!AG238)</f>
        <v>assets/imagens/products/65e8e579bfe6c</v>
      </c>
      <c r="AI238" s="67">
        <v>45314</v>
      </c>
      <c r="AK238" s="32"/>
    </row>
    <row r="239" spans="1:37" ht="16.8" customHeight="1" x14ac:dyDescent="0.3">
      <c r="A239">
        <f t="shared" si="44"/>
        <v>15</v>
      </c>
      <c r="B239" t="str">
        <f t="shared" si="55"/>
        <v>CD50CAN152CAN01</v>
      </c>
      <c r="C239" t="str">
        <f t="shared" si="56"/>
        <v>CD-MATR-CAN-QEL-CAN-01</v>
      </c>
      <c r="E239" t="s">
        <v>37</v>
      </c>
      <c r="F239" t="str">
        <f>VLOOKUP(E239,Localizacoes!$A$3:$B$100,2,FALSE)</f>
        <v>CD</v>
      </c>
      <c r="G239" t="str">
        <f>VLOOKUP(E239,ID!$A$3:$B$100,2,FALSE)</f>
        <v>CD</v>
      </c>
      <c r="H239" s="14" t="s">
        <v>54</v>
      </c>
      <c r="I239" t="str">
        <f>VLOOKUP(H239,Localizacoes!$C$3:$D$100,2,FALSE)</f>
        <v>MATR</v>
      </c>
      <c r="J239">
        <f>VLOOKUP(H239,ID!$C$3:$D$100,2,FALSE)</f>
        <v>50</v>
      </c>
      <c r="K239" t="s">
        <v>101</v>
      </c>
      <c r="L239" t="str">
        <f>VLOOKUP(K239,Localizacoes!$E$3:$F$100,2,FALSE)</f>
        <v>CAN</v>
      </c>
      <c r="M239" t="str">
        <f>VLOOKUP(K239,ID!$E$3:$F$100,2,FALSE)</f>
        <v>CAN</v>
      </c>
      <c r="N239" t="s">
        <v>286</v>
      </c>
      <c r="O239" t="str">
        <f>VLOOKUP(N239,Localizacoes!$G$3:$H$100,2,FALSE)</f>
        <v>QEL</v>
      </c>
      <c r="P239">
        <f>VLOOKUP(N239,ID!$G$3:$H$100,2,FALSE)</f>
        <v>152</v>
      </c>
      <c r="Q239" t="s">
        <v>101</v>
      </c>
      <c r="R239" t="str">
        <f>VLOOKUP(Q239,Localizacoes!$I$3:$J$100,2,FALSE)</f>
        <v>CAN</v>
      </c>
      <c r="S239" t="str">
        <f>VLOOKUP(Q239,ID!$I$3:$J$100,2,FALSE)</f>
        <v>CAN</v>
      </c>
      <c r="T239" s="4" t="s">
        <v>182</v>
      </c>
      <c r="U239" t="s">
        <v>265</v>
      </c>
      <c r="Y239" t="s">
        <v>270</v>
      </c>
      <c r="Z239" t="str">
        <f t="shared" si="43"/>
        <v>Canalização Eléctrica 01</v>
      </c>
      <c r="AA239"/>
      <c r="AD239" s="13" t="s">
        <v>266</v>
      </c>
      <c r="AF239" t="str">
        <f t="shared" si="57"/>
        <v>Quadro EléctricoCanalização Eléctrica</v>
      </c>
      <c r="AG239" s="28" t="str">
        <f>VLOOKUP(AF239,Imagens!$C$2:$D$42,2,FALSE)</f>
        <v>65e8e4bb71249</v>
      </c>
      <c r="AH239" t="str">
        <f>_xlfn.CONCAT(Imagens!$H$2,'registo_ativo-CDs (1)'!AG239)</f>
        <v>assets/imagens/products/65e8e4bb71249</v>
      </c>
      <c r="AI239" s="67">
        <v>45468</v>
      </c>
      <c r="AK239" s="32"/>
    </row>
    <row r="240" spans="1:37" ht="16.8" customHeight="1" x14ac:dyDescent="0.3">
      <c r="A240">
        <f t="shared" si="44"/>
        <v>15</v>
      </c>
      <c r="B240" t="str">
        <f t="shared" si="55"/>
        <v>CD50BBG146MCD01</v>
      </c>
      <c r="C240" t="str">
        <f t="shared" si="56"/>
        <v>CD-MATR-BBG-MDD-MCD-01</v>
      </c>
      <c r="E240" t="s">
        <v>37</v>
      </c>
      <c r="F240" t="str">
        <f>VLOOKUP(E240,Localizacoes!$A$3:$B$100,2,FALSE)</f>
        <v>CD</v>
      </c>
      <c r="G240" t="str">
        <f>VLOOKUP(E240,ID!$A$3:$B$100,2,FALSE)</f>
        <v>CD</v>
      </c>
      <c r="H240" s="14" t="s">
        <v>54</v>
      </c>
      <c r="I240" t="str">
        <f>VLOOKUP(H240,Localizacoes!$C$3:$D$100,2,FALSE)</f>
        <v>MATR</v>
      </c>
      <c r="J240">
        <f>VLOOKUP(H240,ID!$C$3:$D$100,2,FALSE)</f>
        <v>50</v>
      </c>
      <c r="K240" t="s">
        <v>274</v>
      </c>
      <c r="L240" t="str">
        <f>VLOOKUP(K240,Localizacoes!$E$3:$F$100,2,FALSE)</f>
        <v>BBG</v>
      </c>
      <c r="M240" t="str">
        <f>VLOOKUP(K240,ID!$E$3:$F$100,2,FALSE)</f>
        <v>BBG</v>
      </c>
      <c r="N240" t="s">
        <v>672</v>
      </c>
      <c r="O240" t="str">
        <f>VLOOKUP(N240,Localizacoes!$G$3:$H$100,2,FALSE)</f>
        <v>MDD</v>
      </c>
      <c r="P240">
        <f>VLOOKUP(N240,ID!$G$3:$H$100,2,FALSE)</f>
        <v>146</v>
      </c>
      <c r="Q240" t="s">
        <v>370</v>
      </c>
      <c r="R240" t="str">
        <f>VLOOKUP(Q240,Localizacoes!$I$3:$J$100,2,FALSE)</f>
        <v>MCD</v>
      </c>
      <c r="S240" t="str">
        <f>VLOOKUP(Q240,ID!$I$3:$J$100,2,FALSE)</f>
        <v>MCD</v>
      </c>
      <c r="T240" s="4" t="s">
        <v>182</v>
      </c>
      <c r="U240" t="s">
        <v>265</v>
      </c>
      <c r="Y240" t="s">
        <v>270</v>
      </c>
      <c r="Z240" t="str">
        <f t="shared" si="43"/>
        <v>Macromedidor 01</v>
      </c>
      <c r="AA240"/>
      <c r="AD240" s="13" t="s">
        <v>266</v>
      </c>
      <c r="AF240" t="str">
        <f t="shared" si="57"/>
        <v>MedidorMacromedidor</v>
      </c>
      <c r="AG240" s="28" t="str">
        <f>VLOOKUP(AF240,Imagens!$C$2:$D$42,2,FALSE)</f>
        <v>65e8dd4a9cd58</v>
      </c>
      <c r="AH240" t="str">
        <f>_xlfn.CONCAT(Imagens!$H$2,'registo_ativo-CDs (1)'!AG240)</f>
        <v>assets/imagens/products/65e8dd4a9cd58</v>
      </c>
      <c r="AI240" s="67">
        <v>45342</v>
      </c>
      <c r="AK240" s="32"/>
    </row>
    <row r="241" spans="1:37" ht="16.8" customHeight="1" x14ac:dyDescent="0.3">
      <c r="A241">
        <f t="shared" si="44"/>
        <v>15</v>
      </c>
      <c r="B241" t="str">
        <f t="shared" si="55"/>
        <v>CD50BBG146MCD02</v>
      </c>
      <c r="C241" t="str">
        <f t="shared" si="56"/>
        <v>CD-MATR-BBG-MDD-MCD-02</v>
      </c>
      <c r="E241" t="s">
        <v>37</v>
      </c>
      <c r="F241" t="str">
        <f>VLOOKUP(E241,Localizacoes!$A$3:$B$100,2,FALSE)</f>
        <v>CD</v>
      </c>
      <c r="G241" t="str">
        <f>VLOOKUP(E241,ID!$A$3:$B$100,2,FALSE)</f>
        <v>CD</v>
      </c>
      <c r="H241" s="14" t="s">
        <v>54</v>
      </c>
      <c r="I241" t="str">
        <f>VLOOKUP(H241,Localizacoes!$C$3:$D$100,2,FALSE)</f>
        <v>MATR</v>
      </c>
      <c r="J241">
        <f>VLOOKUP(H241,ID!$C$3:$D$100,2,FALSE)</f>
        <v>50</v>
      </c>
      <c r="K241" t="s">
        <v>274</v>
      </c>
      <c r="L241" t="str">
        <f>VLOOKUP(K241,Localizacoes!$E$3:$F$100,2,FALSE)</f>
        <v>BBG</v>
      </c>
      <c r="M241" t="str">
        <f>VLOOKUP(K241,ID!$E$3:$F$100,2,FALSE)</f>
        <v>BBG</v>
      </c>
      <c r="N241" t="s">
        <v>672</v>
      </c>
      <c r="O241" t="str">
        <f>VLOOKUP(N241,Localizacoes!$G$3:$H$100,2,FALSE)</f>
        <v>MDD</v>
      </c>
      <c r="P241">
        <f>VLOOKUP(N241,ID!$G$3:$H$100,2,FALSE)</f>
        <v>146</v>
      </c>
      <c r="Q241" t="s">
        <v>370</v>
      </c>
      <c r="R241" t="str">
        <f>VLOOKUP(Q241,Localizacoes!$I$3:$J$100,2,FALSE)</f>
        <v>MCD</v>
      </c>
      <c r="S241" t="str">
        <f>VLOOKUP(Q241,ID!$I$3:$J$100,2,FALSE)</f>
        <v>MCD</v>
      </c>
      <c r="T241" s="4" t="s">
        <v>186</v>
      </c>
      <c r="U241" t="s">
        <v>265</v>
      </c>
      <c r="Y241" t="s">
        <v>270</v>
      </c>
      <c r="Z241" t="str">
        <f t="shared" si="43"/>
        <v>Macromedidor 02</v>
      </c>
      <c r="AA241"/>
      <c r="AD241" s="13" t="s">
        <v>266</v>
      </c>
      <c r="AF241" t="str">
        <f t="shared" si="57"/>
        <v>MedidorMacromedidor</v>
      </c>
      <c r="AG241" s="28" t="str">
        <f>VLOOKUP(AF241,Imagens!$C$2:$D$42,2,FALSE)</f>
        <v>65e8dd4a9cd58</v>
      </c>
      <c r="AH241" t="str">
        <f>_xlfn.CONCAT(Imagens!$H$2,'registo_ativo-CDs (1)'!AG241)</f>
        <v>assets/imagens/products/65e8dd4a9cd58</v>
      </c>
      <c r="AI241" s="67">
        <v>45342</v>
      </c>
      <c r="AK241" s="32"/>
    </row>
    <row r="242" spans="1:37" ht="16.8" customHeight="1" x14ac:dyDescent="0.3">
      <c r="A242">
        <f t="shared" si="44"/>
        <v>15</v>
      </c>
      <c r="B242" t="str">
        <f t="shared" si="55"/>
        <v>CD50CAN152QEI01</v>
      </c>
      <c r="C242" t="str">
        <f t="shared" si="56"/>
        <v>CD-MATR-CAN-QEL-QEI-01</v>
      </c>
      <c r="E242" t="s">
        <v>37</v>
      </c>
      <c r="F242" t="str">
        <f>VLOOKUP(E242,Localizacoes!$A$3:$B$100,2,FALSE)</f>
        <v>CD</v>
      </c>
      <c r="G242" t="str">
        <f>VLOOKUP(E242,ID!$A$3:$B$100,2,FALSE)</f>
        <v>CD</v>
      </c>
      <c r="H242" s="14" t="s">
        <v>54</v>
      </c>
      <c r="I242" t="str">
        <f>VLOOKUP(H242,Localizacoes!$C$3:$D$100,2,FALSE)</f>
        <v>MATR</v>
      </c>
      <c r="J242">
        <f>VLOOKUP(H242,ID!$C$3:$D$100,2,FALSE)</f>
        <v>50</v>
      </c>
      <c r="K242" t="s">
        <v>101</v>
      </c>
      <c r="L242" t="str">
        <f>VLOOKUP(K242,Localizacoes!$E$3:$F$100,2,FALSE)</f>
        <v>CAN</v>
      </c>
      <c r="M242" t="str">
        <f>VLOOKUP(K242,ID!$E$3:$F$100,2,FALSE)</f>
        <v>CAN</v>
      </c>
      <c r="N242" t="s">
        <v>286</v>
      </c>
      <c r="O242" t="str">
        <f>VLOOKUP(N242,Localizacoes!$G$3:$H$100,2,FALSE)</f>
        <v>QEL</v>
      </c>
      <c r="P242">
        <f>VLOOKUP(N242,ID!$G$3:$H$100,2,FALSE)</f>
        <v>152</v>
      </c>
      <c r="Q242" t="s">
        <v>446</v>
      </c>
      <c r="R242" t="str">
        <f>VLOOKUP(Q242,Localizacoes!$I$3:$J$100,2,FALSE)</f>
        <v>QEI</v>
      </c>
      <c r="S242" t="str">
        <f>VLOOKUP(Q242,ID!$I$3:$J$100,2,FALSE)</f>
        <v>QEI</v>
      </c>
      <c r="T242" s="4" t="s">
        <v>182</v>
      </c>
      <c r="U242" t="s">
        <v>265</v>
      </c>
      <c r="X242" t="s">
        <v>6</v>
      </c>
      <c r="Y242" t="s">
        <v>270</v>
      </c>
      <c r="Z242" t="str">
        <f t="shared" si="43"/>
        <v>Quadro Eléctrico de Instrumentação 01</v>
      </c>
      <c r="AA242"/>
      <c r="AD242" s="13" t="s">
        <v>267</v>
      </c>
      <c r="AF242" t="str">
        <f t="shared" si="57"/>
        <v>Quadro EléctricoQuadro Eléctrico de Instrumentação</v>
      </c>
      <c r="AG242" s="28" t="str">
        <f>VLOOKUP(AF242,Imagens!$C$2:$D$42,2,FALSE)</f>
        <v>65d1346bf3835</v>
      </c>
      <c r="AH242" t="str">
        <f>_xlfn.CONCAT(Imagens!$H$2,'registo_ativo-CDs (1)'!AG242)</f>
        <v>assets/imagens/products/65d1346bf3835</v>
      </c>
      <c r="AI242" s="67">
        <v>45370</v>
      </c>
      <c r="AK242" s="32"/>
    </row>
    <row r="243" spans="1:37" ht="16.8" customHeight="1" x14ac:dyDescent="0.3">
      <c r="A243">
        <f t="shared" si="44"/>
        <v>15</v>
      </c>
      <c r="B243" t="str">
        <f t="shared" si="55"/>
        <v>CD50SB1165TRA01</v>
      </c>
      <c r="C243" t="str">
        <f t="shared" si="56"/>
        <v>CD-MATR-SB1-SUB-TRA-01</v>
      </c>
      <c r="E243" t="s">
        <v>37</v>
      </c>
      <c r="F243" t="str">
        <f>VLOOKUP(E243,Localizacoes!$A$3:$B$100,2,FALSE)</f>
        <v>CD</v>
      </c>
      <c r="G243" t="str">
        <f>VLOOKUP(E243,ID!$A$3:$B$100,2,FALSE)</f>
        <v>CD</v>
      </c>
      <c r="H243" s="14" t="s">
        <v>54</v>
      </c>
      <c r="I243" t="str">
        <f>VLOOKUP(H243,Localizacoes!$C$3:$D$100,2,FALSE)</f>
        <v>MATR</v>
      </c>
      <c r="J243">
        <f>VLOOKUP(H243,ID!$C$3:$D$100,2,FALSE)</f>
        <v>50</v>
      </c>
      <c r="K243" t="s">
        <v>127</v>
      </c>
      <c r="L243" t="str">
        <f>VLOOKUP(K243,Localizacoes!$E$3:$F$100,2,FALSE)</f>
        <v>SB1</v>
      </c>
      <c r="M243" t="str">
        <f>VLOOKUP(K243,ID!$E$3:$F$100,2,FALSE)</f>
        <v>SB1</v>
      </c>
      <c r="N243" t="s">
        <v>112</v>
      </c>
      <c r="O243" t="str">
        <f>VLOOKUP(N243,Localizacoes!$G$3:$H$100,2,FALSE)</f>
        <v>SUB</v>
      </c>
      <c r="P243">
        <f>VLOOKUP(N243,ID!$G$3:$H$100,2,FALSE)</f>
        <v>165</v>
      </c>
      <c r="Q243" t="s">
        <v>176</v>
      </c>
      <c r="R243" t="str">
        <f>VLOOKUP(Q243,Localizacoes!$I$3:$J$100,2,FALSE)</f>
        <v>TRA</v>
      </c>
      <c r="S243" t="str">
        <f>VLOOKUP(Q243,ID!$I$3:$J$100,2,FALSE)</f>
        <v>TRA</v>
      </c>
      <c r="T243" s="4" t="s">
        <v>182</v>
      </c>
      <c r="U243" t="s">
        <v>265</v>
      </c>
      <c r="Y243" t="s">
        <v>270</v>
      </c>
      <c r="Z243" t="str">
        <f t="shared" si="43"/>
        <v>Transformador 01</v>
      </c>
      <c r="AA243"/>
      <c r="AD243" s="13" t="s">
        <v>267</v>
      </c>
      <c r="AF243" t="str">
        <f t="shared" si="57"/>
        <v>SubestaçãoTransformador</v>
      </c>
      <c r="AG243" s="28" t="str">
        <f>VLOOKUP(AF243,Imagens!$C$2:$D$42,2,FALSE)</f>
        <v>65e8d98d73a3d</v>
      </c>
      <c r="AH243" t="str">
        <f>_xlfn.CONCAT(Imagens!$H$2,'registo_ativo-CDs (1)'!AG243)</f>
        <v>assets/imagens/products/65e8d98d73a3d</v>
      </c>
      <c r="AI243" s="67">
        <v>45314</v>
      </c>
      <c r="AK243" s="32"/>
    </row>
    <row r="244" spans="1:37" ht="15" customHeight="1" x14ac:dyDescent="0.3">
      <c r="A244">
        <f t="shared" si="44"/>
        <v>15</v>
      </c>
      <c r="B244" t="str">
        <f t="shared" si="55"/>
        <v>CD50ECA143PRO01</v>
      </c>
      <c r="C244" t="str">
        <f t="shared" si="56"/>
        <v>CD-MATR-ECA-GRU-PRO-01</v>
      </c>
      <c r="E244" t="s">
        <v>37</v>
      </c>
      <c r="F244" t="str">
        <f>VLOOKUP(E244,Localizacoes!$A$3:$B$100,2,FALSE)</f>
        <v>CD</v>
      </c>
      <c r="G244" t="str">
        <f>VLOOKUP(E244,ID!$A$3:$B$100,2,FALSE)</f>
        <v>CD</v>
      </c>
      <c r="H244" s="14" t="s">
        <v>54</v>
      </c>
      <c r="I244" t="str">
        <f>VLOOKUP(H244,Localizacoes!$C$3:$D$100,2,FALSE)</f>
        <v>MATR</v>
      </c>
      <c r="J244">
        <f>VLOOKUP(H244,ID!$C$3:$D$100,2,FALSE)</f>
        <v>50</v>
      </c>
      <c r="K244" t="s">
        <v>285</v>
      </c>
      <c r="L244" t="str">
        <f>VLOOKUP(K244,Localizacoes!$E$3:$F$100,2,FALSE)</f>
        <v>ECA</v>
      </c>
      <c r="M244" t="str">
        <f>VLOOKUP(K244,ID!$E$3:$F$100,2,FALSE)</f>
        <v>ECA</v>
      </c>
      <c r="N244" t="s">
        <v>104</v>
      </c>
      <c r="O244" t="str">
        <f>VLOOKUP(N244,Localizacoes!$G$3:$H$100,2,FALSE)</f>
        <v>GRU</v>
      </c>
      <c r="P244">
        <f>VLOOKUP(N244,ID!$G$3:$H$100,2,FALSE)</f>
        <v>143</v>
      </c>
      <c r="Q244" t="s">
        <v>153</v>
      </c>
      <c r="R244" t="str">
        <f>VLOOKUP(Q244,Localizacoes!$I$3:$J$100,2,FALSE)</f>
        <v>PRO</v>
      </c>
      <c r="S244" t="str">
        <f>VLOOKUP(Q244,ID!$I$3:$J$100,2,FALSE)</f>
        <v>PRO</v>
      </c>
      <c r="T244" s="4" t="s">
        <v>182</v>
      </c>
      <c r="U244" t="s">
        <v>264</v>
      </c>
      <c r="Y244" t="s">
        <v>270</v>
      </c>
      <c r="Z244" t="str">
        <f t="shared" si="43"/>
        <v>Ponte Rolante 01</v>
      </c>
      <c r="AA244"/>
      <c r="AD244" s="13" t="s">
        <v>266</v>
      </c>
      <c r="AF244" t="str">
        <f t="shared" si="57"/>
        <v>GruaPonte Rolante</v>
      </c>
      <c r="AG244" s="28" t="str">
        <f>VLOOKUP(AF244,Imagens!$C$2:$D$42,2,FALSE)</f>
        <v>65c75d2748c4a</v>
      </c>
      <c r="AH244" t="str">
        <f>_xlfn.CONCAT(Imagens!$H$2,'registo_ativo-CDs (1)'!AG244)</f>
        <v>assets/imagens/products/65c75d2748c4a</v>
      </c>
      <c r="AI244" s="67">
        <v>45468</v>
      </c>
      <c r="AK244" s="32"/>
    </row>
    <row r="245" spans="1:37" ht="16.8" customHeight="1" x14ac:dyDescent="0.3">
      <c r="A245">
        <f t="shared" si="44"/>
        <v>15</v>
      </c>
      <c r="B245" t="str">
        <f t="shared" si="55"/>
        <v>CD15BBG131BOM01</v>
      </c>
      <c r="C245" t="str">
        <f t="shared" si="56"/>
        <v>CD-BOA-BBG-EBC-BOM-01</v>
      </c>
      <c r="E245" t="s">
        <v>37</v>
      </c>
      <c r="F245" t="s">
        <v>46</v>
      </c>
      <c r="G245" t="s">
        <v>46</v>
      </c>
      <c r="H245" s="14" t="s">
        <v>49</v>
      </c>
      <c r="I245" t="s">
        <v>75</v>
      </c>
      <c r="J245">
        <f>VLOOKUP(H245,ID!$C$3:$D$100,2,FALSE)</f>
        <v>15</v>
      </c>
      <c r="K245" t="s">
        <v>274</v>
      </c>
      <c r="L245" t="str">
        <f>VLOOKUP(K245,Localizacoes!$E$3:$F$100,2,FALSE)</f>
        <v>BBG</v>
      </c>
      <c r="M245" t="str">
        <f>VLOOKUP(K245,ID!$E$3:$F$100,2,FALSE)</f>
        <v>BBG</v>
      </c>
      <c r="N245" t="s">
        <v>704</v>
      </c>
      <c r="O245" t="str">
        <f>VLOOKUP(N245,Localizacoes!$G$3:$H$100,2,FALSE)</f>
        <v>EBC</v>
      </c>
      <c r="P245">
        <f>VLOOKUP(N245,ID!$G$3:$H$100,2,FALSE)</f>
        <v>131</v>
      </c>
      <c r="Q245" t="s">
        <v>150</v>
      </c>
      <c r="R245" t="str">
        <f>VLOOKUP(Q245,Localizacoes!$I$3:$J$100,2,FALSE)</f>
        <v>BOM</v>
      </c>
      <c r="S245" t="str">
        <f>VLOOKUP(Q245,ID!$I$3:$J$100,2,FALSE)</f>
        <v>BOM</v>
      </c>
      <c r="T245" s="4" t="s">
        <v>182</v>
      </c>
      <c r="U245" t="s">
        <v>264</v>
      </c>
      <c r="V245" t="s">
        <v>392</v>
      </c>
      <c r="W245" t="s">
        <v>542</v>
      </c>
      <c r="X245" t="s">
        <v>273</v>
      </c>
      <c r="Y245" t="s">
        <v>270</v>
      </c>
      <c r="Z245" t="str">
        <f t="shared" si="43"/>
        <v>Bomba 01</v>
      </c>
      <c r="AA245"/>
      <c r="AD245" s="13" t="s">
        <v>7</v>
      </c>
      <c r="AF245" t="str">
        <f t="shared" si="57"/>
        <v>Electrobomba centrífugaBomba</v>
      </c>
      <c r="AG245" s="28" t="str">
        <f>VLOOKUP(AF245,Imagens!$C$2:$D$42,2,FALSE)</f>
        <v>65e96125c1d11</v>
      </c>
      <c r="AH245" t="str">
        <f>_xlfn.CONCAT(Imagens!$H$2,'registo_ativo-CDs (1)'!AG245)</f>
        <v>assets/imagens/products/65e96125c1d11</v>
      </c>
      <c r="AI245" s="67">
        <v>45301</v>
      </c>
      <c r="AK245" s="32"/>
    </row>
    <row r="246" spans="1:37" ht="16.8" customHeight="1" x14ac:dyDescent="0.3">
      <c r="A246">
        <f t="shared" si="44"/>
        <v>15</v>
      </c>
      <c r="B246" t="str">
        <f t="shared" si="55"/>
        <v>CD15BBG131MOT01</v>
      </c>
      <c r="C246" t="str">
        <f t="shared" si="56"/>
        <v>CD-BOA-BBG-EBC-MOT-01</v>
      </c>
      <c r="E246" t="s">
        <v>37</v>
      </c>
      <c r="F246" t="s">
        <v>46</v>
      </c>
      <c r="G246" t="s">
        <v>46</v>
      </c>
      <c r="H246" s="14" t="s">
        <v>49</v>
      </c>
      <c r="I246" t="s">
        <v>75</v>
      </c>
      <c r="J246">
        <f>VLOOKUP(H246,ID!$C$3:$D$100,2,FALSE)</f>
        <v>15</v>
      </c>
      <c r="K246" t="s">
        <v>274</v>
      </c>
      <c r="L246" t="str">
        <f>VLOOKUP(K246,Localizacoes!$E$3:$F$100,2,FALSE)</f>
        <v>BBG</v>
      </c>
      <c r="M246" t="str">
        <f>VLOOKUP(K246,ID!$E$3:$F$100,2,FALSE)</f>
        <v>BBG</v>
      </c>
      <c r="N246" t="s">
        <v>704</v>
      </c>
      <c r="O246" t="str">
        <f>VLOOKUP(N246,Localizacoes!$G$3:$H$100,2,FALSE)</f>
        <v>EBC</v>
      </c>
      <c r="P246">
        <f>VLOOKUP(N246,ID!$G$3:$H$100,2,FALSE)</f>
        <v>131</v>
      </c>
      <c r="Q246" t="s">
        <v>21</v>
      </c>
      <c r="R246" t="str">
        <f>VLOOKUP(Q246,Localizacoes!$I$3:$J$100,2,FALSE)</f>
        <v>MOT</v>
      </c>
      <c r="S246" t="str">
        <f>VLOOKUP(Q246,ID!$I$3:$J$100,2,FALSE)</f>
        <v>MOT</v>
      </c>
      <c r="T246" s="4" t="s">
        <v>182</v>
      </c>
      <c r="U246" t="s">
        <v>265</v>
      </c>
      <c r="V246" t="s">
        <v>543</v>
      </c>
      <c r="W246" t="s">
        <v>544</v>
      </c>
      <c r="Y246" t="s">
        <v>270</v>
      </c>
      <c r="Z246" t="str">
        <f t="shared" si="43"/>
        <v>Motor 01</v>
      </c>
      <c r="AA246"/>
      <c r="AD246" s="13" t="s">
        <v>7</v>
      </c>
      <c r="AF246" t="str">
        <f t="shared" si="57"/>
        <v>Electrobomba centrífugaMotor</v>
      </c>
      <c r="AG246" s="28" t="str">
        <f>VLOOKUP(AF246,Imagens!$C$2:$D$42,2,FALSE)</f>
        <v>65d04210323a4</v>
      </c>
      <c r="AH246" t="str">
        <f>_xlfn.CONCAT(Imagens!$H$2,'registo_ativo-CDs (1)'!AG246)</f>
        <v>assets/imagens/products/65d04210323a4</v>
      </c>
      <c r="AI246" s="67">
        <v>45301</v>
      </c>
      <c r="AK246" s="32"/>
    </row>
    <row r="247" spans="1:37" ht="16.8" customHeight="1" x14ac:dyDescent="0.3">
      <c r="A247">
        <f t="shared" si="44"/>
        <v>15</v>
      </c>
      <c r="B247" t="str">
        <f t="shared" si="55"/>
        <v>CD15BBG152QEA01</v>
      </c>
      <c r="C247" t="str">
        <f t="shared" si="56"/>
        <v>CD-BOA-BBG-QEL-QEA-01</v>
      </c>
      <c r="E247" t="s">
        <v>37</v>
      </c>
      <c r="F247" t="s">
        <v>46</v>
      </c>
      <c r="G247" t="s">
        <v>46</v>
      </c>
      <c r="H247" s="14" t="s">
        <v>49</v>
      </c>
      <c r="I247" t="s">
        <v>75</v>
      </c>
      <c r="J247">
        <f>VLOOKUP(H247,ID!$C$3:$D$100,2,FALSE)</f>
        <v>15</v>
      </c>
      <c r="K247" t="s">
        <v>274</v>
      </c>
      <c r="L247" t="str">
        <f>VLOOKUP(K247,Localizacoes!$E$3:$F$100,2,FALSE)</f>
        <v>BBG</v>
      </c>
      <c r="M247" t="str">
        <f>VLOOKUP(K247,ID!$E$3:$F$100,2,FALSE)</f>
        <v>BBG</v>
      </c>
      <c r="N247" t="s">
        <v>286</v>
      </c>
      <c r="O247" t="str">
        <f>VLOOKUP(N247,Localizacoes!$G$3:$H$100,2,FALSE)</f>
        <v>QEL</v>
      </c>
      <c r="P247">
        <f>VLOOKUP(N247,ID!$G$3:$H$100,2,FALSE)</f>
        <v>152</v>
      </c>
      <c r="Q247" t="s">
        <v>154</v>
      </c>
      <c r="R247" t="str">
        <f>VLOOKUP(Q247,Localizacoes!$I$3:$J$100,2,FALSE)</f>
        <v>QEA</v>
      </c>
      <c r="S247" t="str">
        <f>VLOOKUP(Q247,ID!$I$3:$J$100,2,FALSE)</f>
        <v>QEA</v>
      </c>
      <c r="T247" s="4" t="s">
        <v>182</v>
      </c>
      <c r="U247" t="s">
        <v>265</v>
      </c>
      <c r="V247" t="s">
        <v>545</v>
      </c>
      <c r="W247" t="s">
        <v>546</v>
      </c>
      <c r="Y247" t="s">
        <v>270</v>
      </c>
      <c r="Z247" t="str">
        <f t="shared" si="43"/>
        <v>Quadros Eléctricos de Arranque 01</v>
      </c>
      <c r="AA247"/>
      <c r="AD247" s="13" t="s">
        <v>267</v>
      </c>
      <c r="AF247" t="str">
        <f t="shared" si="57"/>
        <v>Quadro EléctricoQuadros Eléctricos de Arranque</v>
      </c>
      <c r="AG247" s="28" t="str">
        <f>VLOOKUP(AF247,Imagens!$C$2:$D$42,2,FALSE)</f>
        <v>65e8d2fa35c12</v>
      </c>
      <c r="AH247" t="str">
        <f>_xlfn.CONCAT(Imagens!$H$2,'registo_ativo-CDs (1)'!AG247)</f>
        <v>assets/imagens/products/65e8d2fa35c12</v>
      </c>
      <c r="AI247" s="67">
        <v>45357</v>
      </c>
      <c r="AK247" s="32"/>
    </row>
    <row r="248" spans="1:37" ht="16.8" customHeight="1" x14ac:dyDescent="0.3">
      <c r="A248">
        <f t="shared" si="44"/>
        <v>15</v>
      </c>
      <c r="B248" t="str">
        <f t="shared" si="55"/>
        <v>CD15BBG131VSU01</v>
      </c>
      <c r="C248" t="str">
        <f t="shared" si="56"/>
        <v>CD-BOA-BBG-EBC-VSU-01</v>
      </c>
      <c r="E248" t="s">
        <v>37</v>
      </c>
      <c r="F248" t="s">
        <v>46</v>
      </c>
      <c r="G248" t="s">
        <v>46</v>
      </c>
      <c r="H248" s="14" t="s">
        <v>49</v>
      </c>
      <c r="I248" t="s">
        <v>75</v>
      </c>
      <c r="J248">
        <f>VLOOKUP(H248,ID!$C$3:$D$100,2,FALSE)</f>
        <v>15</v>
      </c>
      <c r="K248" t="s">
        <v>274</v>
      </c>
      <c r="L248" t="str">
        <f>VLOOKUP(K248,Localizacoes!$E$3:$F$100,2,FALSE)</f>
        <v>BBG</v>
      </c>
      <c r="M248" t="str">
        <f>VLOOKUP(K248,ID!$E$3:$F$100,2,FALSE)</f>
        <v>BBG</v>
      </c>
      <c r="N248" t="s">
        <v>704</v>
      </c>
      <c r="O248" t="str">
        <f>VLOOKUP(N248,Localizacoes!$G$3:$H$100,2,FALSE)</f>
        <v>EBC</v>
      </c>
      <c r="P248">
        <f>VLOOKUP(N248,ID!$G$3:$H$100,2,FALSE)</f>
        <v>131</v>
      </c>
      <c r="Q248" t="s">
        <v>276</v>
      </c>
      <c r="R248" t="str">
        <f>VLOOKUP(Q248,Localizacoes!$I$3:$J$100,2,FALSE)</f>
        <v>VSU</v>
      </c>
      <c r="S248" t="str">
        <f>VLOOKUP(Q248,ID!$I$3:$J$100,2,FALSE)</f>
        <v>VSU</v>
      </c>
      <c r="T248" s="4" t="s">
        <v>182</v>
      </c>
      <c r="U248" t="s">
        <v>264</v>
      </c>
      <c r="X248" t="s">
        <v>6</v>
      </c>
      <c r="Y248" t="s">
        <v>270</v>
      </c>
      <c r="Z248" t="str">
        <f t="shared" si="43"/>
        <v>Válvula Sucção 01</v>
      </c>
      <c r="AA248"/>
      <c r="AD248" s="13" t="s">
        <v>267</v>
      </c>
      <c r="AF248" t="str">
        <f t="shared" si="57"/>
        <v>Electrobomba centrífugaVálvula Sucção</v>
      </c>
      <c r="AG248" s="28" t="str">
        <f>VLOOKUP(AF248,Imagens!$C$2:$D$42,2,FALSE)</f>
        <v>65e8cda0676b7</v>
      </c>
      <c r="AH248" t="str">
        <f>_xlfn.CONCAT(Imagens!$H$2,'registo_ativo-CDs (1)'!AG248)</f>
        <v>assets/imagens/products/65e8cda0676b7</v>
      </c>
      <c r="AI248" s="67">
        <v>45357</v>
      </c>
      <c r="AK248" s="32"/>
    </row>
    <row r="249" spans="1:37" ht="16.8" customHeight="1" x14ac:dyDescent="0.3">
      <c r="A249">
        <f t="shared" si="44"/>
        <v>15</v>
      </c>
      <c r="B249" t="str">
        <f t="shared" si="55"/>
        <v>CD15BBG131VDE01</v>
      </c>
      <c r="C249" t="str">
        <f t="shared" si="56"/>
        <v>CD-BOA-BBG-EBC-VDE-01</v>
      </c>
      <c r="E249" t="s">
        <v>37</v>
      </c>
      <c r="F249" t="s">
        <v>46</v>
      </c>
      <c r="G249" t="s">
        <v>46</v>
      </c>
      <c r="H249" s="14" t="s">
        <v>49</v>
      </c>
      <c r="I249" t="s">
        <v>75</v>
      </c>
      <c r="J249">
        <f>VLOOKUP(H249,ID!$C$3:$D$100,2,FALSE)</f>
        <v>15</v>
      </c>
      <c r="K249" t="s">
        <v>274</v>
      </c>
      <c r="L249" t="str">
        <f>VLOOKUP(K249,Localizacoes!$E$3:$F$100,2,FALSE)</f>
        <v>BBG</v>
      </c>
      <c r="M249" t="str">
        <f>VLOOKUP(K249,ID!$E$3:$F$100,2,FALSE)</f>
        <v>BBG</v>
      </c>
      <c r="N249" t="s">
        <v>704</v>
      </c>
      <c r="O249" t="str">
        <f>VLOOKUP(N249,Localizacoes!$G$3:$H$100,2,FALSE)</f>
        <v>EBC</v>
      </c>
      <c r="P249">
        <f>VLOOKUP(N249,ID!$G$3:$H$100,2,FALSE)</f>
        <v>131</v>
      </c>
      <c r="Q249" t="s">
        <v>279</v>
      </c>
      <c r="R249" t="str">
        <f>VLOOKUP(Q249,Localizacoes!$I$3:$J$100,2,FALSE)</f>
        <v>VDE</v>
      </c>
      <c r="S249" t="str">
        <f>VLOOKUP(Q249,ID!$I$3:$J$100,2,FALSE)</f>
        <v>VDE</v>
      </c>
      <c r="T249" s="4" t="s">
        <v>182</v>
      </c>
      <c r="U249" t="s">
        <v>264</v>
      </c>
      <c r="Y249" t="s">
        <v>270</v>
      </c>
      <c r="Z249" t="str">
        <f t="shared" si="43"/>
        <v>Válvula Descarga 01</v>
      </c>
      <c r="AA249"/>
      <c r="AD249" s="13" t="s">
        <v>267</v>
      </c>
      <c r="AF249" t="str">
        <f t="shared" si="57"/>
        <v>Electrobomba centrífugaVálvula Descarga</v>
      </c>
      <c r="AG249" s="28" t="str">
        <f>VLOOKUP(AF249,Imagens!$C$2:$D$42,2,FALSE)</f>
        <v>65e8cda0676b7</v>
      </c>
      <c r="AH249" t="str">
        <f>_xlfn.CONCAT(Imagens!$H$2,'registo_ativo-CDs (1)'!AG249)</f>
        <v>assets/imagens/products/65e8cda0676b7</v>
      </c>
      <c r="AI249" s="67">
        <v>45357</v>
      </c>
      <c r="AK249" s="32"/>
    </row>
    <row r="250" spans="1:37" ht="16.8" customHeight="1" x14ac:dyDescent="0.3">
      <c r="A250">
        <f t="shared" si="44"/>
        <v>15</v>
      </c>
      <c r="B250" t="str">
        <f t="shared" si="55"/>
        <v>CD15BBG131BOM02</v>
      </c>
      <c r="C250" t="str">
        <f t="shared" si="56"/>
        <v>CD-BOA-BBG-EBC-BOM-02</v>
      </c>
      <c r="E250" t="s">
        <v>37</v>
      </c>
      <c r="F250" t="s">
        <v>46</v>
      </c>
      <c r="G250" t="s">
        <v>46</v>
      </c>
      <c r="H250" s="14" t="s">
        <v>49</v>
      </c>
      <c r="I250" t="s">
        <v>75</v>
      </c>
      <c r="J250">
        <f>VLOOKUP(H250,ID!$C$3:$D$100,2,FALSE)</f>
        <v>15</v>
      </c>
      <c r="K250" t="s">
        <v>274</v>
      </c>
      <c r="L250" t="str">
        <f>VLOOKUP(K250,Localizacoes!$E$3:$F$100,2,FALSE)</f>
        <v>BBG</v>
      </c>
      <c r="M250" t="str">
        <f>VLOOKUP(K250,ID!$E$3:$F$100,2,FALSE)</f>
        <v>BBG</v>
      </c>
      <c r="N250" t="s">
        <v>704</v>
      </c>
      <c r="O250" t="str">
        <f>VLOOKUP(N250,Localizacoes!$G$3:$H$100,2,FALSE)</f>
        <v>EBC</v>
      </c>
      <c r="P250">
        <f>VLOOKUP(N250,ID!$G$3:$H$100,2,FALSE)</f>
        <v>131</v>
      </c>
      <c r="Q250" t="s">
        <v>150</v>
      </c>
      <c r="R250" t="str">
        <f>VLOOKUP(Q250,Localizacoes!$I$3:$J$100,2,FALSE)</f>
        <v>BOM</v>
      </c>
      <c r="S250" t="str">
        <f>VLOOKUP(Q250,ID!$I$3:$J$100,2,FALSE)</f>
        <v>BOM</v>
      </c>
      <c r="T250" s="4" t="s">
        <v>186</v>
      </c>
      <c r="U250" t="s">
        <v>264</v>
      </c>
      <c r="V250" t="s">
        <v>392</v>
      </c>
      <c r="W250" t="s">
        <v>542</v>
      </c>
      <c r="Y250" t="s">
        <v>270</v>
      </c>
      <c r="Z250" t="str">
        <f t="shared" si="43"/>
        <v>Bomba 02</v>
      </c>
      <c r="AA250"/>
      <c r="AD250" s="13" t="s">
        <v>7</v>
      </c>
      <c r="AF250" t="str">
        <f t="shared" si="57"/>
        <v>Electrobomba centrífugaBomba</v>
      </c>
      <c r="AG250" s="28" t="str">
        <f>VLOOKUP(AF250,Imagens!$C$2:$D$42,2,FALSE)</f>
        <v>65e96125c1d11</v>
      </c>
      <c r="AH250" t="str">
        <f>_xlfn.CONCAT(Imagens!$H$2,'registo_ativo-CDs (1)'!AG250)</f>
        <v>assets/imagens/products/65e96125c1d11</v>
      </c>
      <c r="AI250" s="67">
        <v>45301</v>
      </c>
      <c r="AK250" s="32"/>
    </row>
    <row r="251" spans="1:37" ht="16.8" customHeight="1" x14ac:dyDescent="0.3">
      <c r="A251">
        <f t="shared" si="44"/>
        <v>15</v>
      </c>
      <c r="B251" t="str">
        <f t="shared" si="55"/>
        <v>CD15BBG131MOT02</v>
      </c>
      <c r="C251" t="str">
        <f t="shared" si="56"/>
        <v>CD-BOA-BBG-EBC-MOT-02</v>
      </c>
      <c r="E251" t="s">
        <v>37</v>
      </c>
      <c r="F251" t="s">
        <v>46</v>
      </c>
      <c r="G251" t="s">
        <v>46</v>
      </c>
      <c r="H251" s="14" t="s">
        <v>49</v>
      </c>
      <c r="I251" t="s">
        <v>75</v>
      </c>
      <c r="J251">
        <f>VLOOKUP(H251,ID!$C$3:$D$100,2,FALSE)</f>
        <v>15</v>
      </c>
      <c r="K251" t="s">
        <v>274</v>
      </c>
      <c r="L251" t="str">
        <f>VLOOKUP(K251,Localizacoes!$E$3:$F$100,2,FALSE)</f>
        <v>BBG</v>
      </c>
      <c r="M251" t="str">
        <f>VLOOKUP(K251,ID!$E$3:$F$100,2,FALSE)</f>
        <v>BBG</v>
      </c>
      <c r="N251" t="s">
        <v>704</v>
      </c>
      <c r="O251" t="str">
        <f>VLOOKUP(N251,Localizacoes!$G$3:$H$100,2,FALSE)</f>
        <v>EBC</v>
      </c>
      <c r="P251">
        <f>VLOOKUP(N251,ID!$G$3:$H$100,2,FALSE)</f>
        <v>131</v>
      </c>
      <c r="Q251" t="s">
        <v>21</v>
      </c>
      <c r="R251" t="str">
        <f>VLOOKUP(Q251,Localizacoes!$I$3:$J$100,2,FALSE)</f>
        <v>MOT</v>
      </c>
      <c r="S251" t="str">
        <f>VLOOKUP(Q251,ID!$I$3:$J$100,2,FALSE)</f>
        <v>MOT</v>
      </c>
      <c r="T251" s="4" t="s">
        <v>186</v>
      </c>
      <c r="U251" t="s">
        <v>265</v>
      </c>
      <c r="V251" t="s">
        <v>543</v>
      </c>
      <c r="W251" t="s">
        <v>544</v>
      </c>
      <c r="Y251" t="s">
        <v>270</v>
      </c>
      <c r="Z251" t="str">
        <f t="shared" si="43"/>
        <v>Motor 02</v>
      </c>
      <c r="AA251"/>
      <c r="AD251" s="13" t="s">
        <v>7</v>
      </c>
      <c r="AF251" t="str">
        <f t="shared" si="57"/>
        <v>Electrobomba centrífugaMotor</v>
      </c>
      <c r="AG251" s="28" t="str">
        <f>VLOOKUP(AF251,Imagens!$C$2:$D$42,2,FALSE)</f>
        <v>65d04210323a4</v>
      </c>
      <c r="AH251" t="str">
        <f>_xlfn.CONCAT(Imagens!$H$2,'registo_ativo-CDs (1)'!AG251)</f>
        <v>assets/imagens/products/65d04210323a4</v>
      </c>
      <c r="AI251" s="67">
        <v>45301</v>
      </c>
      <c r="AK251" s="32"/>
    </row>
    <row r="252" spans="1:37" ht="16.8" customHeight="1" x14ac:dyDescent="0.3">
      <c r="A252">
        <f t="shared" si="44"/>
        <v>15</v>
      </c>
      <c r="B252" t="str">
        <f t="shared" si="55"/>
        <v>CD15BBG152QEA02</v>
      </c>
      <c r="C252" t="str">
        <f t="shared" si="56"/>
        <v>CD-BOA-BBG-QEL-QEA-02</v>
      </c>
      <c r="E252" t="s">
        <v>37</v>
      </c>
      <c r="F252" t="s">
        <v>46</v>
      </c>
      <c r="G252" t="s">
        <v>46</v>
      </c>
      <c r="H252" s="14" t="s">
        <v>49</v>
      </c>
      <c r="I252" t="s">
        <v>75</v>
      </c>
      <c r="J252">
        <f>VLOOKUP(H252,ID!$C$3:$D$100,2,FALSE)</f>
        <v>15</v>
      </c>
      <c r="K252" t="s">
        <v>274</v>
      </c>
      <c r="L252" t="str">
        <f>VLOOKUP(K252,Localizacoes!$E$3:$F$100,2,FALSE)</f>
        <v>BBG</v>
      </c>
      <c r="M252" t="str">
        <f>VLOOKUP(K252,ID!$E$3:$F$100,2,FALSE)</f>
        <v>BBG</v>
      </c>
      <c r="N252" t="s">
        <v>286</v>
      </c>
      <c r="O252" t="str">
        <f>VLOOKUP(N252,Localizacoes!$G$3:$H$100,2,FALSE)</f>
        <v>QEL</v>
      </c>
      <c r="P252">
        <f>VLOOKUP(N252,ID!$G$3:$H$100,2,FALSE)</f>
        <v>152</v>
      </c>
      <c r="Q252" t="s">
        <v>154</v>
      </c>
      <c r="R252" t="str">
        <f>VLOOKUP(Q252,Localizacoes!$I$3:$J$100,2,FALSE)</f>
        <v>QEA</v>
      </c>
      <c r="S252" t="str">
        <f>VLOOKUP(Q252,ID!$I$3:$J$100,2,FALSE)</f>
        <v>QEA</v>
      </c>
      <c r="T252" s="4" t="s">
        <v>186</v>
      </c>
      <c r="U252" t="s">
        <v>265</v>
      </c>
      <c r="V252" t="s">
        <v>545</v>
      </c>
      <c r="W252" t="s">
        <v>546</v>
      </c>
      <c r="X252" t="s">
        <v>273</v>
      </c>
      <c r="Y252" t="s">
        <v>270</v>
      </c>
      <c r="Z252" t="str">
        <f t="shared" si="43"/>
        <v>Quadros Eléctricos de Arranque 02</v>
      </c>
      <c r="AA252"/>
      <c r="AD252" s="13" t="s">
        <v>267</v>
      </c>
      <c r="AF252" t="str">
        <f t="shared" si="57"/>
        <v>Quadro EléctricoQuadros Eléctricos de Arranque</v>
      </c>
      <c r="AG252" s="28" t="str">
        <f>VLOOKUP(AF252,Imagens!$C$2:$D$42,2,FALSE)</f>
        <v>65e8d2fa35c12</v>
      </c>
      <c r="AH252" t="str">
        <f>_xlfn.CONCAT(Imagens!$H$2,'registo_ativo-CDs (1)'!AG252)</f>
        <v>assets/imagens/products/65e8d2fa35c12</v>
      </c>
      <c r="AI252" s="67">
        <v>45357</v>
      </c>
      <c r="AK252" s="32"/>
    </row>
    <row r="253" spans="1:37" ht="16.8" customHeight="1" x14ac:dyDescent="0.3">
      <c r="A253">
        <f t="shared" si="44"/>
        <v>15</v>
      </c>
      <c r="B253" t="str">
        <f t="shared" si="55"/>
        <v>CD15BBG131VSU02</v>
      </c>
      <c r="C253" t="str">
        <f t="shared" si="56"/>
        <v>CD-BOA-BBG-EBC-VSU-02</v>
      </c>
      <c r="E253" t="s">
        <v>37</v>
      </c>
      <c r="F253" t="s">
        <v>46</v>
      </c>
      <c r="G253" t="s">
        <v>46</v>
      </c>
      <c r="H253" s="14" t="s">
        <v>49</v>
      </c>
      <c r="I253" t="s">
        <v>75</v>
      </c>
      <c r="J253">
        <f>VLOOKUP(H253,ID!$C$3:$D$100,2,FALSE)</f>
        <v>15</v>
      </c>
      <c r="K253" t="s">
        <v>274</v>
      </c>
      <c r="L253" t="str">
        <f>VLOOKUP(K253,Localizacoes!$E$3:$F$100,2,FALSE)</f>
        <v>BBG</v>
      </c>
      <c r="M253" t="str">
        <f>VLOOKUP(K253,ID!$E$3:$F$100,2,FALSE)</f>
        <v>BBG</v>
      </c>
      <c r="N253" t="s">
        <v>704</v>
      </c>
      <c r="O253" t="str">
        <f>VLOOKUP(N253,Localizacoes!$G$3:$H$100,2,FALSE)</f>
        <v>EBC</v>
      </c>
      <c r="P253">
        <f>VLOOKUP(N253,ID!$G$3:$H$100,2,FALSE)</f>
        <v>131</v>
      </c>
      <c r="Q253" t="s">
        <v>276</v>
      </c>
      <c r="R253" t="str">
        <f>VLOOKUP(Q253,Localizacoes!$I$3:$J$100,2,FALSE)</f>
        <v>VSU</v>
      </c>
      <c r="S253" t="str">
        <f>VLOOKUP(Q253,ID!$I$3:$J$100,2,FALSE)</f>
        <v>VSU</v>
      </c>
      <c r="T253" s="4" t="s">
        <v>186</v>
      </c>
      <c r="U253" t="s">
        <v>264</v>
      </c>
      <c r="Y253" t="s">
        <v>270</v>
      </c>
      <c r="Z253" t="str">
        <f t="shared" si="43"/>
        <v>Válvula Sucção 02</v>
      </c>
      <c r="AA253"/>
      <c r="AD253" s="13" t="s">
        <v>267</v>
      </c>
      <c r="AF253" t="str">
        <f t="shared" si="57"/>
        <v>Electrobomba centrífugaVálvula Sucção</v>
      </c>
      <c r="AG253" s="28" t="str">
        <f>VLOOKUP(AF253,Imagens!$C$2:$D$42,2,FALSE)</f>
        <v>65e8cda0676b7</v>
      </c>
      <c r="AH253" t="str">
        <f>_xlfn.CONCAT(Imagens!$H$2,'registo_ativo-CDs (1)'!AG253)</f>
        <v>assets/imagens/products/65e8cda0676b7</v>
      </c>
      <c r="AI253" s="67">
        <v>45357</v>
      </c>
      <c r="AK253" s="32"/>
    </row>
    <row r="254" spans="1:37" ht="16.8" customHeight="1" x14ac:dyDescent="0.3">
      <c r="A254">
        <f t="shared" si="44"/>
        <v>15</v>
      </c>
      <c r="B254" t="str">
        <f t="shared" si="55"/>
        <v>CD15BBG131VDE02</v>
      </c>
      <c r="C254" t="str">
        <f t="shared" si="56"/>
        <v>CD-BOA-BBG-EBC-VDE-02</v>
      </c>
      <c r="E254" t="s">
        <v>37</v>
      </c>
      <c r="F254" t="s">
        <v>46</v>
      </c>
      <c r="G254" t="s">
        <v>46</v>
      </c>
      <c r="H254" s="14" t="s">
        <v>49</v>
      </c>
      <c r="I254" t="s">
        <v>75</v>
      </c>
      <c r="J254">
        <f>VLOOKUP(H254,ID!$C$3:$D$100,2,FALSE)</f>
        <v>15</v>
      </c>
      <c r="K254" t="s">
        <v>274</v>
      </c>
      <c r="L254" t="str">
        <f>VLOOKUP(K254,Localizacoes!$E$3:$F$100,2,FALSE)</f>
        <v>BBG</v>
      </c>
      <c r="M254" t="str">
        <f>VLOOKUP(K254,ID!$E$3:$F$100,2,FALSE)</f>
        <v>BBG</v>
      </c>
      <c r="N254" t="s">
        <v>704</v>
      </c>
      <c r="O254" t="str">
        <f>VLOOKUP(N254,Localizacoes!$G$3:$H$100,2,FALSE)</f>
        <v>EBC</v>
      </c>
      <c r="P254">
        <f>VLOOKUP(N254,ID!$G$3:$H$100,2,FALSE)</f>
        <v>131</v>
      </c>
      <c r="Q254" t="s">
        <v>279</v>
      </c>
      <c r="R254" t="str">
        <f>VLOOKUP(Q254,Localizacoes!$I$3:$J$100,2,FALSE)</f>
        <v>VDE</v>
      </c>
      <c r="S254" t="str">
        <f>VLOOKUP(Q254,ID!$I$3:$J$100,2,FALSE)</f>
        <v>VDE</v>
      </c>
      <c r="T254" s="4" t="s">
        <v>186</v>
      </c>
      <c r="U254" t="s">
        <v>264</v>
      </c>
      <c r="Y254" t="s">
        <v>271</v>
      </c>
      <c r="Z254" t="str">
        <f t="shared" si="43"/>
        <v>Válvula Descarga 02</v>
      </c>
      <c r="AA254"/>
      <c r="AD254" s="13" t="s">
        <v>267</v>
      </c>
      <c r="AF254" t="str">
        <f t="shared" si="57"/>
        <v>Electrobomba centrífugaVálvula Descarga</v>
      </c>
      <c r="AG254" s="28" t="str">
        <f>VLOOKUP(AF254,Imagens!$C$2:$D$42,2,FALSE)</f>
        <v>65e8cda0676b7</v>
      </c>
      <c r="AH254" t="str">
        <f>_xlfn.CONCAT(Imagens!$H$2,'registo_ativo-CDs (1)'!AG254)</f>
        <v>assets/imagens/products/65e8cda0676b7</v>
      </c>
      <c r="AI254" s="67">
        <v>45357</v>
      </c>
      <c r="AK254" s="32"/>
    </row>
    <row r="255" spans="1:37" ht="16.8" customHeight="1" x14ac:dyDescent="0.3">
      <c r="A255">
        <f t="shared" si="44"/>
        <v>15</v>
      </c>
      <c r="B255" t="str">
        <f t="shared" si="55"/>
        <v>CD15BBG131BOM03</v>
      </c>
      <c r="C255" t="str">
        <f t="shared" si="56"/>
        <v>CD-BOA-BBG-EBC-BOM-03</v>
      </c>
      <c r="E255" t="s">
        <v>37</v>
      </c>
      <c r="F255" t="s">
        <v>46</v>
      </c>
      <c r="G255" t="s">
        <v>46</v>
      </c>
      <c r="H255" s="14" t="s">
        <v>49</v>
      </c>
      <c r="I255" t="s">
        <v>75</v>
      </c>
      <c r="J255">
        <f>VLOOKUP(H255,ID!$C$3:$D$100,2,FALSE)</f>
        <v>15</v>
      </c>
      <c r="K255" t="s">
        <v>274</v>
      </c>
      <c r="L255" t="str">
        <f>VLOOKUP(K255,Localizacoes!$E$3:$F$100,2,FALSE)</f>
        <v>BBG</v>
      </c>
      <c r="M255" t="str">
        <f>VLOOKUP(K255,ID!$E$3:$F$100,2,FALSE)</f>
        <v>BBG</v>
      </c>
      <c r="N255" t="s">
        <v>704</v>
      </c>
      <c r="O255" t="str">
        <f>VLOOKUP(N255,Localizacoes!$G$3:$H$100,2,FALSE)</f>
        <v>EBC</v>
      </c>
      <c r="P255">
        <f>VLOOKUP(N255,ID!$G$3:$H$100,2,FALSE)</f>
        <v>131</v>
      </c>
      <c r="Q255" t="s">
        <v>150</v>
      </c>
      <c r="R255" t="str">
        <f>VLOOKUP(Q255,Localizacoes!$I$3:$J$100,2,FALSE)</f>
        <v>BOM</v>
      </c>
      <c r="S255" t="str">
        <f>VLOOKUP(Q255,ID!$I$3:$J$100,2,FALSE)</f>
        <v>BOM</v>
      </c>
      <c r="T255" s="4" t="s">
        <v>187</v>
      </c>
      <c r="U255" t="s">
        <v>264</v>
      </c>
      <c r="V255" t="s">
        <v>392</v>
      </c>
      <c r="W255" t="s">
        <v>542</v>
      </c>
      <c r="Y255" t="s">
        <v>270</v>
      </c>
      <c r="Z255" t="str">
        <f t="shared" si="43"/>
        <v>Bomba 03</v>
      </c>
      <c r="AA255"/>
      <c r="AD255" s="13" t="s">
        <v>7</v>
      </c>
      <c r="AF255" t="str">
        <f t="shared" si="57"/>
        <v>Electrobomba centrífugaBomba</v>
      </c>
      <c r="AG255" s="28" t="str">
        <f>VLOOKUP(AF255,Imagens!$C$2:$D$42,2,FALSE)</f>
        <v>65e96125c1d11</v>
      </c>
      <c r="AH255" t="str">
        <f>_xlfn.CONCAT(Imagens!$H$2,'registo_ativo-CDs (1)'!AG255)</f>
        <v>assets/imagens/products/65e96125c1d11</v>
      </c>
      <c r="AI255" s="67">
        <v>45301</v>
      </c>
      <c r="AK255" s="32"/>
    </row>
    <row r="256" spans="1:37" ht="16.8" customHeight="1" x14ac:dyDescent="0.3">
      <c r="A256">
        <f t="shared" si="44"/>
        <v>15</v>
      </c>
      <c r="B256" t="str">
        <f t="shared" si="55"/>
        <v>CD15BBG131MOT03</v>
      </c>
      <c r="C256" t="str">
        <f t="shared" si="56"/>
        <v>CD-BOA-BBG-EBC-MOT-03</v>
      </c>
      <c r="E256" t="s">
        <v>37</v>
      </c>
      <c r="F256" t="s">
        <v>46</v>
      </c>
      <c r="G256" t="s">
        <v>46</v>
      </c>
      <c r="H256" s="14" t="s">
        <v>49</v>
      </c>
      <c r="I256" t="s">
        <v>75</v>
      </c>
      <c r="J256">
        <f>VLOOKUP(H256,ID!$C$3:$D$100,2,FALSE)</f>
        <v>15</v>
      </c>
      <c r="K256" t="s">
        <v>274</v>
      </c>
      <c r="L256" t="str">
        <f>VLOOKUP(K256,Localizacoes!$E$3:$F$100,2,FALSE)</f>
        <v>BBG</v>
      </c>
      <c r="M256" t="str">
        <f>VLOOKUP(K256,ID!$E$3:$F$100,2,FALSE)</f>
        <v>BBG</v>
      </c>
      <c r="N256" t="s">
        <v>704</v>
      </c>
      <c r="O256" t="str">
        <f>VLOOKUP(N256,Localizacoes!$G$3:$H$100,2,FALSE)</f>
        <v>EBC</v>
      </c>
      <c r="P256">
        <f>VLOOKUP(N256,ID!$G$3:$H$100,2,FALSE)</f>
        <v>131</v>
      </c>
      <c r="Q256" t="s">
        <v>21</v>
      </c>
      <c r="R256" t="str">
        <f>VLOOKUP(Q256,Localizacoes!$I$3:$J$100,2,FALSE)</f>
        <v>MOT</v>
      </c>
      <c r="S256" t="str">
        <f>VLOOKUP(Q256,ID!$I$3:$J$100,2,FALSE)</f>
        <v>MOT</v>
      </c>
      <c r="T256" s="4" t="s">
        <v>187</v>
      </c>
      <c r="U256" t="s">
        <v>265</v>
      </c>
      <c r="V256" t="s">
        <v>543</v>
      </c>
      <c r="W256" t="s">
        <v>544</v>
      </c>
      <c r="X256" t="s">
        <v>273</v>
      </c>
      <c r="Y256" t="s">
        <v>270</v>
      </c>
      <c r="Z256" t="str">
        <f t="shared" si="43"/>
        <v>Motor 03</v>
      </c>
      <c r="AA256"/>
      <c r="AD256" s="13" t="s">
        <v>7</v>
      </c>
      <c r="AF256" t="str">
        <f t="shared" si="57"/>
        <v>Electrobomba centrífugaMotor</v>
      </c>
      <c r="AG256" s="28" t="str">
        <f>VLOOKUP(AF256,Imagens!$C$2:$D$42,2,FALSE)</f>
        <v>65d04210323a4</v>
      </c>
      <c r="AH256" t="str">
        <f>_xlfn.CONCAT(Imagens!$H$2,'registo_ativo-CDs (1)'!AG256)</f>
        <v>assets/imagens/products/65d04210323a4</v>
      </c>
      <c r="AI256" s="67">
        <v>45301</v>
      </c>
      <c r="AK256" s="32"/>
    </row>
    <row r="257" spans="1:37" ht="16.8" customHeight="1" x14ac:dyDescent="0.3">
      <c r="A257">
        <f t="shared" si="44"/>
        <v>15</v>
      </c>
      <c r="B257" t="str">
        <f t="shared" si="55"/>
        <v>CD15BBG152QEA03</v>
      </c>
      <c r="C257" t="str">
        <f t="shared" si="56"/>
        <v>CD-BOA-BBG-QEL-QEA-03</v>
      </c>
      <c r="E257" t="s">
        <v>37</v>
      </c>
      <c r="F257" t="s">
        <v>46</v>
      </c>
      <c r="G257" t="s">
        <v>46</v>
      </c>
      <c r="H257" s="14" t="s">
        <v>49</v>
      </c>
      <c r="I257" t="s">
        <v>75</v>
      </c>
      <c r="J257">
        <f>VLOOKUP(H257,ID!$C$3:$D$100,2,FALSE)</f>
        <v>15</v>
      </c>
      <c r="K257" t="s">
        <v>274</v>
      </c>
      <c r="L257" t="str">
        <f>VLOOKUP(K257,Localizacoes!$E$3:$F$100,2,FALSE)</f>
        <v>BBG</v>
      </c>
      <c r="M257" t="str">
        <f>VLOOKUP(K257,ID!$E$3:$F$100,2,FALSE)</f>
        <v>BBG</v>
      </c>
      <c r="N257" t="s">
        <v>286</v>
      </c>
      <c r="O257" t="str">
        <f>VLOOKUP(N257,Localizacoes!$G$3:$H$100,2,FALSE)</f>
        <v>QEL</v>
      </c>
      <c r="P257">
        <f>VLOOKUP(N257,ID!$G$3:$H$100,2,FALSE)</f>
        <v>152</v>
      </c>
      <c r="Q257" t="s">
        <v>154</v>
      </c>
      <c r="R257" t="str">
        <f>VLOOKUP(Q257,Localizacoes!$I$3:$J$100,2,FALSE)</f>
        <v>QEA</v>
      </c>
      <c r="S257" t="str">
        <f>VLOOKUP(Q257,ID!$I$3:$J$100,2,FALSE)</f>
        <v>QEA</v>
      </c>
      <c r="T257" s="4" t="s">
        <v>187</v>
      </c>
      <c r="U257" t="s">
        <v>265</v>
      </c>
      <c r="V257" t="s">
        <v>545</v>
      </c>
      <c r="W257" t="s">
        <v>546</v>
      </c>
      <c r="Y257" t="s">
        <v>270</v>
      </c>
      <c r="Z257" t="str">
        <f t="shared" si="43"/>
        <v>Quadros Eléctricos de Arranque 03</v>
      </c>
      <c r="AA257"/>
      <c r="AD257" s="13" t="s">
        <v>267</v>
      </c>
      <c r="AF257" t="str">
        <f t="shared" si="57"/>
        <v>Quadro EléctricoQuadros Eléctricos de Arranque</v>
      </c>
      <c r="AG257" s="28" t="str">
        <f>VLOOKUP(AF257,Imagens!$C$2:$D$42,2,FALSE)</f>
        <v>65e8d2fa35c12</v>
      </c>
      <c r="AH257" t="str">
        <f>_xlfn.CONCAT(Imagens!$H$2,'registo_ativo-CDs (1)'!AG257)</f>
        <v>assets/imagens/products/65e8d2fa35c12</v>
      </c>
      <c r="AI257" s="67">
        <v>45357</v>
      </c>
      <c r="AK257" s="32"/>
    </row>
    <row r="258" spans="1:37" ht="16.8" customHeight="1" x14ac:dyDescent="0.3">
      <c r="A258">
        <f t="shared" si="44"/>
        <v>15</v>
      </c>
      <c r="B258" t="str">
        <f t="shared" si="55"/>
        <v>CD15BBG131VSU03</v>
      </c>
      <c r="C258" t="str">
        <f t="shared" si="56"/>
        <v>CD-BOA-BBG-EBC-VSU-03</v>
      </c>
      <c r="E258" t="s">
        <v>37</v>
      </c>
      <c r="F258" t="s">
        <v>46</v>
      </c>
      <c r="G258" t="s">
        <v>46</v>
      </c>
      <c r="H258" s="14" t="s">
        <v>49</v>
      </c>
      <c r="I258" t="s">
        <v>75</v>
      </c>
      <c r="J258">
        <f>VLOOKUP(H258,ID!$C$3:$D$100,2,FALSE)</f>
        <v>15</v>
      </c>
      <c r="K258" t="s">
        <v>274</v>
      </c>
      <c r="L258" t="str">
        <f>VLOOKUP(K258,Localizacoes!$E$3:$F$100,2,FALSE)</f>
        <v>BBG</v>
      </c>
      <c r="M258" t="str">
        <f>VLOOKUP(K258,ID!$E$3:$F$100,2,FALSE)</f>
        <v>BBG</v>
      </c>
      <c r="N258" t="s">
        <v>704</v>
      </c>
      <c r="O258" t="str">
        <f>VLOOKUP(N258,Localizacoes!$G$3:$H$100,2,FALSE)</f>
        <v>EBC</v>
      </c>
      <c r="P258">
        <f>VLOOKUP(N258,ID!$G$3:$H$100,2,FALSE)</f>
        <v>131</v>
      </c>
      <c r="Q258" t="s">
        <v>276</v>
      </c>
      <c r="R258" t="str">
        <f>VLOOKUP(Q258,Localizacoes!$I$3:$J$100,2,FALSE)</f>
        <v>VSU</v>
      </c>
      <c r="S258" t="str">
        <f>VLOOKUP(Q258,ID!$I$3:$J$100,2,FALSE)</f>
        <v>VSU</v>
      </c>
      <c r="T258" s="4" t="s">
        <v>187</v>
      </c>
      <c r="U258" t="s">
        <v>264</v>
      </c>
      <c r="Y258" t="s">
        <v>270</v>
      </c>
      <c r="Z258" t="str">
        <f t="shared" si="43"/>
        <v>Válvula Sucção 03</v>
      </c>
      <c r="AA258"/>
      <c r="AD258" s="13" t="s">
        <v>267</v>
      </c>
      <c r="AF258" t="str">
        <f t="shared" si="57"/>
        <v>Electrobomba centrífugaVálvula Sucção</v>
      </c>
      <c r="AG258" s="28" t="str">
        <f>VLOOKUP(AF258,Imagens!$C$2:$D$42,2,FALSE)</f>
        <v>65e8cda0676b7</v>
      </c>
      <c r="AH258" t="str">
        <f>_xlfn.CONCAT(Imagens!$H$2,'registo_ativo-CDs (1)'!AG258)</f>
        <v>assets/imagens/products/65e8cda0676b7</v>
      </c>
      <c r="AI258" s="67">
        <v>45357</v>
      </c>
      <c r="AK258" s="32"/>
    </row>
    <row r="259" spans="1:37" ht="16.8" customHeight="1" x14ac:dyDescent="0.3">
      <c r="A259">
        <f t="shared" si="44"/>
        <v>15</v>
      </c>
      <c r="B259" t="str">
        <f t="shared" si="55"/>
        <v>CD15BBG131VDE03</v>
      </c>
      <c r="C259" t="str">
        <f t="shared" si="56"/>
        <v>CD-BOA-BBG-EBC-VDE-03</v>
      </c>
      <c r="E259" t="s">
        <v>37</v>
      </c>
      <c r="F259" t="s">
        <v>46</v>
      </c>
      <c r="G259" t="s">
        <v>46</v>
      </c>
      <c r="H259" s="14" t="s">
        <v>49</v>
      </c>
      <c r="I259" t="s">
        <v>75</v>
      </c>
      <c r="J259">
        <f>VLOOKUP(H259,ID!$C$3:$D$100,2,FALSE)</f>
        <v>15</v>
      </c>
      <c r="K259" t="s">
        <v>274</v>
      </c>
      <c r="L259" t="str">
        <f>VLOOKUP(K259,Localizacoes!$E$3:$F$100,2,FALSE)</f>
        <v>BBG</v>
      </c>
      <c r="M259" t="str">
        <f>VLOOKUP(K259,ID!$E$3:$F$100,2,FALSE)</f>
        <v>BBG</v>
      </c>
      <c r="N259" t="s">
        <v>704</v>
      </c>
      <c r="O259" t="str">
        <f>VLOOKUP(N259,Localizacoes!$G$3:$H$100,2,FALSE)</f>
        <v>EBC</v>
      </c>
      <c r="P259">
        <f>VLOOKUP(N259,ID!$G$3:$H$100,2,FALSE)</f>
        <v>131</v>
      </c>
      <c r="Q259" t="s">
        <v>279</v>
      </c>
      <c r="R259" t="str">
        <f>VLOOKUP(Q259,Localizacoes!$I$3:$J$100,2,FALSE)</f>
        <v>VDE</v>
      </c>
      <c r="S259" t="str">
        <f>VLOOKUP(Q259,ID!$I$3:$J$100,2,FALSE)</f>
        <v>VDE</v>
      </c>
      <c r="T259" s="4" t="s">
        <v>187</v>
      </c>
      <c r="U259" t="s">
        <v>264</v>
      </c>
      <c r="X259" t="s">
        <v>6</v>
      </c>
      <c r="Y259" t="s">
        <v>270</v>
      </c>
      <c r="Z259" t="str">
        <f t="shared" si="43"/>
        <v>Válvula Descarga 03</v>
      </c>
      <c r="AA259"/>
      <c r="AD259" s="13" t="s">
        <v>267</v>
      </c>
      <c r="AF259" t="str">
        <f t="shared" si="57"/>
        <v>Electrobomba centrífugaVálvula Descarga</v>
      </c>
      <c r="AG259" s="28" t="str">
        <f>VLOOKUP(AF259,Imagens!$C$2:$D$42,2,FALSE)</f>
        <v>65e8cda0676b7</v>
      </c>
      <c r="AH259" t="str">
        <f>_xlfn.CONCAT(Imagens!$H$2,'registo_ativo-CDs (1)'!AG259)</f>
        <v>assets/imagens/products/65e8cda0676b7</v>
      </c>
      <c r="AI259" s="67">
        <v>45357</v>
      </c>
      <c r="AK259" s="32"/>
    </row>
    <row r="260" spans="1:37" ht="16.8" customHeight="1" x14ac:dyDescent="0.3">
      <c r="A260">
        <f t="shared" si="44"/>
        <v>15</v>
      </c>
      <c r="B260" t="str">
        <f t="shared" si="55"/>
        <v>CD15BBG152QBT01</v>
      </c>
      <c r="C260" t="str">
        <f t="shared" si="56"/>
        <v>CD-BOA-BBG-QEL-QBT-01</v>
      </c>
      <c r="E260" t="s">
        <v>37</v>
      </c>
      <c r="F260" t="s">
        <v>46</v>
      </c>
      <c r="G260" t="s">
        <v>46</v>
      </c>
      <c r="H260" s="14" t="s">
        <v>49</v>
      </c>
      <c r="I260" t="s">
        <v>75</v>
      </c>
      <c r="J260">
        <f>VLOOKUP(H260,ID!$C$3:$D$100,2,FALSE)</f>
        <v>15</v>
      </c>
      <c r="K260" t="s">
        <v>274</v>
      </c>
      <c r="L260" t="str">
        <f>VLOOKUP(K260,Localizacoes!$E$3:$F$100,2,FALSE)</f>
        <v>BBG</v>
      </c>
      <c r="M260" t="str">
        <f>VLOOKUP(K260,ID!$E$3:$F$100,2,FALSE)</f>
        <v>BBG</v>
      </c>
      <c r="N260" t="s">
        <v>286</v>
      </c>
      <c r="O260" t="str">
        <f>VLOOKUP(N260,Localizacoes!$G$3:$H$100,2,FALSE)</f>
        <v>QEL</v>
      </c>
      <c r="P260">
        <f>VLOOKUP(N260,ID!$G$3:$H$100,2,FALSE)</f>
        <v>152</v>
      </c>
      <c r="Q260" t="s">
        <v>443</v>
      </c>
      <c r="R260" t="str">
        <f>VLOOKUP(Q260,Localizacoes!$I$3:$J$100,2,FALSE)</f>
        <v>QBT</v>
      </c>
      <c r="S260" t="str">
        <f>VLOOKUP(Q260,ID!$I$3:$J$100,2,FALSE)</f>
        <v>QBT</v>
      </c>
      <c r="T260" s="4" t="s">
        <v>182</v>
      </c>
      <c r="U260" t="s">
        <v>265</v>
      </c>
      <c r="Y260" t="s">
        <v>270</v>
      </c>
      <c r="Z260" t="str">
        <f t="shared" si="43"/>
        <v>Quadro de Baixa Tensão 01</v>
      </c>
      <c r="AA260"/>
      <c r="AD260" s="13" t="s">
        <v>267</v>
      </c>
      <c r="AF260" t="str">
        <f t="shared" si="57"/>
        <v>Quadro EléctricoQuadro de Baixa Tensão</v>
      </c>
      <c r="AG260" s="28" t="str">
        <f>VLOOKUP(AF260,Imagens!$C$2:$D$42,2,FALSE)</f>
        <v>65d1346bf3835</v>
      </c>
      <c r="AH260" t="str">
        <f>_xlfn.CONCAT(Imagens!$H$2,'registo_ativo-CDs (1)'!AG260)</f>
        <v>assets/imagens/products/65d1346bf3835</v>
      </c>
      <c r="AI260" s="67">
        <v>45357</v>
      </c>
      <c r="AK260" s="32"/>
    </row>
    <row r="261" spans="1:37" ht="16.8" customHeight="1" x14ac:dyDescent="0.3">
      <c r="A261">
        <f t="shared" si="44"/>
        <v>15</v>
      </c>
      <c r="B261" t="str">
        <f t="shared" si="55"/>
        <v>CD15BBG152QBT02</v>
      </c>
      <c r="C261" t="str">
        <f t="shared" si="56"/>
        <v>CD-BOA-BBG-QEL-QBT-02</v>
      </c>
      <c r="E261" t="s">
        <v>37</v>
      </c>
      <c r="F261" t="s">
        <v>46</v>
      </c>
      <c r="G261" t="s">
        <v>46</v>
      </c>
      <c r="H261" s="14" t="s">
        <v>49</v>
      </c>
      <c r="I261" t="s">
        <v>75</v>
      </c>
      <c r="J261">
        <f>VLOOKUP(H261,ID!$C$3:$D$100,2,FALSE)</f>
        <v>15</v>
      </c>
      <c r="K261" t="s">
        <v>274</v>
      </c>
      <c r="L261" t="str">
        <f>VLOOKUP(K261,Localizacoes!$E$3:$F$100,2,FALSE)</f>
        <v>BBG</v>
      </c>
      <c r="M261" t="str">
        <f>VLOOKUP(K261,ID!$E$3:$F$100,2,FALSE)</f>
        <v>BBG</v>
      </c>
      <c r="N261" t="s">
        <v>286</v>
      </c>
      <c r="O261" t="str">
        <f>VLOOKUP(N261,Localizacoes!$G$3:$H$100,2,FALSE)</f>
        <v>QEL</v>
      </c>
      <c r="P261">
        <f>VLOOKUP(N261,ID!$G$3:$H$100,2,FALSE)</f>
        <v>152</v>
      </c>
      <c r="Q261" t="s">
        <v>443</v>
      </c>
      <c r="R261" t="str">
        <f>VLOOKUP(Q261,Localizacoes!$I$3:$J$100,2,FALSE)</f>
        <v>QBT</v>
      </c>
      <c r="S261" t="str">
        <f>VLOOKUP(Q261,ID!$I$3:$J$100,2,FALSE)</f>
        <v>QBT</v>
      </c>
      <c r="T261" s="4" t="s">
        <v>186</v>
      </c>
      <c r="U261" t="s">
        <v>265</v>
      </c>
      <c r="Y261" t="s">
        <v>270</v>
      </c>
      <c r="Z261" t="str">
        <f t="shared" si="43"/>
        <v>Quadro de Baixa Tensão 02</v>
      </c>
      <c r="AA261"/>
      <c r="AD261" s="13" t="s">
        <v>267</v>
      </c>
      <c r="AF261" t="str">
        <f t="shared" si="57"/>
        <v>Quadro EléctricoQuadro de Baixa Tensão</v>
      </c>
      <c r="AG261" s="28" t="str">
        <f>VLOOKUP(AF261,Imagens!$C$2:$D$42,2,FALSE)</f>
        <v>65d1346bf3835</v>
      </c>
      <c r="AH261" t="str">
        <f>_xlfn.CONCAT(Imagens!$H$2,'registo_ativo-CDs (1)'!AG261)</f>
        <v>assets/imagens/products/65d1346bf3835</v>
      </c>
      <c r="AI261" s="67">
        <v>45357</v>
      </c>
      <c r="AK261" s="32"/>
    </row>
    <row r="262" spans="1:37" ht="16.8" customHeight="1" x14ac:dyDescent="0.3">
      <c r="A262">
        <f t="shared" si="44"/>
        <v>15</v>
      </c>
      <c r="B262" t="str">
        <f t="shared" si="55"/>
        <v>CD15BBG152QBT03</v>
      </c>
      <c r="C262" t="str">
        <f t="shared" si="56"/>
        <v>CD-BOA-BBG-QEL-QBT-03</v>
      </c>
      <c r="E262" t="s">
        <v>37</v>
      </c>
      <c r="F262" t="s">
        <v>46</v>
      </c>
      <c r="G262" t="s">
        <v>46</v>
      </c>
      <c r="H262" s="14" t="s">
        <v>49</v>
      </c>
      <c r="I262" t="s">
        <v>75</v>
      </c>
      <c r="J262">
        <f>VLOOKUP(H262,ID!$C$3:$D$100,2,FALSE)</f>
        <v>15</v>
      </c>
      <c r="K262" t="s">
        <v>274</v>
      </c>
      <c r="L262" t="str">
        <f>VLOOKUP(K262,Localizacoes!$E$3:$F$100,2,FALSE)</f>
        <v>BBG</v>
      </c>
      <c r="M262" t="str">
        <f>VLOOKUP(K262,ID!$E$3:$F$100,2,FALSE)</f>
        <v>BBG</v>
      </c>
      <c r="N262" t="s">
        <v>286</v>
      </c>
      <c r="O262" t="str">
        <f>VLOOKUP(N262,Localizacoes!$G$3:$H$100,2,FALSE)</f>
        <v>QEL</v>
      </c>
      <c r="P262">
        <f>VLOOKUP(N262,ID!$G$3:$H$100,2,FALSE)</f>
        <v>152</v>
      </c>
      <c r="Q262" t="s">
        <v>443</v>
      </c>
      <c r="R262" t="str">
        <f>VLOOKUP(Q262,Localizacoes!$I$3:$J$100,2,FALSE)</f>
        <v>QBT</v>
      </c>
      <c r="S262" t="str">
        <f>VLOOKUP(Q262,ID!$I$3:$J$100,2,FALSE)</f>
        <v>QBT</v>
      </c>
      <c r="T262" s="4" t="s">
        <v>187</v>
      </c>
      <c r="U262" t="s">
        <v>265</v>
      </c>
      <c r="X262" t="s">
        <v>273</v>
      </c>
      <c r="Y262" t="s">
        <v>270</v>
      </c>
      <c r="Z262" t="str">
        <f t="shared" si="43"/>
        <v>Quadro de Baixa Tensão 03</v>
      </c>
      <c r="AA262"/>
      <c r="AD262" s="13" t="s">
        <v>267</v>
      </c>
      <c r="AF262" t="str">
        <f t="shared" si="57"/>
        <v>Quadro EléctricoQuadro de Baixa Tensão</v>
      </c>
      <c r="AG262" s="28" t="str">
        <f>VLOOKUP(AF262,Imagens!$C$2:$D$42,2,FALSE)</f>
        <v>65d1346bf3835</v>
      </c>
      <c r="AH262" t="str">
        <f>_xlfn.CONCAT(Imagens!$H$2,'registo_ativo-CDs (1)'!AG262)</f>
        <v>assets/imagens/products/65d1346bf3835</v>
      </c>
      <c r="AI262" s="67">
        <v>45357</v>
      </c>
      <c r="AK262" s="32"/>
    </row>
    <row r="263" spans="1:37" ht="16.8" customHeight="1" x14ac:dyDescent="0.3">
      <c r="A263">
        <f t="shared" si="44"/>
        <v>15</v>
      </c>
      <c r="B263" t="str">
        <f t="shared" si="55"/>
        <v>CD15BBG152QBT04</v>
      </c>
      <c r="C263" t="str">
        <f t="shared" si="56"/>
        <v>CD-BOA-BBG-QEL-QBT-04</v>
      </c>
      <c r="E263" t="s">
        <v>37</v>
      </c>
      <c r="F263" t="s">
        <v>46</v>
      </c>
      <c r="G263" t="s">
        <v>46</v>
      </c>
      <c r="H263" s="14" t="s">
        <v>49</v>
      </c>
      <c r="I263" t="s">
        <v>75</v>
      </c>
      <c r="J263">
        <f>VLOOKUP(H263,ID!$C$3:$D$100,2,FALSE)</f>
        <v>15</v>
      </c>
      <c r="K263" t="s">
        <v>274</v>
      </c>
      <c r="L263" t="str">
        <f>VLOOKUP(K263,Localizacoes!$E$3:$F$100,2,FALSE)</f>
        <v>BBG</v>
      </c>
      <c r="M263" t="str">
        <f>VLOOKUP(K263,ID!$E$3:$F$100,2,FALSE)</f>
        <v>BBG</v>
      </c>
      <c r="N263" t="s">
        <v>286</v>
      </c>
      <c r="O263" t="str">
        <f>VLOOKUP(N263,Localizacoes!$G$3:$H$100,2,FALSE)</f>
        <v>QEL</v>
      </c>
      <c r="P263">
        <f>VLOOKUP(N263,ID!$G$3:$H$100,2,FALSE)</f>
        <v>152</v>
      </c>
      <c r="Q263" t="s">
        <v>443</v>
      </c>
      <c r="R263" t="str">
        <f>VLOOKUP(Q263,Localizacoes!$I$3:$J$100,2,FALSE)</f>
        <v>QBT</v>
      </c>
      <c r="S263" t="str">
        <f>VLOOKUP(Q263,ID!$I$3:$J$100,2,FALSE)</f>
        <v>QBT</v>
      </c>
      <c r="T263" s="4" t="s">
        <v>188</v>
      </c>
      <c r="U263" t="s">
        <v>265</v>
      </c>
      <c r="Y263" t="s">
        <v>270</v>
      </c>
      <c r="Z263" t="str">
        <f t="shared" si="43"/>
        <v>Quadro de Baixa Tensão 04</v>
      </c>
      <c r="AA263"/>
      <c r="AD263" s="13" t="s">
        <v>267</v>
      </c>
      <c r="AF263" t="str">
        <f t="shared" si="57"/>
        <v>Quadro EléctricoQuadro de Baixa Tensão</v>
      </c>
      <c r="AG263" s="28" t="str">
        <f>VLOOKUP(AF263,Imagens!$C$2:$D$42,2,FALSE)</f>
        <v>65d1346bf3835</v>
      </c>
      <c r="AH263" t="str">
        <f>_xlfn.CONCAT(Imagens!$H$2,'registo_ativo-CDs (1)'!AG263)</f>
        <v>assets/imagens/products/65d1346bf3835</v>
      </c>
      <c r="AI263" s="67">
        <v>45357</v>
      </c>
      <c r="AK263" s="32"/>
    </row>
    <row r="264" spans="1:37" ht="16.8" customHeight="1" x14ac:dyDescent="0.3">
      <c r="A264">
        <f t="shared" ref="A264" si="58">LEN(B264)</f>
        <v>15</v>
      </c>
      <c r="B264" t="str">
        <f t="shared" si="55"/>
        <v>CD15BBG165GEL01</v>
      </c>
      <c r="C264" t="str">
        <f t="shared" si="56"/>
        <v>CD-BOA-BBG-SUB-GEL-01</v>
      </c>
      <c r="E264" t="s">
        <v>37</v>
      </c>
      <c r="F264" t="s">
        <v>46</v>
      </c>
      <c r="G264" t="s">
        <v>46</v>
      </c>
      <c r="H264" s="14" t="s">
        <v>49</v>
      </c>
      <c r="I264" t="s">
        <v>75</v>
      </c>
      <c r="J264">
        <f>VLOOKUP(H264,ID!$C$3:$D$100,2,FALSE)</f>
        <v>15</v>
      </c>
      <c r="K264" t="s">
        <v>274</v>
      </c>
      <c r="L264" t="str">
        <f>VLOOKUP(K264,Localizacoes!$E$3:$F$100,2,FALSE)</f>
        <v>BBG</v>
      </c>
      <c r="M264" t="str">
        <f>VLOOKUP(K264,ID!$E$3:$F$100,2,FALSE)</f>
        <v>BBG</v>
      </c>
      <c r="N264" t="s">
        <v>112</v>
      </c>
      <c r="O264" t="str">
        <f>VLOOKUP(N264,Localizacoes!$G$3:$H$100,2,FALSE)</f>
        <v>SUB</v>
      </c>
      <c r="P264">
        <f>VLOOKUP(N264,ID!$G$3:$H$100,2,FALSE)</f>
        <v>165</v>
      </c>
      <c r="Q264" t="s">
        <v>654</v>
      </c>
      <c r="R264" t="str">
        <f>VLOOKUP(Q264,Localizacoes!$I$3:$J$100,2,FALSE)</f>
        <v>GEL</v>
      </c>
      <c r="S264" t="str">
        <f>VLOOKUP(Q264,ID!$I$3:$J$100,2,FALSE)</f>
        <v>GEL</v>
      </c>
      <c r="T264" s="4" t="s">
        <v>182</v>
      </c>
      <c r="U264" t="s">
        <v>265</v>
      </c>
      <c r="Y264" t="s">
        <v>270</v>
      </c>
      <c r="Z264" t="str">
        <f t="shared" ref="Z264" si="59">Q264&amp;" "&amp; T264</f>
        <v>Gerador Eléctrica 01</v>
      </c>
      <c r="AA264"/>
      <c r="AD264" s="13" t="s">
        <v>7</v>
      </c>
      <c r="AF264" t="str">
        <f t="shared" si="57"/>
        <v>SubestaçãoGerador Eléctrica</v>
      </c>
      <c r="AG264" s="28" t="str">
        <f>VLOOKUP(AF264,Imagens!$C$2:$D$42,2,FALSE)</f>
        <v>65e8da741759f</v>
      </c>
      <c r="AH264" t="str">
        <f>_xlfn.CONCAT(Imagens!$H$2,'registo_ativo-CDs (1)'!AG264)</f>
        <v>assets/imagens/products/65e8da741759f</v>
      </c>
      <c r="AI264" s="67">
        <v>45301</v>
      </c>
      <c r="AK264" s="32"/>
    </row>
    <row r="265" spans="1:37" ht="16.8" customHeight="1" x14ac:dyDescent="0.3">
      <c r="A265">
        <f t="shared" si="44"/>
        <v>15</v>
      </c>
      <c r="B265" t="str">
        <f t="shared" si="55"/>
        <v>CD15BBG165GMC01</v>
      </c>
      <c r="C265" t="str">
        <f t="shared" si="56"/>
        <v>CD-BOA-BBG-SUB-GMC-01</v>
      </c>
      <c r="E265" t="s">
        <v>37</v>
      </c>
      <c r="F265" t="s">
        <v>46</v>
      </c>
      <c r="G265" t="s">
        <v>46</v>
      </c>
      <c r="H265" s="14" t="s">
        <v>49</v>
      </c>
      <c r="I265" t="s">
        <v>75</v>
      </c>
      <c r="J265">
        <f>VLOOKUP(H265,ID!$C$3:$D$100,2,FALSE)</f>
        <v>15</v>
      </c>
      <c r="K265" t="s">
        <v>274</v>
      </c>
      <c r="L265" t="str">
        <f>VLOOKUP(K265,Localizacoes!$E$3:$F$100,2,FALSE)</f>
        <v>BBG</v>
      </c>
      <c r="M265" t="str">
        <f>VLOOKUP(K265,ID!$E$3:$F$100,2,FALSE)</f>
        <v>BBG</v>
      </c>
      <c r="N265" t="s">
        <v>112</v>
      </c>
      <c r="O265" t="str">
        <f>VLOOKUP(N265,Localizacoes!$G$3:$H$100,2,FALSE)</f>
        <v>SUB</v>
      </c>
      <c r="P265">
        <f>VLOOKUP(N265,ID!$G$3:$H$100,2,FALSE)</f>
        <v>165</v>
      </c>
      <c r="Q265" t="s">
        <v>658</v>
      </c>
      <c r="R265" t="str">
        <f>VLOOKUP(Q265,Localizacoes!$I$3:$J$100,2,FALSE)</f>
        <v>GMC</v>
      </c>
      <c r="S265" t="str">
        <f>VLOOKUP(Q265,ID!$I$3:$J$100,2,FALSE)</f>
        <v>GMC</v>
      </c>
      <c r="T265" s="4" t="s">
        <v>182</v>
      </c>
      <c r="U265" t="s">
        <v>264</v>
      </c>
      <c r="Y265" t="s">
        <v>270</v>
      </c>
      <c r="Z265" t="str">
        <f t="shared" si="43"/>
        <v>Gerador Mecânica 01</v>
      </c>
      <c r="AA265"/>
      <c r="AD265" s="13" t="s">
        <v>7</v>
      </c>
      <c r="AF265" t="str">
        <f t="shared" si="57"/>
        <v>SubestaçãoGerador Mecânica</v>
      </c>
      <c r="AG265" s="28" t="str">
        <f>VLOOKUP(AF265,Imagens!$C$2:$D$42,2,FALSE)</f>
        <v>65e8da741759f</v>
      </c>
      <c r="AH265" t="str">
        <f>_xlfn.CONCAT(Imagens!$H$2,'registo_ativo-CDs (1)'!AG265)</f>
        <v>assets/imagens/products/65e8da741759f</v>
      </c>
      <c r="AI265" s="67">
        <v>45301</v>
      </c>
      <c r="AK265" s="32"/>
    </row>
    <row r="266" spans="1:37" ht="16.8" customHeight="1" x14ac:dyDescent="0.3">
      <c r="A266">
        <f t="shared" si="44"/>
        <v>15</v>
      </c>
      <c r="B266" t="str">
        <f t="shared" si="55"/>
        <v>CD15ILU164ILL01</v>
      </c>
      <c r="C266" t="str">
        <f t="shared" si="56"/>
        <v>CD-BOA-ILU-SIL-ILL-01</v>
      </c>
      <c r="E266" t="s">
        <v>37</v>
      </c>
      <c r="F266" t="s">
        <v>46</v>
      </c>
      <c r="G266" t="s">
        <v>46</v>
      </c>
      <c r="H266" s="14" t="s">
        <v>49</v>
      </c>
      <c r="I266" t="s">
        <v>75</v>
      </c>
      <c r="J266">
        <f>VLOOKUP(H266,ID!$C$3:$D$100,2,FALSE)</f>
        <v>15</v>
      </c>
      <c r="K266" t="s">
        <v>141</v>
      </c>
      <c r="L266" t="str">
        <f>VLOOKUP(K266,Localizacoes!$E$3:$F$100,2,FALSE)</f>
        <v>ILU</v>
      </c>
      <c r="M266" t="str">
        <f>VLOOKUP(K266,ID!$E$3:$F$100,2,FALSE)</f>
        <v>ILU</v>
      </c>
      <c r="N266" t="s">
        <v>688</v>
      </c>
      <c r="O266" t="str">
        <f>VLOOKUP(N266,Localizacoes!$G$3:$H$100,2,FALSE)</f>
        <v>SIL</v>
      </c>
      <c r="P266">
        <f>VLOOKUP(N266,ID!$G$3:$H$100,2,FALSE)</f>
        <v>164</v>
      </c>
      <c r="Q266" t="s">
        <v>141</v>
      </c>
      <c r="R266" t="str">
        <f>VLOOKUP(Q266,Localizacoes!$I$3:$J$100,2,FALSE)</f>
        <v>ILL</v>
      </c>
      <c r="S266" t="str">
        <f>VLOOKUP(Q266,ID!$I$3:$J$100,2,FALSE)</f>
        <v>ILL</v>
      </c>
      <c r="T266" s="4" t="s">
        <v>182</v>
      </c>
      <c r="U266" t="s">
        <v>265</v>
      </c>
      <c r="X266" t="s">
        <v>6</v>
      </c>
      <c r="Y266" t="s">
        <v>270</v>
      </c>
      <c r="Z266" t="str">
        <f t="shared" si="43"/>
        <v>Iluminação 01</v>
      </c>
      <c r="AA266"/>
      <c r="AD266" s="13" t="s">
        <v>267</v>
      </c>
      <c r="AF266" t="str">
        <f t="shared" si="57"/>
        <v>Sistema de IluminaçãoIluminação</v>
      </c>
      <c r="AG266" s="28" t="str">
        <f>VLOOKUP(AF266,Imagens!$C$2:$D$42,2,FALSE)</f>
        <v>65e8e579bfe6c</v>
      </c>
      <c r="AH266" t="str">
        <f>_xlfn.CONCAT(Imagens!$H$2,'registo_ativo-CDs (1)'!AG266)</f>
        <v>assets/imagens/products/65e8e579bfe6c</v>
      </c>
      <c r="AI266" s="67">
        <v>45301</v>
      </c>
      <c r="AK266" s="32"/>
    </row>
    <row r="267" spans="1:37" ht="16.8" customHeight="1" x14ac:dyDescent="0.3">
      <c r="A267">
        <f t="shared" si="44"/>
        <v>15</v>
      </c>
      <c r="B267" t="str">
        <f t="shared" si="55"/>
        <v>CD15CAN152CAN01</v>
      </c>
      <c r="C267" t="str">
        <f t="shared" si="56"/>
        <v>CD-BOA-CAN-QEL-CAN-01</v>
      </c>
      <c r="E267" t="s">
        <v>37</v>
      </c>
      <c r="F267" t="s">
        <v>46</v>
      </c>
      <c r="G267" t="s">
        <v>46</v>
      </c>
      <c r="H267" s="14" t="s">
        <v>49</v>
      </c>
      <c r="I267" t="s">
        <v>75</v>
      </c>
      <c r="J267">
        <f>VLOOKUP(H267,ID!$C$3:$D$100,2,FALSE)</f>
        <v>15</v>
      </c>
      <c r="K267" t="s">
        <v>101</v>
      </c>
      <c r="L267" t="str">
        <f>VLOOKUP(K267,Localizacoes!$E$3:$F$100,2,FALSE)</f>
        <v>CAN</v>
      </c>
      <c r="M267" t="str">
        <f>VLOOKUP(K267,ID!$E$3:$F$100,2,FALSE)</f>
        <v>CAN</v>
      </c>
      <c r="N267" t="s">
        <v>286</v>
      </c>
      <c r="O267" t="str">
        <f>VLOOKUP(N267,Localizacoes!$G$3:$H$100,2,FALSE)</f>
        <v>QEL</v>
      </c>
      <c r="P267">
        <f>VLOOKUP(N267,ID!$G$3:$H$100,2,FALSE)</f>
        <v>152</v>
      </c>
      <c r="Q267" t="s">
        <v>101</v>
      </c>
      <c r="R267" t="str">
        <f>VLOOKUP(Q267,Localizacoes!$I$3:$J$100,2,FALSE)</f>
        <v>CAN</v>
      </c>
      <c r="S267" t="str">
        <f>VLOOKUP(Q267,ID!$I$3:$J$100,2,FALSE)</f>
        <v>CAN</v>
      </c>
      <c r="T267" s="4" t="s">
        <v>182</v>
      </c>
      <c r="U267" t="s">
        <v>265</v>
      </c>
      <c r="Y267" t="s">
        <v>270</v>
      </c>
      <c r="Z267" t="str">
        <f t="shared" si="43"/>
        <v>Canalização Eléctrica 01</v>
      </c>
      <c r="AA267"/>
      <c r="AD267" s="13" t="s">
        <v>266</v>
      </c>
      <c r="AF267" t="str">
        <f t="shared" si="57"/>
        <v>Quadro EléctricoCanalização Eléctrica</v>
      </c>
      <c r="AG267" s="28" t="str">
        <f>VLOOKUP(AF267,Imagens!$C$2:$D$42,2,FALSE)</f>
        <v>65e8e4bb71249</v>
      </c>
      <c r="AH267" t="str">
        <f>_xlfn.CONCAT(Imagens!$H$2,'registo_ativo-CDs (1)'!AG267)</f>
        <v>assets/imagens/products/65e8e4bb71249</v>
      </c>
      <c r="AI267" s="67">
        <v>45469</v>
      </c>
      <c r="AK267" s="32"/>
    </row>
    <row r="268" spans="1:37" ht="16.8" customHeight="1" x14ac:dyDescent="0.3">
      <c r="A268">
        <f t="shared" si="44"/>
        <v>15</v>
      </c>
      <c r="B268" t="str">
        <f t="shared" si="55"/>
        <v>CD15CAN152QEI01</v>
      </c>
      <c r="C268" t="str">
        <f t="shared" si="56"/>
        <v>CD-BOA-CAN-QEL-QEI-01</v>
      </c>
      <c r="E268" t="s">
        <v>37</v>
      </c>
      <c r="F268" t="s">
        <v>46</v>
      </c>
      <c r="G268" t="s">
        <v>46</v>
      </c>
      <c r="H268" s="14" t="s">
        <v>49</v>
      </c>
      <c r="I268" t="s">
        <v>75</v>
      </c>
      <c r="J268">
        <f>VLOOKUP(H268,ID!$C$3:$D$100,2,FALSE)</f>
        <v>15</v>
      </c>
      <c r="K268" t="s">
        <v>101</v>
      </c>
      <c r="L268" t="str">
        <f>VLOOKUP(K268,Localizacoes!$E$3:$F$100,2,FALSE)</f>
        <v>CAN</v>
      </c>
      <c r="M268" t="str">
        <f>VLOOKUP(K268,ID!$E$3:$F$100,2,FALSE)</f>
        <v>CAN</v>
      </c>
      <c r="N268" t="s">
        <v>286</v>
      </c>
      <c r="O268" t="str">
        <f>VLOOKUP(N268,Localizacoes!$G$3:$H$100,2,FALSE)</f>
        <v>QEL</v>
      </c>
      <c r="P268">
        <f>VLOOKUP(N268,ID!$G$3:$H$100,2,FALSE)</f>
        <v>152</v>
      </c>
      <c r="Q268" t="s">
        <v>446</v>
      </c>
      <c r="R268" t="str">
        <f>VLOOKUP(Q268,Localizacoes!$I$3:$J$100,2,FALSE)</f>
        <v>QEI</v>
      </c>
      <c r="S268" t="str">
        <f>VLOOKUP(Q268,ID!$I$3:$J$100,2,FALSE)</f>
        <v>QEI</v>
      </c>
      <c r="T268" s="4" t="s">
        <v>182</v>
      </c>
      <c r="U268" t="s">
        <v>265</v>
      </c>
      <c r="Y268" t="s">
        <v>270</v>
      </c>
      <c r="Z268" t="str">
        <f t="shared" si="43"/>
        <v>Quadro Eléctrico de Instrumentação 01</v>
      </c>
      <c r="AA268"/>
      <c r="AD268" s="13" t="s">
        <v>267</v>
      </c>
      <c r="AF268" t="str">
        <f t="shared" si="57"/>
        <v>Quadro EléctricoQuadro Eléctrico de Instrumentação</v>
      </c>
      <c r="AG268" s="28" t="str">
        <f>VLOOKUP(AF268,Imagens!$C$2:$D$42,2,FALSE)</f>
        <v>65d1346bf3835</v>
      </c>
      <c r="AH268" t="str">
        <f>_xlfn.CONCAT(Imagens!$H$2,'registo_ativo-CDs (1)'!AG268)</f>
        <v>assets/imagens/products/65d1346bf3835</v>
      </c>
      <c r="AI268" s="67">
        <v>45357</v>
      </c>
      <c r="AK268" s="32"/>
    </row>
    <row r="269" spans="1:37" ht="16.8" customHeight="1" x14ac:dyDescent="0.3">
      <c r="A269">
        <f>LEN(B269)</f>
        <v>15</v>
      </c>
      <c r="B269" t="str">
        <f t="shared" si="55"/>
        <v>CD15ECA143PRO01</v>
      </c>
      <c r="C269" t="str">
        <f t="shared" si="56"/>
        <v>CD-BOA-ECA-GRU-PRO-01</v>
      </c>
      <c r="E269" t="s">
        <v>37</v>
      </c>
      <c r="F269" t="s">
        <v>46</v>
      </c>
      <c r="G269" t="s">
        <v>46</v>
      </c>
      <c r="H269" s="14" t="s">
        <v>49</v>
      </c>
      <c r="I269" t="s">
        <v>75</v>
      </c>
      <c r="J269">
        <f>VLOOKUP(H269,ID!$C$3:$D$100,2,FALSE)</f>
        <v>15</v>
      </c>
      <c r="K269" t="s">
        <v>285</v>
      </c>
      <c r="L269" t="str">
        <f>VLOOKUP(K269,Localizacoes!$E$3:$F$100,2,FALSE)</f>
        <v>ECA</v>
      </c>
      <c r="M269" t="str">
        <f>VLOOKUP(K269,ID!$E$3:$F$100,2,FALSE)</f>
        <v>ECA</v>
      </c>
      <c r="N269" t="s">
        <v>104</v>
      </c>
      <c r="O269" t="str">
        <f>VLOOKUP(N269,Localizacoes!$G$3:$H$100,2,FALSE)</f>
        <v>GRU</v>
      </c>
      <c r="P269">
        <f>VLOOKUP(N269,ID!$G$3:$H$100,2,FALSE)</f>
        <v>143</v>
      </c>
      <c r="Q269" t="s">
        <v>153</v>
      </c>
      <c r="R269" t="str">
        <f>VLOOKUP(Q269,Localizacoes!$I$3:$J$100,2,FALSE)</f>
        <v>PRO</v>
      </c>
      <c r="S269" t="str">
        <f>VLOOKUP(Q269,ID!$I$3:$J$100,2,FALSE)</f>
        <v>PRO</v>
      </c>
      <c r="T269" s="4" t="s">
        <v>182</v>
      </c>
      <c r="U269" t="s">
        <v>264</v>
      </c>
      <c r="W269" t="s">
        <v>547</v>
      </c>
      <c r="X269" t="s">
        <v>6</v>
      </c>
      <c r="Y269" t="s">
        <v>270</v>
      </c>
      <c r="Z269" t="str">
        <f t="shared" si="43"/>
        <v>Ponte Rolante 01</v>
      </c>
      <c r="AA269"/>
      <c r="AD269" s="13" t="s">
        <v>266</v>
      </c>
      <c r="AF269" t="str">
        <f t="shared" si="57"/>
        <v>GruaPonte Rolante</v>
      </c>
      <c r="AG269" s="28" t="str">
        <f>VLOOKUP(AF269,Imagens!$C$2:$D$42,2,FALSE)</f>
        <v>65c75d2748c4a</v>
      </c>
      <c r="AH269" t="str">
        <f>_xlfn.CONCAT(Imagens!$H$2,'registo_ativo-CDs (1)'!AG269)</f>
        <v>assets/imagens/products/65c75d2748c4a</v>
      </c>
      <c r="AI269" s="67">
        <v>45469</v>
      </c>
      <c r="AK269" s="32"/>
    </row>
    <row r="270" spans="1:37" ht="16.8" customHeight="1" x14ac:dyDescent="0.3">
      <c r="A270">
        <f t="shared" si="44"/>
        <v>15</v>
      </c>
      <c r="B270" t="str">
        <f t="shared" si="55"/>
        <v>CD15BBG146MCD01</v>
      </c>
      <c r="C270" t="str">
        <f t="shared" si="56"/>
        <v>CD-BOA-BBG-MDD-MCD-01</v>
      </c>
      <c r="E270" t="s">
        <v>37</v>
      </c>
      <c r="F270" t="s">
        <v>46</v>
      </c>
      <c r="G270" t="s">
        <v>46</v>
      </c>
      <c r="H270" s="14" t="s">
        <v>49</v>
      </c>
      <c r="I270" t="s">
        <v>75</v>
      </c>
      <c r="J270">
        <f>VLOOKUP(H270,ID!$C$3:$D$100,2,FALSE)</f>
        <v>15</v>
      </c>
      <c r="K270" t="s">
        <v>274</v>
      </c>
      <c r="L270" t="str">
        <f>VLOOKUP(K270,Localizacoes!$E$3:$F$100,2,FALSE)</f>
        <v>BBG</v>
      </c>
      <c r="M270" t="str">
        <f>VLOOKUP(K270,ID!$E$3:$F$100,2,FALSE)</f>
        <v>BBG</v>
      </c>
      <c r="N270" t="s">
        <v>672</v>
      </c>
      <c r="O270" t="str">
        <f>VLOOKUP(N270,Localizacoes!$G$3:$H$100,2,FALSE)</f>
        <v>MDD</v>
      </c>
      <c r="P270">
        <f>VLOOKUP(N270,ID!$G$3:$H$100,2,FALSE)</f>
        <v>146</v>
      </c>
      <c r="Q270" t="s">
        <v>370</v>
      </c>
      <c r="R270" t="str">
        <f>VLOOKUP(Q270,Localizacoes!$I$3:$J$100,2,FALSE)</f>
        <v>MCD</v>
      </c>
      <c r="S270" t="str">
        <f>VLOOKUP(Q270,ID!$I$3:$J$100,2,FALSE)</f>
        <v>MCD</v>
      </c>
      <c r="T270" s="4" t="s">
        <v>182</v>
      </c>
      <c r="U270" t="s">
        <v>265</v>
      </c>
      <c r="V270" t="s">
        <v>536</v>
      </c>
      <c r="W270" t="s">
        <v>548</v>
      </c>
      <c r="Y270" t="s">
        <v>270</v>
      </c>
      <c r="Z270" t="str">
        <f t="shared" si="43"/>
        <v>Macromedidor 01</v>
      </c>
      <c r="AA270"/>
      <c r="AD270" s="13" t="s">
        <v>266</v>
      </c>
      <c r="AF270" t="str">
        <f t="shared" si="57"/>
        <v>MedidorMacromedidor</v>
      </c>
      <c r="AG270" s="28" t="str">
        <f>VLOOKUP(AF270,Imagens!$C$2:$D$42,2,FALSE)</f>
        <v>65e8dd4a9cd58</v>
      </c>
      <c r="AH270" t="str">
        <f>_xlfn.CONCAT(Imagens!$H$2,'registo_ativo-CDs (1)'!AG270)</f>
        <v>assets/imagens/products/65e8dd4a9cd58</v>
      </c>
      <c r="AI270" s="67">
        <v>45329</v>
      </c>
      <c r="AK270" s="32"/>
    </row>
    <row r="271" spans="1:37" ht="16.8" customHeight="1" x14ac:dyDescent="0.3">
      <c r="A271">
        <f t="shared" si="44"/>
        <v>15</v>
      </c>
      <c r="B271" t="str">
        <f t="shared" si="55"/>
        <v>CD15BBG146MCD02</v>
      </c>
      <c r="C271" t="str">
        <f t="shared" si="56"/>
        <v>CD-BOA-BBG-MDD-MCD-02</v>
      </c>
      <c r="E271" t="s">
        <v>37</v>
      </c>
      <c r="F271" t="s">
        <v>46</v>
      </c>
      <c r="G271" t="s">
        <v>46</v>
      </c>
      <c r="H271" s="14" t="s">
        <v>49</v>
      </c>
      <c r="I271" t="s">
        <v>75</v>
      </c>
      <c r="J271">
        <f>VLOOKUP(H271,ID!$C$3:$D$100,2,FALSE)</f>
        <v>15</v>
      </c>
      <c r="K271" t="s">
        <v>274</v>
      </c>
      <c r="L271" t="str">
        <f>VLOOKUP(K271,Localizacoes!$E$3:$F$100,2,FALSE)</f>
        <v>BBG</v>
      </c>
      <c r="M271" t="str">
        <f>VLOOKUP(K271,ID!$E$3:$F$100,2,FALSE)</f>
        <v>BBG</v>
      </c>
      <c r="N271" t="s">
        <v>672</v>
      </c>
      <c r="O271" t="str">
        <f>VLOOKUP(N271,Localizacoes!$G$3:$H$100,2,FALSE)</f>
        <v>MDD</v>
      </c>
      <c r="P271">
        <f>VLOOKUP(N271,ID!$G$3:$H$100,2,FALSE)</f>
        <v>146</v>
      </c>
      <c r="Q271" t="s">
        <v>370</v>
      </c>
      <c r="R271" t="str">
        <f>VLOOKUP(Q271,Localizacoes!$I$3:$J$100,2,FALSE)</f>
        <v>MCD</v>
      </c>
      <c r="S271" t="str">
        <f>VLOOKUP(Q271,ID!$I$3:$J$100,2,FALSE)</f>
        <v>MCD</v>
      </c>
      <c r="T271" s="4" t="s">
        <v>186</v>
      </c>
      <c r="U271" t="s">
        <v>265</v>
      </c>
      <c r="V271" t="s">
        <v>536</v>
      </c>
      <c r="W271" t="s">
        <v>548</v>
      </c>
      <c r="Y271" t="s">
        <v>270</v>
      </c>
      <c r="Z271" t="str">
        <f t="shared" si="43"/>
        <v>Macromedidor 02</v>
      </c>
      <c r="AA271"/>
      <c r="AD271" s="13" t="s">
        <v>266</v>
      </c>
      <c r="AF271" t="str">
        <f t="shared" si="57"/>
        <v>MedidorMacromedidor</v>
      </c>
      <c r="AG271" s="28" t="str">
        <f>VLOOKUP(AF271,Imagens!$C$2:$D$42,2,FALSE)</f>
        <v>65e8dd4a9cd58</v>
      </c>
      <c r="AH271" t="str">
        <f>_xlfn.CONCAT(Imagens!$H$2,'registo_ativo-CDs (1)'!AG271)</f>
        <v>assets/imagens/products/65e8dd4a9cd58</v>
      </c>
      <c r="AI271" s="67">
        <v>45329</v>
      </c>
      <c r="AK271" s="32"/>
    </row>
    <row r="272" spans="1:37" ht="16.8" customHeight="1" x14ac:dyDescent="0.3">
      <c r="A272">
        <f t="shared" ref="A272:A307" si="60">LEN(B272)</f>
        <v>15</v>
      </c>
      <c r="B272" t="str">
        <f t="shared" si="55"/>
        <v>CD15SB1165TRA01</v>
      </c>
      <c r="C272" t="str">
        <f t="shared" si="56"/>
        <v>CD-BOA-SB1-SUB-TRA-01</v>
      </c>
      <c r="E272" t="s">
        <v>37</v>
      </c>
      <c r="F272" t="s">
        <v>46</v>
      </c>
      <c r="G272" t="s">
        <v>46</v>
      </c>
      <c r="H272" s="14" t="s">
        <v>49</v>
      </c>
      <c r="I272" t="s">
        <v>75</v>
      </c>
      <c r="J272">
        <f>VLOOKUP(H272,ID!$C$3:$D$100,2,FALSE)</f>
        <v>15</v>
      </c>
      <c r="K272" t="s">
        <v>127</v>
      </c>
      <c r="L272" t="str">
        <f>VLOOKUP(K272,Localizacoes!$E$3:$F$100,2,FALSE)</f>
        <v>SB1</v>
      </c>
      <c r="M272" t="str">
        <f>VLOOKUP(K272,ID!$E$3:$F$100,2,FALSE)</f>
        <v>SB1</v>
      </c>
      <c r="N272" t="s">
        <v>112</v>
      </c>
      <c r="O272" t="str">
        <f>VLOOKUP(N272,Localizacoes!$G$3:$H$100,2,FALSE)</f>
        <v>SUB</v>
      </c>
      <c r="P272">
        <f>VLOOKUP(N272,ID!$G$3:$H$100,2,FALSE)</f>
        <v>165</v>
      </c>
      <c r="Q272" t="s">
        <v>176</v>
      </c>
      <c r="R272" t="str">
        <f>VLOOKUP(Q272,Localizacoes!$I$3:$J$100,2,FALSE)</f>
        <v>TRA</v>
      </c>
      <c r="S272" t="str">
        <f>VLOOKUP(Q272,ID!$I$3:$J$100,2,FALSE)</f>
        <v>TRA</v>
      </c>
      <c r="T272" s="4" t="s">
        <v>182</v>
      </c>
      <c r="U272" t="s">
        <v>265</v>
      </c>
      <c r="X272" t="s">
        <v>273</v>
      </c>
      <c r="Y272" t="s">
        <v>270</v>
      </c>
      <c r="Z272" t="str">
        <f t="shared" ref="Z272:Z310" si="61">Q272&amp;" "&amp; T272</f>
        <v>Transformador 01</v>
      </c>
      <c r="AA272"/>
      <c r="AD272" s="13" t="s">
        <v>267</v>
      </c>
      <c r="AF272" t="str">
        <f t="shared" si="57"/>
        <v>SubestaçãoTransformador</v>
      </c>
      <c r="AG272" s="28" t="str">
        <f>VLOOKUP(AF272,Imagens!$C$2:$D$42,2,FALSE)</f>
        <v>65e8d98d73a3d</v>
      </c>
      <c r="AH272" t="str">
        <f>_xlfn.CONCAT(Imagens!$H$2,'registo_ativo-CDs (1)'!AG272)</f>
        <v>assets/imagens/products/65e8d98d73a3d</v>
      </c>
      <c r="AI272" s="67">
        <v>45301</v>
      </c>
      <c r="AK272" s="32"/>
    </row>
    <row r="273" spans="1:37" ht="16.8" customHeight="1" x14ac:dyDescent="0.3">
      <c r="A273">
        <f t="shared" si="60"/>
        <v>15</v>
      </c>
      <c r="B273" t="str">
        <f t="shared" si="55"/>
        <v>CD41BBG131BOM01</v>
      </c>
      <c r="C273" t="str">
        <f t="shared" si="56"/>
        <v>CD-INT-BBG-EBC-BOM-01</v>
      </c>
      <c r="E273" t="s">
        <v>37</v>
      </c>
      <c r="F273" t="s">
        <v>46</v>
      </c>
      <c r="G273" t="s">
        <v>46</v>
      </c>
      <c r="H273" s="14" t="s">
        <v>51</v>
      </c>
      <c r="I273" t="s">
        <v>84</v>
      </c>
      <c r="J273">
        <f>VLOOKUP(H273,ID!$C$3:$D$100,2,FALSE)</f>
        <v>41</v>
      </c>
      <c r="K273" t="s">
        <v>274</v>
      </c>
      <c r="L273" t="str">
        <f>VLOOKUP(K273,Localizacoes!$E$3:$F$100,2,FALSE)</f>
        <v>BBG</v>
      </c>
      <c r="M273" t="str">
        <f>VLOOKUP(K273,ID!$E$3:$F$100,2,FALSE)</f>
        <v>BBG</v>
      </c>
      <c r="N273" t="s">
        <v>704</v>
      </c>
      <c r="O273" t="str">
        <f>VLOOKUP(N273,Localizacoes!$G$3:$H$100,2,FALSE)</f>
        <v>EBC</v>
      </c>
      <c r="P273">
        <f>VLOOKUP(N273,ID!$G$3:$H$100,2,FALSE)</f>
        <v>131</v>
      </c>
      <c r="Q273" t="s">
        <v>150</v>
      </c>
      <c r="R273" t="str">
        <f>VLOOKUP(Q273,Localizacoes!$I$3:$J$100,2,FALSE)</f>
        <v>BOM</v>
      </c>
      <c r="S273" t="str">
        <f>VLOOKUP(Q273,ID!$I$3:$J$100,2,FALSE)</f>
        <v>BOM</v>
      </c>
      <c r="T273" s="4" t="s">
        <v>182</v>
      </c>
      <c r="U273" t="s">
        <v>264</v>
      </c>
      <c r="X273" t="s">
        <v>6</v>
      </c>
      <c r="Y273" t="s">
        <v>270</v>
      </c>
      <c r="Z273" t="str">
        <f t="shared" si="61"/>
        <v>Bomba 01</v>
      </c>
      <c r="AA273"/>
      <c r="AD273" s="13" t="s">
        <v>7</v>
      </c>
      <c r="AF273" t="str">
        <f t="shared" si="57"/>
        <v>Electrobomba centrífugaBomba</v>
      </c>
      <c r="AG273" s="28" t="str">
        <f>VLOOKUP(AF273,Imagens!$C$2:$D$42,2,FALSE)</f>
        <v>65e96125c1d11</v>
      </c>
      <c r="AH273" t="str">
        <f>_xlfn.CONCAT(Imagens!$H$2,'registo_ativo-CDs (1)'!AG273)</f>
        <v>assets/imagens/products/65e96125c1d11</v>
      </c>
      <c r="AI273" s="67">
        <v>45302</v>
      </c>
      <c r="AK273" s="32"/>
    </row>
    <row r="274" spans="1:37" ht="16.8" customHeight="1" x14ac:dyDescent="0.3">
      <c r="A274">
        <f t="shared" si="60"/>
        <v>15</v>
      </c>
      <c r="B274" t="str">
        <f t="shared" si="55"/>
        <v>CD41BBG131MOT01</v>
      </c>
      <c r="C274" t="str">
        <f t="shared" si="56"/>
        <v>CD-INT-BBG-EBC-MOT-01</v>
      </c>
      <c r="E274" t="s">
        <v>37</v>
      </c>
      <c r="F274" t="s">
        <v>46</v>
      </c>
      <c r="G274" t="s">
        <v>46</v>
      </c>
      <c r="H274" s="14" t="s">
        <v>51</v>
      </c>
      <c r="I274" t="s">
        <v>84</v>
      </c>
      <c r="J274">
        <f>VLOOKUP(H274,ID!$C$3:$D$100,2,FALSE)</f>
        <v>41</v>
      </c>
      <c r="K274" t="s">
        <v>274</v>
      </c>
      <c r="L274" t="str">
        <f>VLOOKUP(K274,Localizacoes!$E$3:$F$100,2,FALSE)</f>
        <v>BBG</v>
      </c>
      <c r="M274" t="str">
        <f>VLOOKUP(K274,ID!$E$3:$F$100,2,FALSE)</f>
        <v>BBG</v>
      </c>
      <c r="N274" t="s">
        <v>704</v>
      </c>
      <c r="O274" t="str">
        <f>VLOOKUP(N274,Localizacoes!$G$3:$H$100,2,FALSE)</f>
        <v>EBC</v>
      </c>
      <c r="P274">
        <f>VLOOKUP(N274,ID!$G$3:$H$100,2,FALSE)</f>
        <v>131</v>
      </c>
      <c r="Q274" t="s">
        <v>21</v>
      </c>
      <c r="R274" t="str">
        <f>VLOOKUP(Q274,Localizacoes!$I$3:$J$100,2,FALSE)</f>
        <v>MOT</v>
      </c>
      <c r="S274" t="str">
        <f>VLOOKUP(Q274,ID!$I$3:$J$100,2,FALSE)</f>
        <v>MOT</v>
      </c>
      <c r="T274" s="4" t="s">
        <v>182</v>
      </c>
      <c r="U274" t="s">
        <v>265</v>
      </c>
      <c r="Y274" t="s">
        <v>270</v>
      </c>
      <c r="Z274" t="str">
        <f t="shared" si="61"/>
        <v>Motor 01</v>
      </c>
      <c r="AA274"/>
      <c r="AD274" s="13" t="s">
        <v>7</v>
      </c>
      <c r="AF274" t="str">
        <f t="shared" si="57"/>
        <v>Electrobomba centrífugaMotor</v>
      </c>
      <c r="AG274" s="28" t="str">
        <f>VLOOKUP(AF274,Imagens!$C$2:$D$42,2,FALSE)</f>
        <v>65d04210323a4</v>
      </c>
      <c r="AH274" t="str">
        <f>_xlfn.CONCAT(Imagens!$H$2,'registo_ativo-CDs (1)'!AG274)</f>
        <v>assets/imagens/products/65d04210323a4</v>
      </c>
      <c r="AI274" s="67">
        <v>45302</v>
      </c>
      <c r="AK274" s="32"/>
    </row>
    <row r="275" spans="1:37" ht="16.8" customHeight="1" x14ac:dyDescent="0.3">
      <c r="A275">
        <f t="shared" si="60"/>
        <v>15</v>
      </c>
      <c r="B275" t="str">
        <f t="shared" si="55"/>
        <v>CD41BBG152QEA01</v>
      </c>
      <c r="C275" t="str">
        <f t="shared" si="56"/>
        <v>CD-INT-BBG-QEL-QEA-01</v>
      </c>
      <c r="E275" t="s">
        <v>37</v>
      </c>
      <c r="F275" t="s">
        <v>46</v>
      </c>
      <c r="G275" t="s">
        <v>46</v>
      </c>
      <c r="H275" s="14" t="s">
        <v>51</v>
      </c>
      <c r="I275" t="s">
        <v>84</v>
      </c>
      <c r="J275">
        <f>VLOOKUP(H275,ID!$C$3:$D$100,2,FALSE)</f>
        <v>41</v>
      </c>
      <c r="K275" t="s">
        <v>274</v>
      </c>
      <c r="L275" t="str">
        <f>VLOOKUP(K275,Localizacoes!$E$3:$F$100,2,FALSE)</f>
        <v>BBG</v>
      </c>
      <c r="M275" t="str">
        <f>VLOOKUP(K275,ID!$E$3:$F$100,2,FALSE)</f>
        <v>BBG</v>
      </c>
      <c r="N275" t="s">
        <v>286</v>
      </c>
      <c r="O275" t="str">
        <f>VLOOKUP(N275,Localizacoes!$G$3:$H$100,2,FALSE)</f>
        <v>QEL</v>
      </c>
      <c r="P275">
        <f>VLOOKUP(N275,ID!$G$3:$H$100,2,FALSE)</f>
        <v>152</v>
      </c>
      <c r="Q275" t="s">
        <v>154</v>
      </c>
      <c r="R275" t="str">
        <f>VLOOKUP(Q275,Localizacoes!$I$3:$J$100,2,FALSE)</f>
        <v>QEA</v>
      </c>
      <c r="S275" t="str">
        <f>VLOOKUP(Q275,ID!$I$3:$J$100,2,FALSE)</f>
        <v>QEA</v>
      </c>
      <c r="T275" s="4" t="s">
        <v>182</v>
      </c>
      <c r="U275" t="s">
        <v>265</v>
      </c>
      <c r="Y275" t="s">
        <v>270</v>
      </c>
      <c r="Z275" t="str">
        <f t="shared" si="61"/>
        <v>Quadros Eléctricos de Arranque 01</v>
      </c>
      <c r="AA275"/>
      <c r="AD275" s="13" t="s">
        <v>267</v>
      </c>
      <c r="AF275" t="str">
        <f t="shared" si="57"/>
        <v>Quadro EléctricoQuadros Eléctricos de Arranque</v>
      </c>
      <c r="AG275" s="28" t="str">
        <f>VLOOKUP(AF275,Imagens!$C$2:$D$42,2,FALSE)</f>
        <v>65e8d2fa35c12</v>
      </c>
      <c r="AH275" t="str">
        <f>_xlfn.CONCAT(Imagens!$H$2,'registo_ativo-CDs (1)'!AG275)</f>
        <v>assets/imagens/products/65e8d2fa35c12</v>
      </c>
      <c r="AI275" s="67">
        <v>45358</v>
      </c>
      <c r="AK275" s="32"/>
    </row>
    <row r="276" spans="1:37" ht="16.8" customHeight="1" x14ac:dyDescent="0.3">
      <c r="A276">
        <f t="shared" si="60"/>
        <v>15</v>
      </c>
      <c r="B276" t="str">
        <f t="shared" si="55"/>
        <v>CD41BBG131VSU01</v>
      </c>
      <c r="C276" t="str">
        <f t="shared" si="56"/>
        <v>CD-INT-BBG-EBC-VSU-01</v>
      </c>
      <c r="E276" t="s">
        <v>37</v>
      </c>
      <c r="F276" t="s">
        <v>46</v>
      </c>
      <c r="G276" t="s">
        <v>46</v>
      </c>
      <c r="H276" s="14" t="s">
        <v>51</v>
      </c>
      <c r="I276" t="s">
        <v>84</v>
      </c>
      <c r="J276">
        <f>VLOOKUP(H276,ID!$C$3:$D$100,2,FALSE)</f>
        <v>41</v>
      </c>
      <c r="K276" t="s">
        <v>274</v>
      </c>
      <c r="L276" t="str">
        <f>VLOOKUP(K276,Localizacoes!$E$3:$F$100,2,FALSE)</f>
        <v>BBG</v>
      </c>
      <c r="M276" t="str">
        <f>VLOOKUP(K276,ID!$E$3:$F$100,2,FALSE)</f>
        <v>BBG</v>
      </c>
      <c r="N276" t="s">
        <v>704</v>
      </c>
      <c r="O276" t="str">
        <f>VLOOKUP(N276,Localizacoes!$G$3:$H$100,2,FALSE)</f>
        <v>EBC</v>
      </c>
      <c r="P276">
        <f>VLOOKUP(N276,ID!$G$3:$H$100,2,FALSE)</f>
        <v>131</v>
      </c>
      <c r="Q276" t="s">
        <v>276</v>
      </c>
      <c r="R276" t="str">
        <f>VLOOKUP(Q276,Localizacoes!$I$3:$J$100,2,FALSE)</f>
        <v>VSU</v>
      </c>
      <c r="S276" t="str">
        <f>VLOOKUP(Q276,ID!$I$3:$J$100,2,FALSE)</f>
        <v>VSU</v>
      </c>
      <c r="T276" s="4" t="s">
        <v>182</v>
      </c>
      <c r="U276" t="s">
        <v>264</v>
      </c>
      <c r="Y276" t="s">
        <v>270</v>
      </c>
      <c r="Z276" t="str">
        <f t="shared" si="61"/>
        <v>Válvula Sucção 01</v>
      </c>
      <c r="AA276"/>
      <c r="AD276" s="13" t="s">
        <v>267</v>
      </c>
      <c r="AF276" t="str">
        <f t="shared" si="57"/>
        <v>Electrobomba centrífugaVálvula Sucção</v>
      </c>
      <c r="AG276" s="28" t="str">
        <f>VLOOKUP(AF276,Imagens!$C$2:$D$42,2,FALSE)</f>
        <v>65e8cda0676b7</v>
      </c>
      <c r="AH276" t="str">
        <f>_xlfn.CONCAT(Imagens!$H$2,'registo_ativo-CDs (1)'!AG276)</f>
        <v>assets/imagens/products/65e8cda0676b7</v>
      </c>
      <c r="AI276" s="67">
        <v>45358</v>
      </c>
      <c r="AK276" s="32"/>
    </row>
    <row r="277" spans="1:37" ht="16.8" customHeight="1" x14ac:dyDescent="0.3">
      <c r="A277">
        <f t="shared" si="60"/>
        <v>15</v>
      </c>
      <c r="B277" t="str">
        <f t="shared" si="55"/>
        <v>CD41BBG131AEL01</v>
      </c>
      <c r="C277" t="str">
        <f t="shared" si="56"/>
        <v>CD-INT-BBG-EBC-AEL-01</v>
      </c>
      <c r="E277" t="s">
        <v>37</v>
      </c>
      <c r="F277" t="s">
        <v>46</v>
      </c>
      <c r="G277" t="s">
        <v>46</v>
      </c>
      <c r="H277" s="14" t="s">
        <v>51</v>
      </c>
      <c r="I277" t="s">
        <v>84</v>
      </c>
      <c r="J277">
        <f>VLOOKUP(H277,ID!$C$3:$D$100,2,FALSE)</f>
        <v>41</v>
      </c>
      <c r="K277" t="s">
        <v>274</v>
      </c>
      <c r="L277" t="str">
        <f>VLOOKUP(K277,Localizacoes!$E$3:$F$100,2,FALSE)</f>
        <v>BBG</v>
      </c>
      <c r="M277" t="str">
        <f>VLOOKUP(K277,ID!$E$3:$F$100,2,FALSE)</f>
        <v>BBG</v>
      </c>
      <c r="N277" t="s">
        <v>704</v>
      </c>
      <c r="O277" t="str">
        <f>VLOOKUP(N277,Localizacoes!$G$3:$H$100,2,FALSE)</f>
        <v>EBC</v>
      </c>
      <c r="P277">
        <f>VLOOKUP(N277,ID!$G$3:$H$100,2,FALSE)</f>
        <v>131</v>
      </c>
      <c r="Q277" t="s">
        <v>149</v>
      </c>
      <c r="R277" t="str">
        <f>VLOOKUP(Q277,Localizacoes!$I$3:$J$100,2,FALSE)</f>
        <v>AEL</v>
      </c>
      <c r="S277" t="str">
        <f>VLOOKUP(Q277,ID!$I$3:$J$100,2,FALSE)</f>
        <v>AEL</v>
      </c>
      <c r="T277" s="4" t="s">
        <v>182</v>
      </c>
      <c r="U277" t="s">
        <v>265</v>
      </c>
      <c r="Y277" t="s">
        <v>270</v>
      </c>
      <c r="Z277" t="str">
        <f t="shared" si="61"/>
        <v>Actuador Eléctrico 01</v>
      </c>
      <c r="AA277"/>
      <c r="AD277" s="13" t="s">
        <v>267</v>
      </c>
      <c r="AF277" t="str">
        <f t="shared" si="57"/>
        <v>Electrobomba centrífugaActuador Eléctrico</v>
      </c>
      <c r="AG277" s="28" t="str">
        <f>VLOOKUP(AF277,Imagens!$C$2:$D$42,2,FALSE)</f>
        <v>65e8db8f62d7b</v>
      </c>
      <c r="AH277" t="str">
        <f>_xlfn.CONCAT(Imagens!$H$2,'registo_ativo-CDs (1)'!AG277)</f>
        <v>assets/imagens/products/65e8db8f62d7b</v>
      </c>
      <c r="AI277" s="67">
        <v>45358</v>
      </c>
      <c r="AK277" s="32"/>
    </row>
    <row r="278" spans="1:37" ht="16.8" customHeight="1" x14ac:dyDescent="0.3">
      <c r="A278">
        <f t="shared" si="60"/>
        <v>15</v>
      </c>
      <c r="B278" t="str">
        <f t="shared" si="55"/>
        <v>CD41BBG131BOM02</v>
      </c>
      <c r="C278" t="str">
        <f t="shared" si="56"/>
        <v>CD-INT-BBG-EBC-BOM-02</v>
      </c>
      <c r="E278" t="s">
        <v>37</v>
      </c>
      <c r="F278" t="s">
        <v>46</v>
      </c>
      <c r="G278" t="s">
        <v>46</v>
      </c>
      <c r="H278" s="14" t="s">
        <v>51</v>
      </c>
      <c r="I278" t="s">
        <v>84</v>
      </c>
      <c r="J278">
        <f>VLOOKUP(H278,ID!$C$3:$D$100,2,FALSE)</f>
        <v>41</v>
      </c>
      <c r="K278" t="s">
        <v>274</v>
      </c>
      <c r="L278" t="str">
        <f>VLOOKUP(K278,Localizacoes!$E$3:$F$100,2,FALSE)</f>
        <v>BBG</v>
      </c>
      <c r="M278" t="str">
        <f>VLOOKUP(K278,ID!$E$3:$F$100,2,FALSE)</f>
        <v>BBG</v>
      </c>
      <c r="N278" t="s">
        <v>704</v>
      </c>
      <c r="O278" t="str">
        <f>VLOOKUP(N278,Localizacoes!$G$3:$H$100,2,FALSE)</f>
        <v>EBC</v>
      </c>
      <c r="P278">
        <f>VLOOKUP(N278,ID!$G$3:$H$100,2,FALSE)</f>
        <v>131</v>
      </c>
      <c r="Q278" t="s">
        <v>150</v>
      </c>
      <c r="R278" t="str">
        <f>VLOOKUP(Q278,Localizacoes!$I$3:$J$100,2,FALSE)</f>
        <v>BOM</v>
      </c>
      <c r="S278" t="str">
        <f>VLOOKUP(Q278,ID!$I$3:$J$100,2,FALSE)</f>
        <v>BOM</v>
      </c>
      <c r="T278" s="4" t="s">
        <v>186</v>
      </c>
      <c r="U278" t="s">
        <v>264</v>
      </c>
      <c r="Y278" t="s">
        <v>270</v>
      </c>
      <c r="Z278" t="str">
        <f t="shared" si="61"/>
        <v>Bomba 02</v>
      </c>
      <c r="AA278"/>
      <c r="AD278" s="13" t="s">
        <v>7</v>
      </c>
      <c r="AF278" t="str">
        <f t="shared" si="57"/>
        <v>Electrobomba centrífugaBomba</v>
      </c>
      <c r="AG278" s="28" t="str">
        <f>VLOOKUP(AF278,Imagens!$C$2:$D$42,2,FALSE)</f>
        <v>65e96125c1d11</v>
      </c>
      <c r="AH278" t="str">
        <f>_xlfn.CONCAT(Imagens!$H$2,'registo_ativo-CDs (1)'!AG278)</f>
        <v>assets/imagens/products/65e96125c1d11</v>
      </c>
      <c r="AI278" s="67">
        <v>45302</v>
      </c>
      <c r="AK278" s="32"/>
    </row>
    <row r="279" spans="1:37" ht="16.8" customHeight="1" x14ac:dyDescent="0.3">
      <c r="A279">
        <f t="shared" si="60"/>
        <v>15</v>
      </c>
      <c r="B279" t="str">
        <f t="shared" si="55"/>
        <v>CD41BBG131MOT02</v>
      </c>
      <c r="C279" t="str">
        <f t="shared" si="56"/>
        <v>CD-INT-BBG-EBC-MOT-02</v>
      </c>
      <c r="E279" t="s">
        <v>37</v>
      </c>
      <c r="F279" t="s">
        <v>46</v>
      </c>
      <c r="G279" t="s">
        <v>46</v>
      </c>
      <c r="H279" s="14" t="s">
        <v>51</v>
      </c>
      <c r="I279" t="s">
        <v>84</v>
      </c>
      <c r="J279">
        <f>VLOOKUP(H279,ID!$C$3:$D$100,2,FALSE)</f>
        <v>41</v>
      </c>
      <c r="K279" t="s">
        <v>274</v>
      </c>
      <c r="L279" t="str">
        <f>VLOOKUP(K279,Localizacoes!$E$3:$F$100,2,FALSE)</f>
        <v>BBG</v>
      </c>
      <c r="M279" t="str">
        <f>VLOOKUP(K279,ID!$E$3:$F$100,2,FALSE)</f>
        <v>BBG</v>
      </c>
      <c r="N279" t="s">
        <v>704</v>
      </c>
      <c r="O279" t="str">
        <f>VLOOKUP(N279,Localizacoes!$G$3:$H$100,2,FALSE)</f>
        <v>EBC</v>
      </c>
      <c r="P279">
        <f>VLOOKUP(N279,ID!$G$3:$H$100,2,FALSE)</f>
        <v>131</v>
      </c>
      <c r="Q279" t="s">
        <v>21</v>
      </c>
      <c r="R279" t="str">
        <f>VLOOKUP(Q279,Localizacoes!$I$3:$J$100,2,FALSE)</f>
        <v>MOT</v>
      </c>
      <c r="S279" t="str">
        <f>VLOOKUP(Q279,ID!$I$3:$J$100,2,FALSE)</f>
        <v>MOT</v>
      </c>
      <c r="T279" s="4" t="s">
        <v>186</v>
      </c>
      <c r="U279" t="s">
        <v>265</v>
      </c>
      <c r="Y279" t="s">
        <v>271</v>
      </c>
      <c r="Z279" t="str">
        <f t="shared" si="61"/>
        <v>Motor 02</v>
      </c>
      <c r="AA279"/>
      <c r="AD279" s="13" t="s">
        <v>7</v>
      </c>
      <c r="AF279" t="str">
        <f t="shared" si="57"/>
        <v>Electrobomba centrífugaMotor</v>
      </c>
      <c r="AG279" s="28" t="str">
        <f>VLOOKUP(AF279,Imagens!$C$2:$D$42,2,FALSE)</f>
        <v>65d04210323a4</v>
      </c>
      <c r="AH279" t="str">
        <f>_xlfn.CONCAT(Imagens!$H$2,'registo_ativo-CDs (1)'!AG279)</f>
        <v>assets/imagens/products/65d04210323a4</v>
      </c>
      <c r="AI279" s="67">
        <v>45302</v>
      </c>
      <c r="AK279" s="32"/>
    </row>
    <row r="280" spans="1:37" ht="16.8" customHeight="1" x14ac:dyDescent="0.3">
      <c r="A280">
        <f t="shared" si="60"/>
        <v>15</v>
      </c>
      <c r="B280" t="str">
        <f t="shared" si="55"/>
        <v>CD41BBG152QEA02</v>
      </c>
      <c r="C280" t="str">
        <f t="shared" si="56"/>
        <v>CD-INT-BBG-QEL-QEA-02</v>
      </c>
      <c r="E280" t="s">
        <v>37</v>
      </c>
      <c r="F280" t="s">
        <v>46</v>
      </c>
      <c r="G280" t="s">
        <v>46</v>
      </c>
      <c r="H280" s="14" t="s">
        <v>51</v>
      </c>
      <c r="I280" t="s">
        <v>84</v>
      </c>
      <c r="J280">
        <f>VLOOKUP(H280,ID!$C$3:$D$100,2,FALSE)</f>
        <v>41</v>
      </c>
      <c r="K280" t="s">
        <v>274</v>
      </c>
      <c r="L280" t="str">
        <f>VLOOKUP(K280,Localizacoes!$E$3:$F$100,2,FALSE)</f>
        <v>BBG</v>
      </c>
      <c r="M280" t="str">
        <f>VLOOKUP(K280,ID!$E$3:$F$100,2,FALSE)</f>
        <v>BBG</v>
      </c>
      <c r="N280" t="s">
        <v>286</v>
      </c>
      <c r="O280" t="str">
        <f>VLOOKUP(N280,Localizacoes!$G$3:$H$100,2,FALSE)</f>
        <v>QEL</v>
      </c>
      <c r="P280">
        <f>VLOOKUP(N280,ID!$G$3:$H$100,2,FALSE)</f>
        <v>152</v>
      </c>
      <c r="Q280" t="s">
        <v>154</v>
      </c>
      <c r="R280" t="str">
        <f>VLOOKUP(Q280,Localizacoes!$I$3:$J$100,2,FALSE)</f>
        <v>QEA</v>
      </c>
      <c r="S280" t="str">
        <f>VLOOKUP(Q280,ID!$I$3:$J$100,2,FALSE)</f>
        <v>QEA</v>
      </c>
      <c r="T280" s="4" t="s">
        <v>186</v>
      </c>
      <c r="U280" t="s">
        <v>265</v>
      </c>
      <c r="Y280" t="s">
        <v>270</v>
      </c>
      <c r="Z280" t="str">
        <f t="shared" si="61"/>
        <v>Quadros Eléctricos de Arranque 02</v>
      </c>
      <c r="AA280"/>
      <c r="AD280" s="13" t="s">
        <v>267</v>
      </c>
      <c r="AF280" t="str">
        <f t="shared" si="57"/>
        <v>Quadro EléctricoQuadros Eléctricos de Arranque</v>
      </c>
      <c r="AG280" s="28" t="str">
        <f>VLOOKUP(AF280,Imagens!$C$2:$D$42,2,FALSE)</f>
        <v>65e8d2fa35c12</v>
      </c>
      <c r="AH280" t="str">
        <f>_xlfn.CONCAT(Imagens!$H$2,'registo_ativo-CDs (1)'!AG280)</f>
        <v>assets/imagens/products/65e8d2fa35c12</v>
      </c>
      <c r="AI280" s="67">
        <v>45358</v>
      </c>
      <c r="AK280" s="32"/>
    </row>
    <row r="281" spans="1:37" ht="16.8" customHeight="1" x14ac:dyDescent="0.3">
      <c r="A281">
        <f t="shared" si="60"/>
        <v>15</v>
      </c>
      <c r="B281" t="str">
        <f t="shared" si="55"/>
        <v>CD41BBG131VSU02</v>
      </c>
      <c r="C281" t="str">
        <f t="shared" si="56"/>
        <v>CD-INT-BBG-EBC-VSU-02</v>
      </c>
      <c r="E281" t="s">
        <v>37</v>
      </c>
      <c r="F281" t="s">
        <v>46</v>
      </c>
      <c r="G281" t="s">
        <v>46</v>
      </c>
      <c r="H281" s="14" t="s">
        <v>51</v>
      </c>
      <c r="I281" t="s">
        <v>84</v>
      </c>
      <c r="J281">
        <f>VLOOKUP(H281,ID!$C$3:$D$100,2,FALSE)</f>
        <v>41</v>
      </c>
      <c r="K281" t="s">
        <v>274</v>
      </c>
      <c r="L281" t="str">
        <f>VLOOKUP(K281,Localizacoes!$E$3:$F$100,2,FALSE)</f>
        <v>BBG</v>
      </c>
      <c r="M281" t="str">
        <f>VLOOKUP(K281,ID!$E$3:$F$100,2,FALSE)</f>
        <v>BBG</v>
      </c>
      <c r="N281" t="s">
        <v>704</v>
      </c>
      <c r="O281" t="str">
        <f>VLOOKUP(N281,Localizacoes!$G$3:$H$100,2,FALSE)</f>
        <v>EBC</v>
      </c>
      <c r="P281">
        <f>VLOOKUP(N281,ID!$G$3:$H$100,2,FALSE)</f>
        <v>131</v>
      </c>
      <c r="Q281" t="s">
        <v>276</v>
      </c>
      <c r="R281" t="str">
        <f>VLOOKUP(Q281,Localizacoes!$I$3:$J$100,2,FALSE)</f>
        <v>VSU</v>
      </c>
      <c r="S281" t="str">
        <f>VLOOKUP(Q281,ID!$I$3:$J$100,2,FALSE)</f>
        <v>VSU</v>
      </c>
      <c r="T281" s="4" t="s">
        <v>186</v>
      </c>
      <c r="U281" t="s">
        <v>264</v>
      </c>
      <c r="Y281" t="s">
        <v>271</v>
      </c>
      <c r="Z281" t="str">
        <f t="shared" si="61"/>
        <v>Válvula Sucção 02</v>
      </c>
      <c r="AA281"/>
      <c r="AD281" s="13" t="s">
        <v>267</v>
      </c>
      <c r="AF281" t="str">
        <f t="shared" si="57"/>
        <v>Electrobomba centrífugaVálvula Sucção</v>
      </c>
      <c r="AG281" s="28" t="str">
        <f>VLOOKUP(AF281,Imagens!$C$2:$D$42,2,FALSE)</f>
        <v>65e8cda0676b7</v>
      </c>
      <c r="AH281" t="str">
        <f>_xlfn.CONCAT(Imagens!$H$2,'registo_ativo-CDs (1)'!AG281)</f>
        <v>assets/imagens/products/65e8cda0676b7</v>
      </c>
      <c r="AI281" s="67">
        <v>45358</v>
      </c>
      <c r="AK281" s="32"/>
    </row>
    <row r="282" spans="1:37" ht="16.8" customHeight="1" x14ac:dyDescent="0.3">
      <c r="A282">
        <f t="shared" si="60"/>
        <v>15</v>
      </c>
      <c r="B282" t="str">
        <f t="shared" si="55"/>
        <v>CD41BBG131AEL02</v>
      </c>
      <c r="C282" t="str">
        <f t="shared" si="56"/>
        <v>CD-INT-BBG-EBC-AEL-02</v>
      </c>
      <c r="E282" t="s">
        <v>37</v>
      </c>
      <c r="F282" t="s">
        <v>46</v>
      </c>
      <c r="G282" t="s">
        <v>46</v>
      </c>
      <c r="H282" s="14" t="s">
        <v>51</v>
      </c>
      <c r="I282" t="s">
        <v>84</v>
      </c>
      <c r="J282">
        <f>VLOOKUP(H282,ID!$C$3:$D$100,2,FALSE)</f>
        <v>41</v>
      </c>
      <c r="K282" t="s">
        <v>274</v>
      </c>
      <c r="L282" t="str">
        <f>VLOOKUP(K282,Localizacoes!$E$3:$F$100,2,FALSE)</f>
        <v>BBG</v>
      </c>
      <c r="M282" t="str">
        <f>VLOOKUP(K282,ID!$E$3:$F$100,2,FALSE)</f>
        <v>BBG</v>
      </c>
      <c r="N282" t="s">
        <v>704</v>
      </c>
      <c r="O282" t="str">
        <f>VLOOKUP(N282,Localizacoes!$G$3:$H$100,2,FALSE)</f>
        <v>EBC</v>
      </c>
      <c r="P282">
        <f>VLOOKUP(N282,ID!$G$3:$H$100,2,FALSE)</f>
        <v>131</v>
      </c>
      <c r="Q282" t="s">
        <v>149</v>
      </c>
      <c r="R282" t="str">
        <f>VLOOKUP(Q282,Localizacoes!$I$3:$J$100,2,FALSE)</f>
        <v>AEL</v>
      </c>
      <c r="S282" t="str">
        <f>VLOOKUP(Q282,ID!$I$3:$J$100,2,FALSE)</f>
        <v>AEL</v>
      </c>
      <c r="T282" s="4" t="s">
        <v>186</v>
      </c>
      <c r="U282" t="s">
        <v>265</v>
      </c>
      <c r="Y282" t="s">
        <v>270</v>
      </c>
      <c r="Z282" t="str">
        <f t="shared" si="61"/>
        <v>Actuador Eléctrico 02</v>
      </c>
      <c r="AA282"/>
      <c r="AD282" s="13" t="s">
        <v>267</v>
      </c>
      <c r="AF282" t="str">
        <f t="shared" si="57"/>
        <v>Electrobomba centrífugaActuador Eléctrico</v>
      </c>
      <c r="AG282" s="28" t="str">
        <f>VLOOKUP(AF282,Imagens!$C$2:$D$42,2,FALSE)</f>
        <v>65e8db8f62d7b</v>
      </c>
      <c r="AH282" t="str">
        <f>_xlfn.CONCAT(Imagens!$H$2,'registo_ativo-CDs (1)'!AG282)</f>
        <v>assets/imagens/products/65e8db8f62d7b</v>
      </c>
      <c r="AI282" s="67">
        <v>45358</v>
      </c>
      <c r="AK282" s="32"/>
    </row>
    <row r="283" spans="1:37" ht="16.8" customHeight="1" x14ac:dyDescent="0.3">
      <c r="A283">
        <f t="shared" si="60"/>
        <v>15</v>
      </c>
      <c r="B283" t="str">
        <f t="shared" si="55"/>
        <v>CD41BBG131BOM03</v>
      </c>
      <c r="C283" t="str">
        <f t="shared" si="56"/>
        <v>CD-INT-BBG-EBC-BOM-03</v>
      </c>
      <c r="E283" t="s">
        <v>37</v>
      </c>
      <c r="F283" t="s">
        <v>46</v>
      </c>
      <c r="G283" t="s">
        <v>46</v>
      </c>
      <c r="H283" s="14" t="s">
        <v>51</v>
      </c>
      <c r="I283" t="s">
        <v>84</v>
      </c>
      <c r="J283">
        <f>VLOOKUP(H283,ID!$C$3:$D$100,2,FALSE)</f>
        <v>41</v>
      </c>
      <c r="K283" t="s">
        <v>274</v>
      </c>
      <c r="L283" t="str">
        <f>VLOOKUP(K283,Localizacoes!$E$3:$F$100,2,FALSE)</f>
        <v>BBG</v>
      </c>
      <c r="M283" t="str">
        <f>VLOOKUP(K283,ID!$E$3:$F$100,2,FALSE)</f>
        <v>BBG</v>
      </c>
      <c r="N283" t="s">
        <v>704</v>
      </c>
      <c r="O283" t="str">
        <f>VLOOKUP(N283,Localizacoes!$G$3:$H$100,2,FALSE)</f>
        <v>EBC</v>
      </c>
      <c r="P283">
        <f>VLOOKUP(N283,ID!$G$3:$H$100,2,FALSE)</f>
        <v>131</v>
      </c>
      <c r="Q283" t="s">
        <v>150</v>
      </c>
      <c r="R283" t="str">
        <f>VLOOKUP(Q283,Localizacoes!$I$3:$J$100,2,FALSE)</f>
        <v>BOM</v>
      </c>
      <c r="S283" t="str">
        <f>VLOOKUP(Q283,ID!$I$3:$J$100,2,FALSE)</f>
        <v>BOM</v>
      </c>
      <c r="T283" s="4" t="s">
        <v>187</v>
      </c>
      <c r="U283" t="s">
        <v>264</v>
      </c>
      <c r="Y283" t="s">
        <v>270</v>
      </c>
      <c r="Z283" t="str">
        <f t="shared" si="61"/>
        <v>Bomba 03</v>
      </c>
      <c r="AA283"/>
      <c r="AD283" s="13" t="s">
        <v>7</v>
      </c>
      <c r="AF283" t="str">
        <f t="shared" si="57"/>
        <v>Electrobomba centrífugaBomba</v>
      </c>
      <c r="AG283" s="28" t="str">
        <f>VLOOKUP(AF283,Imagens!$C$2:$D$42,2,FALSE)</f>
        <v>65e96125c1d11</v>
      </c>
      <c r="AH283" t="str">
        <f>_xlfn.CONCAT(Imagens!$H$2,'registo_ativo-CDs (1)'!AG283)</f>
        <v>assets/imagens/products/65e96125c1d11</v>
      </c>
      <c r="AI283" s="67">
        <v>45302</v>
      </c>
      <c r="AK283" s="32"/>
    </row>
    <row r="284" spans="1:37" ht="16.8" customHeight="1" x14ac:dyDescent="0.3">
      <c r="A284">
        <f t="shared" si="60"/>
        <v>15</v>
      </c>
      <c r="B284" t="str">
        <f t="shared" si="55"/>
        <v>CD41BBG131MOT03</v>
      </c>
      <c r="C284" t="str">
        <f t="shared" si="56"/>
        <v>CD-INT-BBG-EBC-MOT-03</v>
      </c>
      <c r="E284" t="s">
        <v>37</v>
      </c>
      <c r="F284" t="s">
        <v>46</v>
      </c>
      <c r="G284" t="s">
        <v>46</v>
      </c>
      <c r="H284" s="14" t="s">
        <v>51</v>
      </c>
      <c r="I284" t="s">
        <v>84</v>
      </c>
      <c r="J284">
        <f>VLOOKUP(H284,ID!$C$3:$D$100,2,FALSE)</f>
        <v>41</v>
      </c>
      <c r="K284" t="s">
        <v>274</v>
      </c>
      <c r="L284" t="str">
        <f>VLOOKUP(K284,Localizacoes!$E$3:$F$100,2,FALSE)</f>
        <v>BBG</v>
      </c>
      <c r="M284" t="str">
        <f>VLOOKUP(K284,ID!$E$3:$F$100,2,FALSE)</f>
        <v>BBG</v>
      </c>
      <c r="N284" t="s">
        <v>704</v>
      </c>
      <c r="O284" t="str">
        <f>VLOOKUP(N284,Localizacoes!$G$3:$H$100,2,FALSE)</f>
        <v>EBC</v>
      </c>
      <c r="P284">
        <f>VLOOKUP(N284,ID!$G$3:$H$100,2,FALSE)</f>
        <v>131</v>
      </c>
      <c r="Q284" t="s">
        <v>21</v>
      </c>
      <c r="R284" t="str">
        <f>VLOOKUP(Q284,Localizacoes!$I$3:$J$100,2,FALSE)</f>
        <v>MOT</v>
      </c>
      <c r="S284" t="str">
        <f>VLOOKUP(Q284,ID!$I$3:$J$100,2,FALSE)</f>
        <v>MOT</v>
      </c>
      <c r="T284" s="4" t="s">
        <v>187</v>
      </c>
      <c r="U284" t="s">
        <v>264</v>
      </c>
      <c r="X284" t="s">
        <v>6</v>
      </c>
      <c r="Y284" t="s">
        <v>270</v>
      </c>
      <c r="Z284" t="str">
        <f t="shared" si="61"/>
        <v>Motor 03</v>
      </c>
      <c r="AA284"/>
      <c r="AD284" s="13" t="s">
        <v>7</v>
      </c>
      <c r="AF284" t="str">
        <f t="shared" si="57"/>
        <v>Electrobomba centrífugaMotor</v>
      </c>
      <c r="AG284" s="28" t="str">
        <f>VLOOKUP(AF284,Imagens!$C$2:$D$42,2,FALSE)</f>
        <v>65d04210323a4</v>
      </c>
      <c r="AH284" t="str">
        <f>_xlfn.CONCAT(Imagens!$H$2,'registo_ativo-CDs (1)'!AG284)</f>
        <v>assets/imagens/products/65d04210323a4</v>
      </c>
      <c r="AI284" s="67">
        <v>45302</v>
      </c>
      <c r="AK284" s="32"/>
    </row>
    <row r="285" spans="1:37" ht="16.8" customHeight="1" x14ac:dyDescent="0.3">
      <c r="A285">
        <f t="shared" si="60"/>
        <v>15</v>
      </c>
      <c r="B285" t="str">
        <f t="shared" si="55"/>
        <v>CD41BBG152QEA03</v>
      </c>
      <c r="C285" t="str">
        <f t="shared" si="56"/>
        <v>CD-INT-BBG-QEL-QEA-03</v>
      </c>
      <c r="E285" t="s">
        <v>37</v>
      </c>
      <c r="F285" t="s">
        <v>46</v>
      </c>
      <c r="G285" t="s">
        <v>46</v>
      </c>
      <c r="H285" s="14" t="s">
        <v>51</v>
      </c>
      <c r="I285" t="s">
        <v>84</v>
      </c>
      <c r="J285">
        <f>VLOOKUP(H285,ID!$C$3:$D$100,2,FALSE)</f>
        <v>41</v>
      </c>
      <c r="K285" t="s">
        <v>274</v>
      </c>
      <c r="L285" t="str">
        <f>VLOOKUP(K285,Localizacoes!$E$3:$F$100,2,FALSE)</f>
        <v>BBG</v>
      </c>
      <c r="M285" t="str">
        <f>VLOOKUP(K285,ID!$E$3:$F$100,2,FALSE)</f>
        <v>BBG</v>
      </c>
      <c r="N285" t="s">
        <v>286</v>
      </c>
      <c r="O285" t="str">
        <f>VLOOKUP(N285,Localizacoes!$G$3:$H$100,2,FALSE)</f>
        <v>QEL</v>
      </c>
      <c r="P285">
        <f>VLOOKUP(N285,ID!$G$3:$H$100,2,FALSE)</f>
        <v>152</v>
      </c>
      <c r="Q285" t="s">
        <v>154</v>
      </c>
      <c r="R285" t="str">
        <f>VLOOKUP(Q285,Localizacoes!$I$3:$J$100,2,FALSE)</f>
        <v>QEA</v>
      </c>
      <c r="S285" t="str">
        <f>VLOOKUP(Q285,ID!$I$3:$J$100,2,FALSE)</f>
        <v>QEA</v>
      </c>
      <c r="T285" s="4" t="s">
        <v>187</v>
      </c>
      <c r="U285" t="s">
        <v>265</v>
      </c>
      <c r="Y285" t="s">
        <v>270</v>
      </c>
      <c r="Z285" t="str">
        <f t="shared" si="61"/>
        <v>Quadros Eléctricos de Arranque 03</v>
      </c>
      <c r="AA285"/>
      <c r="AD285" s="13" t="s">
        <v>267</v>
      </c>
      <c r="AF285" t="str">
        <f t="shared" si="57"/>
        <v>Quadro EléctricoQuadros Eléctricos de Arranque</v>
      </c>
      <c r="AG285" s="28" t="str">
        <f>VLOOKUP(AF285,Imagens!$C$2:$D$42,2,FALSE)</f>
        <v>65e8d2fa35c12</v>
      </c>
      <c r="AH285" t="str">
        <f>_xlfn.CONCAT(Imagens!$H$2,'registo_ativo-CDs (1)'!AG285)</f>
        <v>assets/imagens/products/65e8d2fa35c12</v>
      </c>
      <c r="AI285" s="67">
        <v>45358</v>
      </c>
      <c r="AK285" s="32"/>
    </row>
    <row r="286" spans="1:37" ht="16.8" customHeight="1" x14ac:dyDescent="0.3">
      <c r="A286">
        <f t="shared" si="60"/>
        <v>15</v>
      </c>
      <c r="B286" t="str">
        <f t="shared" si="55"/>
        <v>CD41BBG131VSU03</v>
      </c>
      <c r="C286" t="str">
        <f t="shared" si="56"/>
        <v>CD-INT-BBG-EBC-VSU-03</v>
      </c>
      <c r="E286" t="s">
        <v>37</v>
      </c>
      <c r="F286" t="s">
        <v>46</v>
      </c>
      <c r="G286" t="s">
        <v>46</v>
      </c>
      <c r="H286" s="14" t="s">
        <v>51</v>
      </c>
      <c r="I286" t="s">
        <v>84</v>
      </c>
      <c r="J286">
        <f>VLOOKUP(H286,ID!$C$3:$D$100,2,FALSE)</f>
        <v>41</v>
      </c>
      <c r="K286" t="s">
        <v>274</v>
      </c>
      <c r="L286" t="str">
        <f>VLOOKUP(K286,Localizacoes!$E$3:$F$100,2,FALSE)</f>
        <v>BBG</v>
      </c>
      <c r="M286" t="str">
        <f>VLOOKUP(K286,ID!$E$3:$F$100,2,FALSE)</f>
        <v>BBG</v>
      </c>
      <c r="N286" t="s">
        <v>704</v>
      </c>
      <c r="O286" t="str">
        <f>VLOOKUP(N286,Localizacoes!$G$3:$H$100,2,FALSE)</f>
        <v>EBC</v>
      </c>
      <c r="P286">
        <f>VLOOKUP(N286,ID!$G$3:$H$100,2,FALSE)</f>
        <v>131</v>
      </c>
      <c r="Q286" t="s">
        <v>276</v>
      </c>
      <c r="R286" t="str">
        <f>VLOOKUP(Q286,Localizacoes!$I$3:$J$100,2,FALSE)</f>
        <v>VSU</v>
      </c>
      <c r="S286" t="str">
        <f>VLOOKUP(Q286,ID!$I$3:$J$100,2,FALSE)</f>
        <v>VSU</v>
      </c>
      <c r="T286" s="4" t="s">
        <v>187</v>
      </c>
      <c r="U286" t="s">
        <v>264</v>
      </c>
      <c r="Y286" t="s">
        <v>270</v>
      </c>
      <c r="Z286" t="str">
        <f t="shared" si="61"/>
        <v>Válvula Sucção 03</v>
      </c>
      <c r="AA286"/>
      <c r="AD286" s="13" t="s">
        <v>267</v>
      </c>
      <c r="AF286" t="str">
        <f t="shared" si="57"/>
        <v>Electrobomba centrífugaVálvula Sucção</v>
      </c>
      <c r="AG286" s="28" t="str">
        <f>VLOOKUP(AF286,Imagens!$C$2:$D$42,2,FALSE)</f>
        <v>65e8cda0676b7</v>
      </c>
      <c r="AH286" t="str">
        <f>_xlfn.CONCAT(Imagens!$H$2,'registo_ativo-CDs (1)'!AG286)</f>
        <v>assets/imagens/products/65e8cda0676b7</v>
      </c>
      <c r="AI286" s="67">
        <v>45358</v>
      </c>
      <c r="AK286" s="32"/>
    </row>
    <row r="287" spans="1:37" ht="16.8" customHeight="1" x14ac:dyDescent="0.3">
      <c r="A287">
        <f t="shared" si="60"/>
        <v>15</v>
      </c>
      <c r="B287" t="str">
        <f t="shared" si="55"/>
        <v>CD41BBG131AEL03</v>
      </c>
      <c r="C287" t="str">
        <f t="shared" si="56"/>
        <v>CD-INT-BBG-EBC-AEL-03</v>
      </c>
      <c r="E287" t="s">
        <v>37</v>
      </c>
      <c r="F287" t="s">
        <v>46</v>
      </c>
      <c r="G287" t="s">
        <v>46</v>
      </c>
      <c r="H287" s="14" t="s">
        <v>51</v>
      </c>
      <c r="I287" t="s">
        <v>84</v>
      </c>
      <c r="J287">
        <f>VLOOKUP(H287,ID!$C$3:$D$100,2,FALSE)</f>
        <v>41</v>
      </c>
      <c r="K287" t="s">
        <v>274</v>
      </c>
      <c r="L287" t="str">
        <f>VLOOKUP(K287,Localizacoes!$E$3:$F$100,2,FALSE)</f>
        <v>BBG</v>
      </c>
      <c r="M287" t="str">
        <f>VLOOKUP(K287,ID!$E$3:$F$100,2,FALSE)</f>
        <v>BBG</v>
      </c>
      <c r="N287" t="s">
        <v>704</v>
      </c>
      <c r="O287" t="str">
        <f>VLOOKUP(N287,Localizacoes!$G$3:$H$100,2,FALSE)</f>
        <v>EBC</v>
      </c>
      <c r="P287">
        <f>VLOOKUP(N287,ID!$G$3:$H$100,2,FALSE)</f>
        <v>131</v>
      </c>
      <c r="Q287" t="s">
        <v>149</v>
      </c>
      <c r="R287" t="str">
        <f>VLOOKUP(Q287,Localizacoes!$I$3:$J$100,2,FALSE)</f>
        <v>AEL</v>
      </c>
      <c r="S287" t="str">
        <f>VLOOKUP(Q287,ID!$I$3:$J$100,2,FALSE)</f>
        <v>AEL</v>
      </c>
      <c r="T287" s="4" t="s">
        <v>187</v>
      </c>
      <c r="U287" t="s">
        <v>265</v>
      </c>
      <c r="Y287" t="s">
        <v>270</v>
      </c>
      <c r="Z287" t="str">
        <f t="shared" si="61"/>
        <v>Actuador Eléctrico 03</v>
      </c>
      <c r="AA287"/>
      <c r="AD287" s="13" t="s">
        <v>267</v>
      </c>
      <c r="AF287" t="str">
        <f t="shared" si="57"/>
        <v>Electrobomba centrífugaActuador Eléctrico</v>
      </c>
      <c r="AG287" s="28" t="str">
        <f>VLOOKUP(AF287,Imagens!$C$2:$D$42,2,FALSE)</f>
        <v>65e8db8f62d7b</v>
      </c>
      <c r="AH287" t="str">
        <f>_xlfn.CONCAT(Imagens!$H$2,'registo_ativo-CDs (1)'!AG287)</f>
        <v>assets/imagens/products/65e8db8f62d7b</v>
      </c>
      <c r="AI287" s="67">
        <v>45358</v>
      </c>
      <c r="AK287" s="32"/>
    </row>
    <row r="288" spans="1:37" ht="16.8" customHeight="1" x14ac:dyDescent="0.3">
      <c r="A288">
        <f t="shared" si="60"/>
        <v>15</v>
      </c>
      <c r="B288" t="str">
        <f t="shared" si="55"/>
        <v>CD41HTH133BOM01</v>
      </c>
      <c r="C288" t="str">
        <f t="shared" si="56"/>
        <v>CD-INT-HTH-EBD-BOM-01</v>
      </c>
      <c r="E288" t="s">
        <v>37</v>
      </c>
      <c r="F288" t="s">
        <v>46</v>
      </c>
      <c r="G288" t="s">
        <v>46</v>
      </c>
      <c r="H288" s="14" t="s">
        <v>51</v>
      </c>
      <c r="I288" t="s">
        <v>84</v>
      </c>
      <c r="J288">
        <f>VLOOKUP(H288,ID!$C$3:$D$100,2,FALSE)</f>
        <v>41</v>
      </c>
      <c r="K288" t="s">
        <v>138</v>
      </c>
      <c r="L288" t="str">
        <f>VLOOKUP(K288,Localizacoes!$E$3:$F$100,2,FALSE)</f>
        <v>HTH</v>
      </c>
      <c r="M288" t="str">
        <f>VLOOKUP(K288,ID!$E$3:$F$100,2,FALSE)</f>
        <v>HTH</v>
      </c>
      <c r="N288" t="s">
        <v>662</v>
      </c>
      <c r="O288" t="str">
        <f>VLOOKUP(N288,Localizacoes!$G$3:$H$100,2,FALSE)</f>
        <v>EBD</v>
      </c>
      <c r="P288">
        <f>VLOOKUP(N288,ID!$G$3:$H$100,2,FALSE)</f>
        <v>133</v>
      </c>
      <c r="Q288" t="s">
        <v>150</v>
      </c>
      <c r="R288" t="str">
        <f>VLOOKUP(Q288,Localizacoes!$I$3:$J$100,2,FALSE)</f>
        <v>BOM</v>
      </c>
      <c r="S288" t="str">
        <f>VLOOKUP(Q288,ID!$I$3:$J$100,2,FALSE)</f>
        <v>BOM</v>
      </c>
      <c r="T288" s="4" t="s">
        <v>182</v>
      </c>
      <c r="U288" t="s">
        <v>264</v>
      </c>
      <c r="Y288" t="s">
        <v>270</v>
      </c>
      <c r="Z288" t="str">
        <f t="shared" si="61"/>
        <v>Bomba 01</v>
      </c>
      <c r="AA288"/>
      <c r="AD288" s="13" t="s">
        <v>7</v>
      </c>
      <c r="AF288" t="str">
        <f t="shared" si="57"/>
        <v>Electrobomba Doseadora de DiafragmaBomba</v>
      </c>
      <c r="AG288" s="28" t="str">
        <f>VLOOKUP(AF288,Imagens!$C$2:$D$42,2,FALSE)</f>
        <v>65e8d1ea50af1</v>
      </c>
      <c r="AH288" t="str">
        <f>_xlfn.CONCAT(Imagens!$H$2,'registo_ativo-CDs (1)'!AG288)</f>
        <v>assets/imagens/products/65e8d1ea50af1</v>
      </c>
      <c r="AI288" s="67">
        <v>45302</v>
      </c>
      <c r="AK288" s="32"/>
    </row>
    <row r="289" spans="1:37" ht="16.8" customHeight="1" x14ac:dyDescent="0.3">
      <c r="A289">
        <f t="shared" si="60"/>
        <v>15</v>
      </c>
      <c r="B289" t="str">
        <f t="shared" si="55"/>
        <v>CD41HTH133MOT01</v>
      </c>
      <c r="C289" t="str">
        <f t="shared" si="56"/>
        <v>CD-INT-HTH-EBD-MOT-01</v>
      </c>
      <c r="E289" t="s">
        <v>37</v>
      </c>
      <c r="F289" t="str">
        <f>VLOOKUP(E289,Localizacoes!$A$3:$B$100,2,FALSE)</f>
        <v>CD</v>
      </c>
      <c r="G289" t="str">
        <f>VLOOKUP(E289,ID!$A$3:$B$100,2,FALSE)</f>
        <v>CD</v>
      </c>
      <c r="H289" s="14" t="s">
        <v>51</v>
      </c>
      <c r="I289" t="str">
        <f>VLOOKUP(H289,Localizacoes!$C$3:$D$100,2,FALSE)</f>
        <v>INT</v>
      </c>
      <c r="J289">
        <f>VLOOKUP(H289,ID!$C$3:$D$100,2,FALSE)</f>
        <v>41</v>
      </c>
      <c r="K289" t="s">
        <v>138</v>
      </c>
      <c r="L289" t="str">
        <f>VLOOKUP(K289,Localizacoes!$E$3:$F$100,2,FALSE)</f>
        <v>HTH</v>
      </c>
      <c r="M289" t="str">
        <f>VLOOKUP(K289,ID!$E$3:$F$100,2,FALSE)</f>
        <v>HTH</v>
      </c>
      <c r="N289" t="s">
        <v>662</v>
      </c>
      <c r="O289" t="str">
        <f>VLOOKUP(N289,Localizacoes!$G$3:$H$100,2,FALSE)</f>
        <v>EBD</v>
      </c>
      <c r="P289">
        <f>VLOOKUP(N289,ID!$G$3:$H$100,2,FALSE)</f>
        <v>133</v>
      </c>
      <c r="Q289" t="s">
        <v>21</v>
      </c>
      <c r="R289" t="str">
        <f>VLOOKUP(Q289,Localizacoes!$I$3:$J$100,2,FALSE)</f>
        <v>MOT</v>
      </c>
      <c r="S289" t="str">
        <f>VLOOKUP(Q289,ID!$I$3:$J$100,2,FALSE)</f>
        <v>MOT</v>
      </c>
      <c r="T289" s="4" t="s">
        <v>182</v>
      </c>
      <c r="U289" t="s">
        <v>265</v>
      </c>
      <c r="X289" t="s">
        <v>6</v>
      </c>
      <c r="Y289" t="s">
        <v>270</v>
      </c>
      <c r="Z289" t="str">
        <f t="shared" si="61"/>
        <v>Motor 01</v>
      </c>
      <c r="AA289"/>
      <c r="AD289" s="13" t="s">
        <v>7</v>
      </c>
      <c r="AF289" t="str">
        <f t="shared" si="57"/>
        <v>Electrobomba Doseadora de DiafragmaMotor</v>
      </c>
      <c r="AG289" s="28" t="str">
        <f>VLOOKUP(AF289,Imagens!$C$2:$D$42,2,FALSE)</f>
        <v>65e8d1ea50af1</v>
      </c>
      <c r="AH289" t="str">
        <f>_xlfn.CONCAT(Imagens!$H$2,'registo_ativo-CDs (1)'!AG289)</f>
        <v>assets/imagens/products/65e8d1ea50af1</v>
      </c>
      <c r="AI289" s="67">
        <v>45302</v>
      </c>
      <c r="AK289" s="32"/>
    </row>
    <row r="290" spans="1:37" ht="16.8" customHeight="1" x14ac:dyDescent="0.3">
      <c r="A290">
        <f t="shared" si="60"/>
        <v>15</v>
      </c>
      <c r="B290" t="str">
        <f t="shared" si="55"/>
        <v>CD41HTH133BOM02</v>
      </c>
      <c r="C290" t="str">
        <f t="shared" si="56"/>
        <v>CD-INT-HTH-EBD-BOM-02</v>
      </c>
      <c r="E290" t="s">
        <v>37</v>
      </c>
      <c r="F290" t="s">
        <v>46</v>
      </c>
      <c r="G290" t="s">
        <v>46</v>
      </c>
      <c r="H290" s="14" t="s">
        <v>51</v>
      </c>
      <c r="I290" t="s">
        <v>84</v>
      </c>
      <c r="J290">
        <f>VLOOKUP(H290,ID!$C$3:$D$100,2,FALSE)</f>
        <v>41</v>
      </c>
      <c r="K290" t="s">
        <v>138</v>
      </c>
      <c r="L290" t="str">
        <f>VLOOKUP(K290,Localizacoes!$E$3:$F$100,2,FALSE)</f>
        <v>HTH</v>
      </c>
      <c r="M290" t="str">
        <f>VLOOKUP(K290,ID!$E$3:$F$100,2,FALSE)</f>
        <v>HTH</v>
      </c>
      <c r="N290" t="s">
        <v>662</v>
      </c>
      <c r="O290" t="str">
        <f>VLOOKUP(N290,Localizacoes!$G$3:$H$100,2,FALSE)</f>
        <v>EBD</v>
      </c>
      <c r="P290">
        <f>VLOOKUP(N290,ID!$G$3:$H$100,2,FALSE)</f>
        <v>133</v>
      </c>
      <c r="Q290" t="s">
        <v>150</v>
      </c>
      <c r="R290" t="str">
        <f>VLOOKUP(Q290,Localizacoes!$I$3:$J$100,2,FALSE)</f>
        <v>BOM</v>
      </c>
      <c r="S290" t="str">
        <f>VLOOKUP(Q290,ID!$I$3:$J$100,2,FALSE)</f>
        <v>BOM</v>
      </c>
      <c r="T290" s="4" t="s">
        <v>186</v>
      </c>
      <c r="U290" t="s">
        <v>264</v>
      </c>
      <c r="Y290" t="s">
        <v>270</v>
      </c>
      <c r="Z290" t="str">
        <f t="shared" si="61"/>
        <v>Bomba 02</v>
      </c>
      <c r="AA290"/>
      <c r="AD290" s="13" t="s">
        <v>7</v>
      </c>
      <c r="AF290" t="str">
        <f t="shared" si="57"/>
        <v>Electrobomba Doseadora de DiafragmaBomba</v>
      </c>
      <c r="AG290" s="28" t="str">
        <f>VLOOKUP(AF290,Imagens!$C$2:$D$42,2,FALSE)</f>
        <v>65e8d1ea50af1</v>
      </c>
      <c r="AH290" t="str">
        <f>_xlfn.CONCAT(Imagens!$H$2,'registo_ativo-CDs (1)'!AG290)</f>
        <v>assets/imagens/products/65e8d1ea50af1</v>
      </c>
      <c r="AI290" s="67">
        <v>45302</v>
      </c>
      <c r="AK290" s="32"/>
    </row>
    <row r="291" spans="1:37" ht="16.8" customHeight="1" x14ac:dyDescent="0.3">
      <c r="A291">
        <f t="shared" ref="A291" si="62">LEN(B291)</f>
        <v>15</v>
      </c>
      <c r="B291" t="str">
        <f t="shared" ref="B291" si="63">CONCATENATE(G291,J291,M291,P291,S291,T291)</f>
        <v>CD41HTH133MOT02</v>
      </c>
      <c r="C291" t="str">
        <f t="shared" ref="C291" si="64">CONCATENATE(F291, "-", I291, "-", L291, "-", O291, "-", R291, "-", T291)</f>
        <v>CD-INT-HTH-EBD-MOT-02</v>
      </c>
      <c r="E291" t="s">
        <v>37</v>
      </c>
      <c r="F291" t="str">
        <f>VLOOKUP(E291,Localizacoes!$A$3:$B$100,2,FALSE)</f>
        <v>CD</v>
      </c>
      <c r="G291" t="str">
        <f>VLOOKUP(E291,ID!$A$3:$B$100,2,FALSE)</f>
        <v>CD</v>
      </c>
      <c r="H291" s="14" t="s">
        <v>51</v>
      </c>
      <c r="I291" t="str">
        <f>VLOOKUP(H291,Localizacoes!$C$3:$D$100,2,FALSE)</f>
        <v>INT</v>
      </c>
      <c r="J291">
        <f>VLOOKUP(H291,ID!$C$3:$D$100,2,FALSE)</f>
        <v>41</v>
      </c>
      <c r="K291" t="s">
        <v>138</v>
      </c>
      <c r="L291" t="str">
        <f>VLOOKUP(K291,Localizacoes!$E$3:$F$100,2,FALSE)</f>
        <v>HTH</v>
      </c>
      <c r="M291" t="str">
        <f>VLOOKUP(K291,ID!$E$3:$F$100,2,FALSE)</f>
        <v>HTH</v>
      </c>
      <c r="N291" t="s">
        <v>662</v>
      </c>
      <c r="O291" t="str">
        <f>VLOOKUP(N291,Localizacoes!$G$3:$H$100,2,FALSE)</f>
        <v>EBD</v>
      </c>
      <c r="P291">
        <f>VLOOKUP(N291,ID!$G$3:$H$100,2,FALSE)</f>
        <v>133</v>
      </c>
      <c r="Q291" t="s">
        <v>21</v>
      </c>
      <c r="R291" t="str">
        <f>VLOOKUP(Q291,Localizacoes!$I$3:$J$100,2,FALSE)</f>
        <v>MOT</v>
      </c>
      <c r="S291" t="str">
        <f>VLOOKUP(Q291,ID!$I$3:$J$100,2,FALSE)</f>
        <v>MOT</v>
      </c>
      <c r="T291" s="4" t="s">
        <v>186</v>
      </c>
      <c r="U291" t="s">
        <v>265</v>
      </c>
      <c r="X291" t="s">
        <v>6</v>
      </c>
      <c r="Y291" t="s">
        <v>270</v>
      </c>
      <c r="Z291" t="str">
        <f t="shared" ref="Z291" si="65">Q291&amp;" "&amp; T291</f>
        <v>Motor 02</v>
      </c>
      <c r="AA291"/>
      <c r="AD291" s="13" t="s">
        <v>7</v>
      </c>
      <c r="AF291" t="str">
        <f t="shared" ref="AF291" si="66">_xlfn.CONCAT(N291,Q291)</f>
        <v>Electrobomba Doseadora de DiafragmaMotor</v>
      </c>
      <c r="AG291" s="28" t="str">
        <f>VLOOKUP(AF291,Imagens!$C$2:$D$42,2,FALSE)</f>
        <v>65e8d1ea50af1</v>
      </c>
      <c r="AH291" t="str">
        <f>_xlfn.CONCAT(Imagens!$H$2,'registo_ativo-CDs (1)'!AG291)</f>
        <v>assets/imagens/products/65e8d1ea50af1</v>
      </c>
      <c r="AI291" s="67">
        <v>45302</v>
      </c>
      <c r="AK291" s="32"/>
    </row>
    <row r="292" spans="1:37" ht="16.8" customHeight="1" x14ac:dyDescent="0.3">
      <c r="A292">
        <f t="shared" si="60"/>
        <v>15</v>
      </c>
      <c r="B292" t="str">
        <f t="shared" si="55"/>
        <v>CD41HTH103MOT01</v>
      </c>
      <c r="C292" t="str">
        <f t="shared" si="56"/>
        <v>CD-INT-HTH-AGI-MOT-01</v>
      </c>
      <c r="E292" t="s">
        <v>37</v>
      </c>
      <c r="F292" t="s">
        <v>46</v>
      </c>
      <c r="G292" t="s">
        <v>46</v>
      </c>
      <c r="H292" s="14" t="s">
        <v>51</v>
      </c>
      <c r="I292" t="s">
        <v>84</v>
      </c>
      <c r="J292">
        <f>VLOOKUP(H292,ID!$C$3:$D$100,2,FALSE)</f>
        <v>41</v>
      </c>
      <c r="K292" t="s">
        <v>138</v>
      </c>
      <c r="L292" t="str">
        <f>VLOOKUP(K292,Localizacoes!$E$3:$F$100,2,FALSE)</f>
        <v>HTH</v>
      </c>
      <c r="M292" t="str">
        <f>VLOOKUP(K292,ID!$E$3:$F$100,2,FALSE)</f>
        <v>HTH</v>
      </c>
      <c r="N292" t="s">
        <v>131</v>
      </c>
      <c r="O292" t="str">
        <f>VLOOKUP(N292,Localizacoes!$G$3:$H$100,2,FALSE)</f>
        <v>AGI</v>
      </c>
      <c r="P292">
        <f>VLOOKUP(N292,ID!$G$3:$H$100,2,FALSE)</f>
        <v>103</v>
      </c>
      <c r="Q292" t="s">
        <v>21</v>
      </c>
      <c r="R292" t="str">
        <f>VLOOKUP(Q292,Localizacoes!$I$3:$J$100,2,FALSE)</f>
        <v>MOT</v>
      </c>
      <c r="S292" t="str">
        <f>VLOOKUP(Q292,ID!$I$3:$J$100,2,FALSE)</f>
        <v>MOT</v>
      </c>
      <c r="T292" s="4" t="s">
        <v>182</v>
      </c>
      <c r="U292" t="s">
        <v>265</v>
      </c>
      <c r="Y292" t="s">
        <v>270</v>
      </c>
      <c r="Z292" t="str">
        <f t="shared" si="61"/>
        <v>Motor 01</v>
      </c>
      <c r="AA292"/>
      <c r="AD292" s="13" t="s">
        <v>7</v>
      </c>
      <c r="AF292" t="str">
        <f t="shared" si="57"/>
        <v>Agitador  Motor</v>
      </c>
      <c r="AG292" s="28" t="str">
        <f>VLOOKUP(AF292,Imagens!$C$2:$D$42,2,FALSE)</f>
        <v>65e8e1a7e4bd4</v>
      </c>
      <c r="AH292" t="str">
        <f>_xlfn.CONCAT(Imagens!$H$2,'registo_ativo-CDs (1)'!AG292)</f>
        <v>assets/imagens/products/65e8e1a7e4bd4</v>
      </c>
      <c r="AI292" s="67">
        <v>45302</v>
      </c>
      <c r="AK292" s="32"/>
    </row>
    <row r="293" spans="1:37" ht="16.8" customHeight="1" x14ac:dyDescent="0.3">
      <c r="A293">
        <f t="shared" si="60"/>
        <v>15</v>
      </c>
      <c r="B293" t="str">
        <f t="shared" si="55"/>
        <v>CD41HTH103MOT02</v>
      </c>
      <c r="C293" t="str">
        <f t="shared" si="56"/>
        <v>CD-INT-HTH-AGI-MOT-02</v>
      </c>
      <c r="E293" t="s">
        <v>37</v>
      </c>
      <c r="F293" t="s">
        <v>46</v>
      </c>
      <c r="G293" t="s">
        <v>46</v>
      </c>
      <c r="H293" s="14" t="s">
        <v>51</v>
      </c>
      <c r="I293" t="s">
        <v>84</v>
      </c>
      <c r="J293">
        <f>VLOOKUP(H293,ID!$C$3:$D$100,2,FALSE)</f>
        <v>41</v>
      </c>
      <c r="K293" t="s">
        <v>138</v>
      </c>
      <c r="L293" t="str">
        <f>VLOOKUP(K293,Localizacoes!$E$3:$F$100,2,FALSE)</f>
        <v>HTH</v>
      </c>
      <c r="M293" t="str">
        <f>VLOOKUP(K293,ID!$E$3:$F$100,2,FALSE)</f>
        <v>HTH</v>
      </c>
      <c r="N293" t="s">
        <v>131</v>
      </c>
      <c r="O293" t="str">
        <f>VLOOKUP(N293,Localizacoes!$G$3:$H$100,2,FALSE)</f>
        <v>AGI</v>
      </c>
      <c r="P293">
        <f>VLOOKUP(N293,ID!$G$3:$H$100,2,FALSE)</f>
        <v>103</v>
      </c>
      <c r="Q293" t="s">
        <v>21</v>
      </c>
      <c r="R293" t="str">
        <f>VLOOKUP(Q293,Localizacoes!$I$3:$J$100,2,FALSE)</f>
        <v>MOT</v>
      </c>
      <c r="S293" t="str">
        <f>VLOOKUP(Q293,ID!$I$3:$J$100,2,FALSE)</f>
        <v>MOT</v>
      </c>
      <c r="T293" s="4" t="s">
        <v>186</v>
      </c>
      <c r="U293" t="s">
        <v>265</v>
      </c>
      <c r="Y293" t="s">
        <v>270</v>
      </c>
      <c r="Z293" t="str">
        <f t="shared" si="61"/>
        <v>Motor 02</v>
      </c>
      <c r="AA293"/>
      <c r="AD293" s="13" t="s">
        <v>7</v>
      </c>
      <c r="AF293" t="str">
        <f t="shared" si="57"/>
        <v>Agitador  Motor</v>
      </c>
      <c r="AG293" s="28" t="str">
        <f>VLOOKUP(AF293,Imagens!$C$2:$D$42,2,FALSE)</f>
        <v>65e8e1a7e4bd4</v>
      </c>
      <c r="AH293" t="str">
        <f>_xlfn.CONCAT(Imagens!$H$2,'registo_ativo-CDs (1)'!AG293)</f>
        <v>assets/imagens/products/65e8e1a7e4bd4</v>
      </c>
      <c r="AI293" s="67">
        <v>45302</v>
      </c>
      <c r="AK293" s="32"/>
    </row>
    <row r="294" spans="1:37" ht="16.8" customHeight="1" x14ac:dyDescent="0.3">
      <c r="A294">
        <f t="shared" si="60"/>
        <v>15</v>
      </c>
      <c r="B294" t="str">
        <f t="shared" si="55"/>
        <v>CD41QEA152QEA04</v>
      </c>
      <c r="C294" t="str">
        <f t="shared" si="56"/>
        <v>CD-INT-QEA-QEL-QEA-04</v>
      </c>
      <c r="E294" t="s">
        <v>37</v>
      </c>
      <c r="F294" t="s">
        <v>46</v>
      </c>
      <c r="G294" t="s">
        <v>46</v>
      </c>
      <c r="H294" s="14" t="s">
        <v>51</v>
      </c>
      <c r="I294" t="s">
        <v>84</v>
      </c>
      <c r="J294">
        <f>VLOOKUP(H294,ID!$C$3:$D$100,2,FALSE)</f>
        <v>41</v>
      </c>
      <c r="K294" t="s">
        <v>154</v>
      </c>
      <c r="L294" t="str">
        <f>VLOOKUP(K294,Localizacoes!$E$3:$F$100,2,FALSE)</f>
        <v>QEA</v>
      </c>
      <c r="M294" t="str">
        <f>VLOOKUP(K294,ID!$E$3:$F$100,2,FALSE)</f>
        <v>QEA</v>
      </c>
      <c r="N294" t="s">
        <v>286</v>
      </c>
      <c r="O294" t="str">
        <f>VLOOKUP(N294,Localizacoes!$G$3:$H$100,2,FALSE)</f>
        <v>QEL</v>
      </c>
      <c r="P294">
        <f>VLOOKUP(N294,ID!$G$3:$H$100,2,FALSE)</f>
        <v>152</v>
      </c>
      <c r="Q294" t="s">
        <v>154</v>
      </c>
      <c r="R294" t="str">
        <f>VLOOKUP(Q294,Localizacoes!$I$3:$J$100,2,FALSE)</f>
        <v>QEA</v>
      </c>
      <c r="S294" t="str">
        <f>VLOOKUP(Q294,ID!$I$3:$J$100,2,FALSE)</f>
        <v>QEA</v>
      </c>
      <c r="T294" s="4" t="s">
        <v>188</v>
      </c>
      <c r="U294" t="s">
        <v>265</v>
      </c>
      <c r="Y294" t="s">
        <v>270</v>
      </c>
      <c r="Z294" t="str">
        <f t="shared" si="61"/>
        <v>Quadros Eléctricos de Arranque 04</v>
      </c>
      <c r="AA294"/>
      <c r="AD294" s="13" t="s">
        <v>267</v>
      </c>
      <c r="AF294" t="str">
        <f t="shared" si="57"/>
        <v>Quadro EléctricoQuadros Eléctricos de Arranque</v>
      </c>
      <c r="AG294" s="28" t="str">
        <f>VLOOKUP(AF294,Imagens!$C$2:$D$42,2,FALSE)</f>
        <v>65e8d2fa35c12</v>
      </c>
      <c r="AH294" t="str">
        <f>_xlfn.CONCAT(Imagens!$H$2,'registo_ativo-CDs (1)'!AG294)</f>
        <v>assets/imagens/products/65e8d2fa35c12</v>
      </c>
      <c r="AI294" s="67">
        <v>45358</v>
      </c>
      <c r="AK294" s="32"/>
    </row>
    <row r="295" spans="1:37" ht="16.8" customHeight="1" x14ac:dyDescent="0.3">
      <c r="A295">
        <f t="shared" si="60"/>
        <v>15</v>
      </c>
      <c r="B295" t="str">
        <f t="shared" si="55"/>
        <v>CD41CAN152QBT01</v>
      </c>
      <c r="C295" t="str">
        <f t="shared" si="56"/>
        <v>CD-INT-CAN-QEL-QBT-01</v>
      </c>
      <c r="E295" t="s">
        <v>37</v>
      </c>
      <c r="F295" t="s">
        <v>46</v>
      </c>
      <c r="G295" t="s">
        <v>46</v>
      </c>
      <c r="H295" s="14" t="s">
        <v>51</v>
      </c>
      <c r="I295" t="s">
        <v>84</v>
      </c>
      <c r="J295">
        <f>VLOOKUP(H295,ID!$C$3:$D$100,2,FALSE)</f>
        <v>41</v>
      </c>
      <c r="K295" t="s">
        <v>101</v>
      </c>
      <c r="L295" t="str">
        <f>VLOOKUP(K295,Localizacoes!$E$3:$F$100,2,FALSE)</f>
        <v>CAN</v>
      </c>
      <c r="M295" t="str">
        <f>VLOOKUP(K295,ID!$E$3:$F$100,2,FALSE)</f>
        <v>CAN</v>
      </c>
      <c r="N295" t="s">
        <v>286</v>
      </c>
      <c r="O295" t="str">
        <f>VLOOKUP(N295,Localizacoes!$G$3:$H$100,2,FALSE)</f>
        <v>QEL</v>
      </c>
      <c r="P295">
        <f>VLOOKUP(N295,ID!$G$3:$H$100,2,FALSE)</f>
        <v>152</v>
      </c>
      <c r="Q295" t="s">
        <v>443</v>
      </c>
      <c r="R295" t="str">
        <f>VLOOKUP(Q295,Localizacoes!$I$3:$J$100,2,FALSE)</f>
        <v>QBT</v>
      </c>
      <c r="S295" t="str">
        <f>VLOOKUP(Q295,ID!$I$3:$J$100,2,FALSE)</f>
        <v>QBT</v>
      </c>
      <c r="T295" s="4" t="s">
        <v>182</v>
      </c>
      <c r="U295" t="s">
        <v>265</v>
      </c>
      <c r="Y295" t="s">
        <v>270</v>
      </c>
      <c r="Z295" t="str">
        <f t="shared" si="61"/>
        <v>Quadro de Baixa Tensão 01</v>
      </c>
      <c r="AA295"/>
      <c r="AD295" s="13" t="s">
        <v>267</v>
      </c>
      <c r="AF295" t="str">
        <f t="shared" si="57"/>
        <v>Quadro EléctricoQuadro de Baixa Tensão</v>
      </c>
      <c r="AG295" s="28" t="str">
        <f>VLOOKUP(AF295,Imagens!$C$2:$D$42,2,FALSE)</f>
        <v>65d1346bf3835</v>
      </c>
      <c r="AH295" t="str">
        <f>_xlfn.CONCAT(Imagens!$H$2,'registo_ativo-CDs (1)'!AG295)</f>
        <v>assets/imagens/products/65d1346bf3835</v>
      </c>
      <c r="AI295" s="67">
        <v>45358</v>
      </c>
      <c r="AK295" s="32"/>
    </row>
    <row r="296" spans="1:37" ht="16.8" customHeight="1" x14ac:dyDescent="0.3">
      <c r="A296">
        <f t="shared" si="60"/>
        <v>15</v>
      </c>
      <c r="B296" t="str">
        <f t="shared" si="55"/>
        <v>CD41CAN152QBT02</v>
      </c>
      <c r="C296" t="str">
        <f t="shared" si="56"/>
        <v>CD-INT-CAN-QEL-QBT-02</v>
      </c>
      <c r="E296" t="s">
        <v>37</v>
      </c>
      <c r="F296" t="s">
        <v>46</v>
      </c>
      <c r="G296" t="s">
        <v>46</v>
      </c>
      <c r="H296" s="14" t="s">
        <v>51</v>
      </c>
      <c r="I296" t="s">
        <v>84</v>
      </c>
      <c r="J296">
        <f>VLOOKUP(H296,ID!$C$3:$D$100,2,FALSE)</f>
        <v>41</v>
      </c>
      <c r="K296" t="s">
        <v>101</v>
      </c>
      <c r="L296" t="str">
        <f>VLOOKUP(K296,Localizacoes!$E$3:$F$100,2,FALSE)</f>
        <v>CAN</v>
      </c>
      <c r="M296" t="str">
        <f>VLOOKUP(K296,ID!$E$3:$F$100,2,FALSE)</f>
        <v>CAN</v>
      </c>
      <c r="N296" t="s">
        <v>286</v>
      </c>
      <c r="O296" t="str">
        <f>VLOOKUP(N296,Localizacoes!$G$3:$H$100,2,FALSE)</f>
        <v>QEL</v>
      </c>
      <c r="P296">
        <f>VLOOKUP(N296,ID!$G$3:$H$100,2,FALSE)</f>
        <v>152</v>
      </c>
      <c r="Q296" t="s">
        <v>443</v>
      </c>
      <c r="R296" t="str">
        <f>VLOOKUP(Q296,Localizacoes!$I$3:$J$100,2,FALSE)</f>
        <v>QBT</v>
      </c>
      <c r="S296" t="str">
        <f>VLOOKUP(Q296,ID!$I$3:$J$100,2,FALSE)</f>
        <v>QBT</v>
      </c>
      <c r="T296" s="4" t="s">
        <v>186</v>
      </c>
      <c r="U296" t="s">
        <v>265</v>
      </c>
      <c r="Y296" t="s">
        <v>270</v>
      </c>
      <c r="Z296" t="str">
        <f t="shared" si="61"/>
        <v>Quadro de Baixa Tensão 02</v>
      </c>
      <c r="AA296"/>
      <c r="AD296" s="13" t="s">
        <v>267</v>
      </c>
      <c r="AF296" t="str">
        <f t="shared" si="57"/>
        <v>Quadro EléctricoQuadro de Baixa Tensão</v>
      </c>
      <c r="AG296" s="28" t="str">
        <f>VLOOKUP(AF296,Imagens!$C$2:$D$42,2,FALSE)</f>
        <v>65d1346bf3835</v>
      </c>
      <c r="AH296" t="str">
        <f>_xlfn.CONCAT(Imagens!$H$2,'registo_ativo-CDs (1)'!AG296)</f>
        <v>assets/imagens/products/65d1346bf3835</v>
      </c>
      <c r="AI296" s="67">
        <v>45358</v>
      </c>
      <c r="AK296" s="32"/>
    </row>
    <row r="297" spans="1:37" ht="16.8" customHeight="1" x14ac:dyDescent="0.3">
      <c r="A297">
        <f t="shared" si="60"/>
        <v>15</v>
      </c>
      <c r="B297" t="str">
        <f t="shared" si="55"/>
        <v>CD41CAN152QBT03</v>
      </c>
      <c r="C297" t="str">
        <f t="shared" si="56"/>
        <v>CD-INT-CAN-QEL-QBT-03</v>
      </c>
      <c r="E297" t="s">
        <v>37</v>
      </c>
      <c r="F297" t="s">
        <v>46</v>
      </c>
      <c r="G297" t="s">
        <v>46</v>
      </c>
      <c r="H297" s="14" t="s">
        <v>51</v>
      </c>
      <c r="I297" t="s">
        <v>84</v>
      </c>
      <c r="J297">
        <f>VLOOKUP(H297,ID!$C$3:$D$100,2,FALSE)</f>
        <v>41</v>
      </c>
      <c r="K297" t="s">
        <v>101</v>
      </c>
      <c r="L297" t="str">
        <f>VLOOKUP(K297,Localizacoes!$E$3:$F$100,2,FALSE)</f>
        <v>CAN</v>
      </c>
      <c r="M297" t="str">
        <f>VLOOKUP(K297,ID!$E$3:$F$100,2,FALSE)</f>
        <v>CAN</v>
      </c>
      <c r="N297" t="s">
        <v>286</v>
      </c>
      <c r="O297" t="str">
        <f>VLOOKUP(N297,Localizacoes!$G$3:$H$100,2,FALSE)</f>
        <v>QEL</v>
      </c>
      <c r="P297">
        <f>VLOOKUP(N297,ID!$G$3:$H$100,2,FALSE)</f>
        <v>152</v>
      </c>
      <c r="Q297" t="s">
        <v>443</v>
      </c>
      <c r="R297" t="str">
        <f>VLOOKUP(Q297,Localizacoes!$I$3:$J$100,2,FALSE)</f>
        <v>QBT</v>
      </c>
      <c r="S297" t="str">
        <f>VLOOKUP(Q297,ID!$I$3:$J$100,2,FALSE)</f>
        <v>QBT</v>
      </c>
      <c r="T297" s="4" t="s">
        <v>187</v>
      </c>
      <c r="U297" t="s">
        <v>265</v>
      </c>
      <c r="X297" t="s">
        <v>6</v>
      </c>
      <c r="Y297" t="s">
        <v>270</v>
      </c>
      <c r="Z297" t="str">
        <f t="shared" si="61"/>
        <v>Quadro de Baixa Tensão 03</v>
      </c>
      <c r="AA297"/>
      <c r="AD297" s="13" t="s">
        <v>267</v>
      </c>
      <c r="AF297" t="str">
        <f t="shared" si="57"/>
        <v>Quadro EléctricoQuadro de Baixa Tensão</v>
      </c>
      <c r="AG297" s="28" t="str">
        <f>VLOOKUP(AF297,Imagens!$C$2:$D$42,2,FALSE)</f>
        <v>65d1346bf3835</v>
      </c>
      <c r="AH297" t="str">
        <f>_xlfn.CONCAT(Imagens!$H$2,'registo_ativo-CDs (1)'!AG297)</f>
        <v>assets/imagens/products/65d1346bf3835</v>
      </c>
      <c r="AI297" s="67">
        <v>45358</v>
      </c>
      <c r="AK297" s="32"/>
    </row>
    <row r="298" spans="1:37" ht="16.8" customHeight="1" x14ac:dyDescent="0.3">
      <c r="A298">
        <f t="shared" si="60"/>
        <v>15</v>
      </c>
      <c r="B298" t="str">
        <f t="shared" si="55"/>
        <v>CD41CAN152QBT04</v>
      </c>
      <c r="C298" t="str">
        <f t="shared" si="56"/>
        <v>CD-INT-CAN-QEL-QBT-04</v>
      </c>
      <c r="E298" t="s">
        <v>37</v>
      </c>
      <c r="F298" t="s">
        <v>46</v>
      </c>
      <c r="G298" t="s">
        <v>46</v>
      </c>
      <c r="H298" s="14" t="s">
        <v>51</v>
      </c>
      <c r="I298" t="s">
        <v>84</v>
      </c>
      <c r="J298">
        <f>VLOOKUP(H298,ID!$C$3:$D$100,2,FALSE)</f>
        <v>41</v>
      </c>
      <c r="K298" t="s">
        <v>101</v>
      </c>
      <c r="L298" t="str">
        <f>VLOOKUP(K298,Localizacoes!$E$3:$F$100,2,FALSE)</f>
        <v>CAN</v>
      </c>
      <c r="M298" t="str">
        <f>VLOOKUP(K298,ID!$E$3:$F$100,2,FALSE)</f>
        <v>CAN</v>
      </c>
      <c r="N298" t="s">
        <v>286</v>
      </c>
      <c r="O298" t="str">
        <f>VLOOKUP(N298,Localizacoes!$G$3:$H$100,2,FALSE)</f>
        <v>QEL</v>
      </c>
      <c r="P298">
        <f>VLOOKUP(N298,ID!$G$3:$H$100,2,FALSE)</f>
        <v>152</v>
      </c>
      <c r="Q298" t="s">
        <v>443</v>
      </c>
      <c r="R298" t="str">
        <f>VLOOKUP(Q298,Localizacoes!$I$3:$J$100,2,FALSE)</f>
        <v>QBT</v>
      </c>
      <c r="S298" t="str">
        <f>VLOOKUP(Q298,ID!$I$3:$J$100,2,FALSE)</f>
        <v>QBT</v>
      </c>
      <c r="T298" s="4" t="s">
        <v>188</v>
      </c>
      <c r="U298" t="s">
        <v>265</v>
      </c>
      <c r="Y298" t="s">
        <v>270</v>
      </c>
      <c r="Z298" t="str">
        <f t="shared" si="61"/>
        <v>Quadro de Baixa Tensão 04</v>
      </c>
      <c r="AA298"/>
      <c r="AD298" s="13" t="s">
        <v>267</v>
      </c>
      <c r="AF298" t="str">
        <f t="shared" si="57"/>
        <v>Quadro EléctricoQuadro de Baixa Tensão</v>
      </c>
      <c r="AG298" s="28" t="str">
        <f>VLOOKUP(AF298,Imagens!$C$2:$D$42,2,FALSE)</f>
        <v>65d1346bf3835</v>
      </c>
      <c r="AH298" t="str">
        <f>_xlfn.CONCAT(Imagens!$H$2,'registo_ativo-CDs (1)'!AG298)</f>
        <v>assets/imagens/products/65d1346bf3835</v>
      </c>
      <c r="AI298" s="67">
        <v>45358</v>
      </c>
      <c r="AK298" s="32"/>
    </row>
    <row r="299" spans="1:37" ht="16.8" customHeight="1" x14ac:dyDescent="0.3">
      <c r="A299">
        <f t="shared" ref="A299" si="67">LEN(B299)</f>
        <v>15</v>
      </c>
      <c r="B299" t="str">
        <f t="shared" si="55"/>
        <v>CD41BBG165GEL01</v>
      </c>
      <c r="C299" t="str">
        <f t="shared" si="56"/>
        <v>CD-INT-BBG-SUB-GEL-01</v>
      </c>
      <c r="E299" t="s">
        <v>37</v>
      </c>
      <c r="F299" t="s">
        <v>46</v>
      </c>
      <c r="G299" t="s">
        <v>46</v>
      </c>
      <c r="H299" s="14" t="s">
        <v>51</v>
      </c>
      <c r="I299" t="s">
        <v>84</v>
      </c>
      <c r="J299">
        <f>VLOOKUP(H299,ID!$C$3:$D$100,2,FALSE)</f>
        <v>41</v>
      </c>
      <c r="K299" t="s">
        <v>274</v>
      </c>
      <c r="L299" t="str">
        <f>VLOOKUP(K299,Localizacoes!$E$3:$F$100,2,FALSE)</f>
        <v>BBG</v>
      </c>
      <c r="M299" t="str">
        <f>VLOOKUP(K299,ID!$E$3:$F$100,2,FALSE)</f>
        <v>BBG</v>
      </c>
      <c r="N299" t="s">
        <v>112</v>
      </c>
      <c r="O299" t="str">
        <f>VLOOKUP(N299,Localizacoes!$G$3:$H$100,2,FALSE)</f>
        <v>SUB</v>
      </c>
      <c r="P299">
        <f>VLOOKUP(N299,ID!$G$3:$H$100,2,FALSE)</f>
        <v>165</v>
      </c>
      <c r="Q299" t="s">
        <v>654</v>
      </c>
      <c r="R299" t="str">
        <f>VLOOKUP(Q299,Localizacoes!$I$3:$J$100,2,FALSE)</f>
        <v>GEL</v>
      </c>
      <c r="S299" t="str">
        <f>VLOOKUP(Q299,ID!$I$3:$J$100,2,FALSE)</f>
        <v>GEL</v>
      </c>
      <c r="T299" s="4" t="s">
        <v>182</v>
      </c>
      <c r="U299" t="s">
        <v>265</v>
      </c>
      <c r="Y299" s="2" t="s">
        <v>372</v>
      </c>
      <c r="Z299" t="str">
        <f t="shared" ref="Z299" si="68">Q299&amp;" "&amp; T299</f>
        <v>Gerador Eléctrica 01</v>
      </c>
      <c r="AA299"/>
      <c r="AD299" s="13" t="s">
        <v>7</v>
      </c>
      <c r="AF299" t="str">
        <f t="shared" si="57"/>
        <v>SubestaçãoGerador Eléctrica</v>
      </c>
      <c r="AG299" s="28" t="str">
        <f>VLOOKUP(AF299,Imagens!$C$2:$D$42,2,FALSE)</f>
        <v>65e8da741759f</v>
      </c>
      <c r="AH299" t="str">
        <f>_xlfn.CONCAT(Imagens!$H$2,'registo_ativo-CDs (1)'!AG299)</f>
        <v>assets/imagens/products/65e8da741759f</v>
      </c>
      <c r="AI299" s="70"/>
      <c r="AK299" s="33"/>
    </row>
    <row r="300" spans="1:37" ht="16.8" customHeight="1" x14ac:dyDescent="0.3">
      <c r="A300">
        <f t="shared" si="60"/>
        <v>15</v>
      </c>
      <c r="B300" t="str">
        <f t="shared" si="55"/>
        <v>CD41BBG165GMC01</v>
      </c>
      <c r="C300" t="str">
        <f t="shared" si="56"/>
        <v>CD-INT-BBG-SUB-GMC-01</v>
      </c>
      <c r="E300" t="s">
        <v>37</v>
      </c>
      <c r="F300" t="s">
        <v>46</v>
      </c>
      <c r="G300" t="s">
        <v>46</v>
      </c>
      <c r="H300" s="14" t="s">
        <v>51</v>
      </c>
      <c r="I300" t="s">
        <v>84</v>
      </c>
      <c r="J300">
        <f>VLOOKUP(H300,ID!$C$3:$D$100,2,FALSE)</f>
        <v>41</v>
      </c>
      <c r="K300" t="s">
        <v>274</v>
      </c>
      <c r="L300" t="str">
        <f>VLOOKUP(K300,Localizacoes!$E$3:$F$100,2,FALSE)</f>
        <v>BBG</v>
      </c>
      <c r="M300" t="str">
        <f>VLOOKUP(K300,ID!$E$3:$F$100,2,FALSE)</f>
        <v>BBG</v>
      </c>
      <c r="N300" t="s">
        <v>112</v>
      </c>
      <c r="O300" t="str">
        <f>VLOOKUP(N300,Localizacoes!$G$3:$H$100,2,FALSE)</f>
        <v>SUB</v>
      </c>
      <c r="P300">
        <f>VLOOKUP(N300,ID!$G$3:$H$100,2,FALSE)</f>
        <v>165</v>
      </c>
      <c r="Q300" t="s">
        <v>658</v>
      </c>
      <c r="R300" t="str">
        <f>VLOOKUP(Q300,Localizacoes!$I$3:$J$100,2,FALSE)</f>
        <v>GMC</v>
      </c>
      <c r="S300" t="str">
        <f>VLOOKUP(Q300,ID!$I$3:$J$100,2,FALSE)</f>
        <v>GMC</v>
      </c>
      <c r="T300" s="4" t="s">
        <v>182</v>
      </c>
      <c r="U300" t="s">
        <v>264</v>
      </c>
      <c r="Y300" s="2" t="s">
        <v>372</v>
      </c>
      <c r="Z300" t="str">
        <f t="shared" si="61"/>
        <v>Gerador Mecânica 01</v>
      </c>
      <c r="AA300"/>
      <c r="AD300" s="13" t="s">
        <v>7</v>
      </c>
      <c r="AF300" t="str">
        <f t="shared" si="57"/>
        <v>SubestaçãoGerador Mecânica</v>
      </c>
      <c r="AG300" s="28" t="str">
        <f>VLOOKUP(AF300,Imagens!$C$2:$D$42,2,FALSE)</f>
        <v>65e8da741759f</v>
      </c>
      <c r="AH300" t="str">
        <f>_xlfn.CONCAT(Imagens!$H$2,'registo_ativo-CDs (1)'!AG300)</f>
        <v>assets/imagens/products/65e8da741759f</v>
      </c>
      <c r="AI300" s="70"/>
      <c r="AK300" s="33"/>
    </row>
    <row r="301" spans="1:37" ht="16.8" customHeight="1" x14ac:dyDescent="0.3">
      <c r="A301">
        <f t="shared" si="60"/>
        <v>15</v>
      </c>
      <c r="B301" t="str">
        <f t="shared" si="55"/>
        <v>CD41ILU164ILL01</v>
      </c>
      <c r="C301" t="str">
        <f t="shared" si="56"/>
        <v>CD-INT-ILU-SIL-ILL-01</v>
      </c>
      <c r="E301" t="s">
        <v>37</v>
      </c>
      <c r="F301" t="s">
        <v>46</v>
      </c>
      <c r="G301" t="s">
        <v>46</v>
      </c>
      <c r="H301" s="14" t="s">
        <v>51</v>
      </c>
      <c r="I301" t="s">
        <v>84</v>
      </c>
      <c r="J301">
        <f>VLOOKUP(H301,ID!$C$3:$D$100,2,FALSE)</f>
        <v>41</v>
      </c>
      <c r="K301" t="s">
        <v>141</v>
      </c>
      <c r="L301" t="str">
        <f>VLOOKUP(K301,Localizacoes!$E$3:$F$100,2,FALSE)</f>
        <v>ILU</v>
      </c>
      <c r="M301" t="str">
        <f>VLOOKUP(K301,ID!$E$3:$F$100,2,FALSE)</f>
        <v>ILU</v>
      </c>
      <c r="N301" t="s">
        <v>688</v>
      </c>
      <c r="O301" t="str">
        <f>VLOOKUP(N301,Localizacoes!$G$3:$H$100,2,FALSE)</f>
        <v>SIL</v>
      </c>
      <c r="P301">
        <f>VLOOKUP(N301,ID!$G$3:$H$100,2,FALSE)</f>
        <v>164</v>
      </c>
      <c r="Q301" t="s">
        <v>141</v>
      </c>
      <c r="R301" t="str">
        <f>VLOOKUP(Q301,Localizacoes!$I$3:$J$100,2,FALSE)</f>
        <v>ILL</v>
      </c>
      <c r="S301" t="str">
        <f>VLOOKUP(Q301,ID!$I$3:$J$100,2,FALSE)</f>
        <v>ILL</v>
      </c>
      <c r="T301" s="4" t="s">
        <v>182</v>
      </c>
      <c r="U301" t="s">
        <v>265</v>
      </c>
      <c r="Y301" t="s">
        <v>270</v>
      </c>
      <c r="Z301" t="str">
        <f t="shared" si="61"/>
        <v>Iluminação 01</v>
      </c>
      <c r="AA301"/>
      <c r="AD301" s="13" t="s">
        <v>267</v>
      </c>
      <c r="AF301" t="str">
        <f t="shared" si="57"/>
        <v>Sistema de IluminaçãoIluminação</v>
      </c>
      <c r="AG301" s="28" t="str">
        <f>VLOOKUP(AF301,Imagens!$C$2:$D$42,2,FALSE)</f>
        <v>65e8e579bfe6c</v>
      </c>
      <c r="AH301" t="str">
        <f>_xlfn.CONCAT(Imagens!$H$2,'registo_ativo-CDs (1)'!AG301)</f>
        <v>assets/imagens/products/65e8e579bfe6c</v>
      </c>
      <c r="AI301" s="67">
        <v>45302</v>
      </c>
      <c r="AK301" s="32"/>
    </row>
    <row r="302" spans="1:37" ht="16.8" customHeight="1" x14ac:dyDescent="0.3">
      <c r="A302">
        <f t="shared" si="60"/>
        <v>15</v>
      </c>
      <c r="B302" t="str">
        <f t="shared" si="55"/>
        <v>CD41CAN131CAN01</v>
      </c>
      <c r="C302" t="str">
        <f t="shared" si="56"/>
        <v>CD-INT-CAN-EBC-CAN-01</v>
      </c>
      <c r="E302" t="s">
        <v>37</v>
      </c>
      <c r="F302" t="s">
        <v>46</v>
      </c>
      <c r="G302" t="s">
        <v>46</v>
      </c>
      <c r="H302" s="14" t="s">
        <v>51</v>
      </c>
      <c r="I302" t="s">
        <v>84</v>
      </c>
      <c r="J302">
        <f>VLOOKUP(H302,ID!$C$3:$D$100,2,FALSE)</f>
        <v>41</v>
      </c>
      <c r="K302" t="s">
        <v>101</v>
      </c>
      <c r="L302" t="str">
        <f>VLOOKUP(K302,Localizacoes!$E$3:$F$100,2,FALSE)</f>
        <v>CAN</v>
      </c>
      <c r="M302" t="str">
        <f>VLOOKUP(K302,ID!$E$3:$F$100,2,FALSE)</f>
        <v>CAN</v>
      </c>
      <c r="N302" t="s">
        <v>704</v>
      </c>
      <c r="O302" t="str">
        <f>VLOOKUP(N302,Localizacoes!$G$3:$H$100,2,FALSE)</f>
        <v>EBC</v>
      </c>
      <c r="P302">
        <f>VLOOKUP(N302,ID!$G$3:$H$100,2,FALSE)</f>
        <v>131</v>
      </c>
      <c r="Q302" t="s">
        <v>101</v>
      </c>
      <c r="R302" t="str">
        <f>VLOOKUP(Q302,Localizacoes!$I$3:$J$100,2,FALSE)</f>
        <v>CAN</v>
      </c>
      <c r="S302" t="str">
        <f>VLOOKUP(Q302,ID!$I$3:$J$100,2,FALSE)</f>
        <v>CAN</v>
      </c>
      <c r="T302" s="4" t="s">
        <v>182</v>
      </c>
      <c r="U302" t="s">
        <v>265</v>
      </c>
      <c r="Y302" t="s">
        <v>270</v>
      </c>
      <c r="Z302" t="str">
        <f t="shared" si="61"/>
        <v>Canalização Eléctrica 01</v>
      </c>
      <c r="AA302"/>
      <c r="AD302" s="13" t="s">
        <v>266</v>
      </c>
      <c r="AF302" t="str">
        <f t="shared" si="57"/>
        <v>Electrobomba centrífugaCanalização Eléctrica</v>
      </c>
      <c r="AG302" s="28" t="str">
        <f>VLOOKUP(AF302,Imagens!$C$2:$D$42,2,FALSE)</f>
        <v>65e8e4bb71249</v>
      </c>
      <c r="AH302" t="str">
        <f>_xlfn.CONCAT(Imagens!$H$2,'registo_ativo-CDs (1)'!AG302)</f>
        <v>assets/imagens/products/65e8e4bb71249</v>
      </c>
      <c r="AI302" s="67">
        <v>45470</v>
      </c>
      <c r="AK302" s="32"/>
    </row>
    <row r="303" spans="1:37" ht="16.8" customHeight="1" x14ac:dyDescent="0.3">
      <c r="A303">
        <f t="shared" si="60"/>
        <v>15</v>
      </c>
      <c r="B303" t="str">
        <f t="shared" si="55"/>
        <v>CD41CAN152QEI01</v>
      </c>
      <c r="C303" t="str">
        <f t="shared" si="56"/>
        <v>CD-INT-CAN-QEL-QEI-01</v>
      </c>
      <c r="E303" t="s">
        <v>37</v>
      </c>
      <c r="F303" t="s">
        <v>46</v>
      </c>
      <c r="G303" t="s">
        <v>46</v>
      </c>
      <c r="H303" s="14" t="s">
        <v>51</v>
      </c>
      <c r="I303" t="s">
        <v>84</v>
      </c>
      <c r="J303">
        <f>VLOOKUP(H303,ID!$C$3:$D$100,2,FALSE)</f>
        <v>41</v>
      </c>
      <c r="K303" t="s">
        <v>101</v>
      </c>
      <c r="L303" t="str">
        <f>VLOOKUP(K303,Localizacoes!$E$3:$F$100,2,FALSE)</f>
        <v>CAN</v>
      </c>
      <c r="M303" t="str">
        <f>VLOOKUP(K303,ID!$E$3:$F$100,2,FALSE)</f>
        <v>CAN</v>
      </c>
      <c r="N303" t="s">
        <v>286</v>
      </c>
      <c r="O303" t="str">
        <f>VLOOKUP(N303,Localizacoes!$G$3:$H$100,2,FALSE)</f>
        <v>QEL</v>
      </c>
      <c r="P303">
        <f>VLOOKUP(N303,ID!$G$3:$H$100,2,FALSE)</f>
        <v>152</v>
      </c>
      <c r="Q303" t="s">
        <v>446</v>
      </c>
      <c r="R303" t="str">
        <f>VLOOKUP(Q303,Localizacoes!$I$3:$J$100,2,FALSE)</f>
        <v>QEI</v>
      </c>
      <c r="S303" t="str">
        <f>VLOOKUP(Q303,ID!$I$3:$J$100,2,FALSE)</f>
        <v>QEI</v>
      </c>
      <c r="T303" s="4" t="s">
        <v>182</v>
      </c>
      <c r="U303" t="s">
        <v>265</v>
      </c>
      <c r="Y303" t="s">
        <v>270</v>
      </c>
      <c r="Z303" t="str">
        <f t="shared" si="61"/>
        <v>Quadro Eléctrico de Instrumentação 01</v>
      </c>
      <c r="AA303"/>
      <c r="AD303" s="13" t="s">
        <v>267</v>
      </c>
      <c r="AF303" t="str">
        <f t="shared" si="57"/>
        <v>Quadro EléctricoQuadro Eléctrico de Instrumentação</v>
      </c>
      <c r="AG303" s="28" t="str">
        <f>VLOOKUP(AF303,Imagens!$C$2:$D$42,2,FALSE)</f>
        <v>65d1346bf3835</v>
      </c>
      <c r="AH303" t="str">
        <f>_xlfn.CONCAT(Imagens!$H$2,'registo_ativo-CDs (1)'!AG303)</f>
        <v>assets/imagens/products/65d1346bf3835</v>
      </c>
      <c r="AI303" s="67">
        <v>45358</v>
      </c>
      <c r="AK303" s="32"/>
    </row>
    <row r="304" spans="1:37" ht="16.8" customHeight="1" x14ac:dyDescent="0.3">
      <c r="A304">
        <f t="shared" si="60"/>
        <v>15</v>
      </c>
      <c r="B304" t="str">
        <f t="shared" ref="B304:B368" si="69">CONCATENATE(G304,J304,M304,P304,S304,T304)</f>
        <v>CD41BBG146MCD01</v>
      </c>
      <c r="C304" t="str">
        <f t="shared" ref="C304:C368" si="70">CONCATENATE(F304, "-", I304, "-", L304, "-", O304, "-", R304, "-", T304)</f>
        <v>CD-INT-BBG-MDD-MCD-01</v>
      </c>
      <c r="E304" t="s">
        <v>37</v>
      </c>
      <c r="F304" t="s">
        <v>46</v>
      </c>
      <c r="G304" t="s">
        <v>46</v>
      </c>
      <c r="H304" s="14" t="s">
        <v>51</v>
      </c>
      <c r="I304" t="s">
        <v>84</v>
      </c>
      <c r="J304">
        <f>VLOOKUP(H304,ID!$C$3:$D$100,2,FALSE)</f>
        <v>41</v>
      </c>
      <c r="K304" t="s">
        <v>274</v>
      </c>
      <c r="L304" t="str">
        <f>VLOOKUP(K304,Localizacoes!$E$3:$F$100,2,FALSE)</f>
        <v>BBG</v>
      </c>
      <c r="M304" t="str">
        <f>VLOOKUP(K304,ID!$E$3:$F$100,2,FALSE)</f>
        <v>BBG</v>
      </c>
      <c r="N304" t="s">
        <v>672</v>
      </c>
      <c r="O304" t="str">
        <f>VLOOKUP(N304,Localizacoes!$G$3:$H$100,2,FALSE)</f>
        <v>MDD</v>
      </c>
      <c r="P304">
        <f>VLOOKUP(N304,ID!$G$3:$H$100,2,FALSE)</f>
        <v>146</v>
      </c>
      <c r="Q304" t="s">
        <v>370</v>
      </c>
      <c r="R304" t="str">
        <f>VLOOKUP(Q304,Localizacoes!$I$3:$J$100,2,FALSE)</f>
        <v>MCD</v>
      </c>
      <c r="S304" t="str">
        <f>VLOOKUP(Q304,ID!$I$3:$J$100,2,FALSE)</f>
        <v>MCD</v>
      </c>
      <c r="T304" s="4" t="s">
        <v>182</v>
      </c>
      <c r="U304" t="s">
        <v>265</v>
      </c>
      <c r="Y304" t="s">
        <v>270</v>
      </c>
      <c r="Z304" t="str">
        <f t="shared" si="61"/>
        <v>Macromedidor 01</v>
      </c>
      <c r="AA304"/>
      <c r="AD304" s="13" t="s">
        <v>266</v>
      </c>
      <c r="AF304" t="str">
        <f t="shared" ref="AF304:AF368" si="71">_xlfn.CONCAT(N304,Q304)</f>
        <v>MedidorMacromedidor</v>
      </c>
      <c r="AG304" s="28" t="str">
        <f>VLOOKUP(AF304,Imagens!$C$2:$D$42,2,FALSE)</f>
        <v>65e8dd4a9cd58</v>
      </c>
      <c r="AH304" t="str">
        <f>_xlfn.CONCAT(Imagens!$H$2,'registo_ativo-CDs (1)'!AG304)</f>
        <v>assets/imagens/products/65e8dd4a9cd58</v>
      </c>
      <c r="AI304" s="67">
        <v>45330</v>
      </c>
      <c r="AK304" s="32"/>
    </row>
    <row r="305" spans="1:37" ht="16.8" customHeight="1" x14ac:dyDescent="0.3">
      <c r="A305">
        <f t="shared" si="60"/>
        <v>15</v>
      </c>
      <c r="B305" t="str">
        <f t="shared" si="69"/>
        <v>CD41BBG146MCD02</v>
      </c>
      <c r="C305" t="str">
        <f t="shared" si="70"/>
        <v>CD-INT-BBG-MDD-MCD-02</v>
      </c>
      <c r="E305" t="s">
        <v>37</v>
      </c>
      <c r="F305" t="s">
        <v>46</v>
      </c>
      <c r="G305" t="s">
        <v>46</v>
      </c>
      <c r="H305" s="14" t="s">
        <v>51</v>
      </c>
      <c r="I305" t="s">
        <v>84</v>
      </c>
      <c r="J305">
        <f>VLOOKUP(H305,ID!$C$3:$D$100,2,FALSE)</f>
        <v>41</v>
      </c>
      <c r="K305" t="s">
        <v>274</v>
      </c>
      <c r="L305" t="str">
        <f>VLOOKUP(K305,Localizacoes!$E$3:$F$100,2,FALSE)</f>
        <v>BBG</v>
      </c>
      <c r="M305" t="str">
        <f>VLOOKUP(K305,ID!$E$3:$F$100,2,FALSE)</f>
        <v>BBG</v>
      </c>
      <c r="N305" t="s">
        <v>672</v>
      </c>
      <c r="O305" t="str">
        <f>VLOOKUP(N305,Localizacoes!$G$3:$H$100,2,FALSE)</f>
        <v>MDD</v>
      </c>
      <c r="P305">
        <f>VLOOKUP(N305,ID!$G$3:$H$100,2,FALSE)</f>
        <v>146</v>
      </c>
      <c r="Q305" t="s">
        <v>370</v>
      </c>
      <c r="R305" t="str">
        <f>VLOOKUP(Q305,Localizacoes!$I$3:$J$100,2,FALSE)</f>
        <v>MCD</v>
      </c>
      <c r="S305" t="str">
        <f>VLOOKUP(Q305,ID!$I$3:$J$100,2,FALSE)</f>
        <v>MCD</v>
      </c>
      <c r="T305" s="4" t="s">
        <v>186</v>
      </c>
      <c r="U305" t="s">
        <v>265</v>
      </c>
      <c r="Y305" t="s">
        <v>270</v>
      </c>
      <c r="Z305" t="str">
        <f t="shared" si="61"/>
        <v>Macromedidor 02</v>
      </c>
      <c r="AA305"/>
      <c r="AD305" s="13" t="s">
        <v>266</v>
      </c>
      <c r="AF305" t="str">
        <f t="shared" si="71"/>
        <v>MedidorMacromedidor</v>
      </c>
      <c r="AG305" s="28" t="str">
        <f>VLOOKUP(AF305,Imagens!$C$2:$D$42,2,FALSE)</f>
        <v>65e8dd4a9cd58</v>
      </c>
      <c r="AH305" t="str">
        <f>_xlfn.CONCAT(Imagens!$H$2,'registo_ativo-CDs (1)'!AG305)</f>
        <v>assets/imagens/products/65e8dd4a9cd58</v>
      </c>
      <c r="AI305" s="67">
        <v>45330</v>
      </c>
      <c r="AK305" s="32"/>
    </row>
    <row r="306" spans="1:37" ht="15" customHeight="1" x14ac:dyDescent="0.3">
      <c r="A306">
        <f t="shared" si="60"/>
        <v>15</v>
      </c>
      <c r="B306" t="str">
        <f t="shared" si="69"/>
        <v>CD41ECA143PRO01</v>
      </c>
      <c r="C306" t="str">
        <f t="shared" si="70"/>
        <v>CD-INT-ECA-GRU-PRO-01</v>
      </c>
      <c r="E306" t="s">
        <v>37</v>
      </c>
      <c r="F306" t="str">
        <f>VLOOKUP(E306,Localizacoes!$A$3:$B$100,2,FALSE)</f>
        <v>CD</v>
      </c>
      <c r="G306" t="str">
        <f>VLOOKUP(E306,ID!$A$3:$B$100,2,FALSE)</f>
        <v>CD</v>
      </c>
      <c r="H306" s="14" t="s">
        <v>51</v>
      </c>
      <c r="I306" t="str">
        <f>VLOOKUP(H306,Localizacoes!$C$3:$D$100,2,FALSE)</f>
        <v>INT</v>
      </c>
      <c r="J306">
        <f>VLOOKUP(H306,ID!$C$3:$D$100,2,FALSE)</f>
        <v>41</v>
      </c>
      <c r="K306" t="s">
        <v>285</v>
      </c>
      <c r="L306" t="str">
        <f>VLOOKUP(K306,Localizacoes!$E$3:$F$100,2,FALSE)</f>
        <v>ECA</v>
      </c>
      <c r="M306" t="str">
        <f>VLOOKUP(K306,ID!$E$3:$F$100,2,FALSE)</f>
        <v>ECA</v>
      </c>
      <c r="N306" t="s">
        <v>104</v>
      </c>
      <c r="O306" t="str">
        <f>VLOOKUP(N306,Localizacoes!$G$3:$H$100,2,FALSE)</f>
        <v>GRU</v>
      </c>
      <c r="P306">
        <f>VLOOKUP(N306,ID!$G$3:$H$100,2,FALSE)</f>
        <v>143</v>
      </c>
      <c r="Q306" t="s">
        <v>153</v>
      </c>
      <c r="R306" t="str">
        <f>VLOOKUP(Q306,Localizacoes!$I$3:$J$100,2,FALSE)</f>
        <v>PRO</v>
      </c>
      <c r="S306" t="str">
        <f>VLOOKUP(Q306,ID!$I$3:$J$100,2,FALSE)</f>
        <v>PRO</v>
      </c>
      <c r="T306" s="4" t="s">
        <v>182</v>
      </c>
      <c r="U306" t="s">
        <v>264</v>
      </c>
      <c r="Y306" t="s">
        <v>270</v>
      </c>
      <c r="Z306" t="str">
        <f t="shared" si="61"/>
        <v>Ponte Rolante 01</v>
      </c>
      <c r="AA306"/>
      <c r="AD306" s="13" t="s">
        <v>266</v>
      </c>
      <c r="AF306" t="str">
        <f t="shared" si="71"/>
        <v>GruaPonte Rolante</v>
      </c>
      <c r="AG306" s="28" t="str">
        <f>VLOOKUP(AF306,Imagens!$C$2:$D$42,2,FALSE)</f>
        <v>65c75d2748c4a</v>
      </c>
      <c r="AH306" t="str">
        <f>_xlfn.CONCAT(Imagens!$H$2,'registo_ativo-CDs (1)'!AG306)</f>
        <v>assets/imagens/products/65c75d2748c4a</v>
      </c>
      <c r="AI306" s="67">
        <v>45454</v>
      </c>
      <c r="AK306" s="32"/>
    </row>
    <row r="307" spans="1:37" ht="16.8" customHeight="1" x14ac:dyDescent="0.3">
      <c r="A307">
        <f t="shared" si="60"/>
        <v>15</v>
      </c>
      <c r="B307" t="str">
        <f t="shared" si="69"/>
        <v>CD41SB1165TRA05</v>
      </c>
      <c r="C307" t="str">
        <f t="shared" si="70"/>
        <v>CD-INT-SB1-SUB-TRA-05</v>
      </c>
      <c r="E307" t="s">
        <v>37</v>
      </c>
      <c r="F307" t="s">
        <v>46</v>
      </c>
      <c r="G307" t="s">
        <v>46</v>
      </c>
      <c r="H307" s="14" t="s">
        <v>51</v>
      </c>
      <c r="I307" t="s">
        <v>84</v>
      </c>
      <c r="J307">
        <f>VLOOKUP(H307,ID!$C$3:$D$100,2,FALSE)</f>
        <v>41</v>
      </c>
      <c r="K307" t="s">
        <v>127</v>
      </c>
      <c r="L307" t="str">
        <f>VLOOKUP(K307,Localizacoes!$E$3:$F$100,2,FALSE)</f>
        <v>SB1</v>
      </c>
      <c r="M307" t="str">
        <f>VLOOKUP(K307,ID!$E$3:$F$100,2,FALSE)</f>
        <v>SB1</v>
      </c>
      <c r="N307" t="s">
        <v>112</v>
      </c>
      <c r="O307" t="str">
        <f>VLOOKUP(N307,Localizacoes!$G$3:$H$100,2,FALSE)</f>
        <v>SUB</v>
      </c>
      <c r="P307">
        <f>VLOOKUP(N307,ID!$G$3:$H$100,2,FALSE)</f>
        <v>165</v>
      </c>
      <c r="Q307" t="s">
        <v>176</v>
      </c>
      <c r="R307" t="str">
        <f>VLOOKUP(Q307,Localizacoes!$I$3:$J$100,2,FALSE)</f>
        <v>TRA</v>
      </c>
      <c r="S307" t="str">
        <f>VLOOKUP(Q307,ID!$I$3:$J$100,2,FALSE)</f>
        <v>TRA</v>
      </c>
      <c r="T307" s="4" t="s">
        <v>189</v>
      </c>
      <c r="U307" t="s">
        <v>265</v>
      </c>
      <c r="Y307" t="s">
        <v>270</v>
      </c>
      <c r="Z307" t="str">
        <f t="shared" si="61"/>
        <v>Transformador 05</v>
      </c>
      <c r="AA307"/>
      <c r="AD307" s="13" t="s">
        <v>267</v>
      </c>
      <c r="AF307" t="str">
        <f t="shared" si="71"/>
        <v>SubestaçãoTransformador</v>
      </c>
      <c r="AG307" s="28" t="str">
        <f>VLOOKUP(AF307,Imagens!$C$2:$D$42,2,FALSE)</f>
        <v>65e8d98d73a3d</v>
      </c>
      <c r="AH307" t="str">
        <f>_xlfn.CONCAT(Imagens!$H$2,'registo_ativo-CDs (1)'!AG307)</f>
        <v>assets/imagens/products/65e8d98d73a3d</v>
      </c>
      <c r="AI307" s="67">
        <v>45302</v>
      </c>
      <c r="AK307" s="32"/>
    </row>
    <row r="308" spans="1:37" ht="16.8" customHeight="1" x14ac:dyDescent="0.3">
      <c r="A308">
        <f t="shared" ref="A308:A382" si="72">LEN(B308)</f>
        <v>15</v>
      </c>
      <c r="B308" t="str">
        <f t="shared" si="69"/>
        <v>CD82BBG131BOM01</v>
      </c>
      <c r="C308" t="str">
        <f t="shared" si="70"/>
        <v>CD-TSA-BBG-EBC-BOM-01</v>
      </c>
      <c r="E308" t="s">
        <v>37</v>
      </c>
      <c r="F308" t="s">
        <v>46</v>
      </c>
      <c r="G308" t="s">
        <v>46</v>
      </c>
      <c r="H308" s="14" t="s">
        <v>55</v>
      </c>
      <c r="I308" t="s">
        <v>93</v>
      </c>
      <c r="J308">
        <f>VLOOKUP(H308,ID!$C$3:$D$100,2,FALSE)</f>
        <v>82</v>
      </c>
      <c r="K308" t="s">
        <v>274</v>
      </c>
      <c r="L308" t="str">
        <f>VLOOKUP(K308,Localizacoes!$E$3:$F$100,2,FALSE)</f>
        <v>BBG</v>
      </c>
      <c r="M308" t="str">
        <f>VLOOKUP(K308,ID!$E$3:$F$100,2,FALSE)</f>
        <v>BBG</v>
      </c>
      <c r="N308" t="s">
        <v>704</v>
      </c>
      <c r="O308" t="str">
        <f>VLOOKUP(N308,Localizacoes!$G$3:$H$100,2,FALSE)</f>
        <v>EBC</v>
      </c>
      <c r="P308">
        <f>VLOOKUP(N308,ID!$G$3:$H$100,2,FALSE)</f>
        <v>131</v>
      </c>
      <c r="Q308" t="s">
        <v>150</v>
      </c>
      <c r="R308" t="str">
        <f>VLOOKUP(Q308,Localizacoes!$I$3:$J$100,2,FALSE)</f>
        <v>BOM</v>
      </c>
      <c r="S308" t="str">
        <f>VLOOKUP(Q308,ID!$I$3:$J$100,2,FALSE)</f>
        <v>BOM</v>
      </c>
      <c r="T308" s="4" t="s">
        <v>182</v>
      </c>
      <c r="U308" t="s">
        <v>264</v>
      </c>
      <c r="V308" t="s">
        <v>392</v>
      </c>
      <c r="W308" t="s">
        <v>549</v>
      </c>
      <c r="Y308" t="s">
        <v>270</v>
      </c>
      <c r="Z308" t="str">
        <f t="shared" si="61"/>
        <v>Bomba 01</v>
      </c>
      <c r="AA308"/>
      <c r="AD308" s="13" t="s">
        <v>7</v>
      </c>
      <c r="AF308" t="str">
        <f t="shared" si="71"/>
        <v>Electrobomba centrífugaBomba</v>
      </c>
      <c r="AG308" s="28" t="str">
        <f>VLOOKUP(AF308,Imagens!$C$2:$D$42,2,FALSE)</f>
        <v>65e96125c1d11</v>
      </c>
      <c r="AH308" t="str">
        <f>_xlfn.CONCAT(Imagens!$H$2,'registo_ativo-CDs (1)'!AG308)</f>
        <v>assets/imagens/products/65e96125c1d11</v>
      </c>
      <c r="AI308" s="67">
        <v>45307</v>
      </c>
      <c r="AK308" s="32"/>
    </row>
    <row r="309" spans="1:37" ht="16.8" customHeight="1" x14ac:dyDescent="0.3">
      <c r="A309">
        <f t="shared" si="72"/>
        <v>15</v>
      </c>
      <c r="B309" t="str">
        <f t="shared" si="69"/>
        <v>CD82BBG131MOT01</v>
      </c>
      <c r="C309" t="str">
        <f t="shared" si="70"/>
        <v>CD-TSA-BBG-EBC-MOT-01</v>
      </c>
      <c r="E309" t="s">
        <v>37</v>
      </c>
      <c r="F309" t="s">
        <v>46</v>
      </c>
      <c r="G309" t="s">
        <v>46</v>
      </c>
      <c r="H309" s="20" t="s">
        <v>55</v>
      </c>
      <c r="I309" t="s">
        <v>93</v>
      </c>
      <c r="J309">
        <f>VLOOKUP(H309,ID!$C$3:$D$100,2,FALSE)</f>
        <v>82</v>
      </c>
      <c r="K309" t="s">
        <v>274</v>
      </c>
      <c r="L309" t="str">
        <f>VLOOKUP(K309,Localizacoes!$E$3:$F$100,2,FALSE)</f>
        <v>BBG</v>
      </c>
      <c r="M309" t="str">
        <f>VLOOKUP(K309,ID!$E$3:$F$100,2,FALSE)</f>
        <v>BBG</v>
      </c>
      <c r="N309" t="s">
        <v>704</v>
      </c>
      <c r="O309" t="str">
        <f>VLOOKUP(N309,Localizacoes!$G$3:$H$100,2,FALSE)</f>
        <v>EBC</v>
      </c>
      <c r="P309">
        <f>VLOOKUP(N309,ID!$G$3:$H$100,2,FALSE)</f>
        <v>131</v>
      </c>
      <c r="Q309" t="s">
        <v>21</v>
      </c>
      <c r="R309" t="str">
        <f>VLOOKUP(Q309,Localizacoes!$I$3:$J$100,2,FALSE)</f>
        <v>MOT</v>
      </c>
      <c r="S309" t="str">
        <f>VLOOKUP(Q309,ID!$I$3:$J$100,2,FALSE)</f>
        <v>MOT</v>
      </c>
      <c r="T309" s="4" t="s">
        <v>182</v>
      </c>
      <c r="U309" t="s">
        <v>265</v>
      </c>
      <c r="V309" t="s">
        <v>543</v>
      </c>
      <c r="W309" t="s">
        <v>550</v>
      </c>
      <c r="X309" t="s">
        <v>6</v>
      </c>
      <c r="Y309" t="s">
        <v>270</v>
      </c>
      <c r="Z309" t="str">
        <f t="shared" si="61"/>
        <v>Motor 01</v>
      </c>
      <c r="AA309"/>
      <c r="AD309" s="13" t="s">
        <v>7</v>
      </c>
      <c r="AF309" t="str">
        <f t="shared" si="71"/>
        <v>Electrobomba centrífugaMotor</v>
      </c>
      <c r="AG309" s="28" t="str">
        <f>VLOOKUP(AF309,Imagens!$C$2:$D$42,2,FALSE)</f>
        <v>65d04210323a4</v>
      </c>
      <c r="AH309" t="str">
        <f>_xlfn.CONCAT(Imagens!$H$2,'registo_ativo-CDs (1)'!AG309)</f>
        <v>assets/imagens/products/65d04210323a4</v>
      </c>
      <c r="AI309" s="67">
        <v>45307</v>
      </c>
      <c r="AK309" s="32"/>
    </row>
    <row r="310" spans="1:37" ht="16.8" customHeight="1" x14ac:dyDescent="0.3">
      <c r="A310">
        <f t="shared" si="72"/>
        <v>15</v>
      </c>
      <c r="B310" t="str">
        <f t="shared" si="69"/>
        <v>CD82BBG152QEA01</v>
      </c>
      <c r="C310" t="str">
        <f t="shared" si="70"/>
        <v>CD-TSA-BBG-QEL-QEA-01</v>
      </c>
      <c r="E310" t="s">
        <v>37</v>
      </c>
      <c r="F310" t="s">
        <v>46</v>
      </c>
      <c r="G310" t="s">
        <v>46</v>
      </c>
      <c r="H310" s="20" t="s">
        <v>55</v>
      </c>
      <c r="I310" t="s">
        <v>93</v>
      </c>
      <c r="J310">
        <f>VLOOKUP(H310,ID!$C$3:$D$100,2,FALSE)</f>
        <v>82</v>
      </c>
      <c r="K310" t="s">
        <v>274</v>
      </c>
      <c r="L310" t="str">
        <f>VLOOKUP(K310,Localizacoes!$E$3:$F$100,2,FALSE)</f>
        <v>BBG</v>
      </c>
      <c r="M310" t="str">
        <f>VLOOKUP(K310,ID!$E$3:$F$100,2,FALSE)</f>
        <v>BBG</v>
      </c>
      <c r="N310" t="s">
        <v>286</v>
      </c>
      <c r="O310" t="str">
        <f>VLOOKUP(N310,Localizacoes!$G$3:$H$100,2,FALSE)</f>
        <v>QEL</v>
      </c>
      <c r="P310">
        <f>VLOOKUP(N310,ID!$G$3:$H$100,2,FALSE)</f>
        <v>152</v>
      </c>
      <c r="Q310" t="s">
        <v>154</v>
      </c>
      <c r="R310" t="str">
        <f>VLOOKUP(Q310,Localizacoes!$I$3:$J$100,2,FALSE)</f>
        <v>QEA</v>
      </c>
      <c r="S310" t="str">
        <f>VLOOKUP(Q310,ID!$I$3:$J$100,2,FALSE)</f>
        <v>QEA</v>
      </c>
      <c r="T310" s="4" t="s">
        <v>182</v>
      </c>
      <c r="U310" t="s">
        <v>265</v>
      </c>
      <c r="V310" t="s">
        <v>545</v>
      </c>
      <c r="W310" t="s">
        <v>551</v>
      </c>
      <c r="Y310" t="s">
        <v>270</v>
      </c>
      <c r="Z310" t="str">
        <f t="shared" si="61"/>
        <v>Quadros Eléctricos de Arranque 01</v>
      </c>
      <c r="AA310"/>
      <c r="AD310" s="13" t="s">
        <v>267</v>
      </c>
      <c r="AF310" t="str">
        <f t="shared" si="71"/>
        <v>Quadro EléctricoQuadros Eléctricos de Arranque</v>
      </c>
      <c r="AG310" s="28" t="str">
        <f>VLOOKUP(AF310,Imagens!$C$2:$D$42,2,FALSE)</f>
        <v>65e8d2fa35c12</v>
      </c>
      <c r="AH310" t="str">
        <f>_xlfn.CONCAT(Imagens!$H$2,'registo_ativo-CDs (1)'!AG310)</f>
        <v>assets/imagens/products/65e8d2fa35c12</v>
      </c>
      <c r="AI310" s="67">
        <v>45363</v>
      </c>
      <c r="AK310" s="32"/>
    </row>
    <row r="311" spans="1:37" ht="16.8" customHeight="1" x14ac:dyDescent="0.3">
      <c r="A311">
        <f t="shared" si="72"/>
        <v>15</v>
      </c>
      <c r="B311" t="str">
        <f t="shared" si="69"/>
        <v>CD82BBG131VSU01</v>
      </c>
      <c r="C311" t="str">
        <f t="shared" si="70"/>
        <v>CD-TSA-BBG-EBC-VSU-01</v>
      </c>
      <c r="E311" t="s">
        <v>37</v>
      </c>
      <c r="F311" t="s">
        <v>46</v>
      </c>
      <c r="G311" t="s">
        <v>46</v>
      </c>
      <c r="H311" s="20" t="s">
        <v>55</v>
      </c>
      <c r="I311" t="s">
        <v>93</v>
      </c>
      <c r="J311">
        <f>VLOOKUP(H311,ID!$C$3:$D$100,2,FALSE)</f>
        <v>82</v>
      </c>
      <c r="K311" t="s">
        <v>274</v>
      </c>
      <c r="L311" t="str">
        <f>VLOOKUP(K311,Localizacoes!$E$3:$F$100,2,FALSE)</f>
        <v>BBG</v>
      </c>
      <c r="M311" t="str">
        <f>VLOOKUP(K311,ID!$E$3:$F$100,2,FALSE)</f>
        <v>BBG</v>
      </c>
      <c r="N311" t="s">
        <v>704</v>
      </c>
      <c r="O311" t="str">
        <f>VLOOKUP(N311,Localizacoes!$G$3:$H$100,2,FALSE)</f>
        <v>EBC</v>
      </c>
      <c r="P311">
        <f>VLOOKUP(N311,ID!$G$3:$H$100,2,FALSE)</f>
        <v>131</v>
      </c>
      <c r="Q311" t="s">
        <v>276</v>
      </c>
      <c r="R311" t="str">
        <f>VLOOKUP(Q311,Localizacoes!$I$3:$J$100,2,FALSE)</f>
        <v>VSU</v>
      </c>
      <c r="S311" t="str">
        <f>VLOOKUP(Q311,ID!$I$3:$J$100,2,FALSE)</f>
        <v>VSU</v>
      </c>
      <c r="T311" s="4" t="s">
        <v>182</v>
      </c>
      <c r="U311" t="s">
        <v>264</v>
      </c>
      <c r="Y311" t="s">
        <v>270</v>
      </c>
      <c r="Z311" t="str">
        <f t="shared" ref="Z311:Z385" si="73">Q311&amp;" "&amp; T311</f>
        <v>Válvula Sucção 01</v>
      </c>
      <c r="AA311"/>
      <c r="AD311" s="13" t="s">
        <v>267</v>
      </c>
      <c r="AF311" t="str">
        <f t="shared" si="71"/>
        <v>Electrobomba centrífugaVálvula Sucção</v>
      </c>
      <c r="AG311" s="28" t="str">
        <f>VLOOKUP(AF311,Imagens!$C$2:$D$42,2,FALSE)</f>
        <v>65e8cda0676b7</v>
      </c>
      <c r="AH311" t="str">
        <f>_xlfn.CONCAT(Imagens!$H$2,'registo_ativo-CDs (1)'!AG311)</f>
        <v>assets/imagens/products/65e8cda0676b7</v>
      </c>
      <c r="AI311" s="67">
        <v>45363</v>
      </c>
      <c r="AK311" s="32"/>
    </row>
    <row r="312" spans="1:37" ht="16.8" customHeight="1" x14ac:dyDescent="0.3">
      <c r="A312">
        <f t="shared" si="72"/>
        <v>15</v>
      </c>
      <c r="B312" t="str">
        <f t="shared" si="69"/>
        <v>CD82BBG131VDE01</v>
      </c>
      <c r="C312" t="str">
        <f t="shared" si="70"/>
        <v>CD-TSA-BBG-EBC-VDE-01</v>
      </c>
      <c r="E312" t="s">
        <v>37</v>
      </c>
      <c r="F312" t="s">
        <v>46</v>
      </c>
      <c r="G312" t="s">
        <v>46</v>
      </c>
      <c r="H312" s="20" t="s">
        <v>55</v>
      </c>
      <c r="I312" t="s">
        <v>93</v>
      </c>
      <c r="J312">
        <f>VLOOKUP(H312,ID!$C$3:$D$100,2,FALSE)</f>
        <v>82</v>
      </c>
      <c r="K312" t="s">
        <v>274</v>
      </c>
      <c r="L312" t="str">
        <f>VLOOKUP(K312,Localizacoes!$E$3:$F$100,2,FALSE)</f>
        <v>BBG</v>
      </c>
      <c r="M312" t="str">
        <f>VLOOKUP(K312,ID!$E$3:$F$100,2,FALSE)</f>
        <v>BBG</v>
      </c>
      <c r="N312" t="s">
        <v>704</v>
      </c>
      <c r="O312" t="str">
        <f>VLOOKUP(N312,Localizacoes!$G$3:$H$100,2,FALSE)</f>
        <v>EBC</v>
      </c>
      <c r="P312">
        <f>VLOOKUP(N312,ID!$G$3:$H$100,2,FALSE)</f>
        <v>131</v>
      </c>
      <c r="Q312" t="s">
        <v>279</v>
      </c>
      <c r="R312" t="str">
        <f>VLOOKUP(Q312,Localizacoes!$I$3:$J$100,2,FALSE)</f>
        <v>VDE</v>
      </c>
      <c r="S312" t="str">
        <f>VLOOKUP(Q312,ID!$I$3:$J$100,2,FALSE)</f>
        <v>VDE</v>
      </c>
      <c r="T312" s="4" t="s">
        <v>182</v>
      </c>
      <c r="U312" t="s">
        <v>264</v>
      </c>
      <c r="Y312" t="s">
        <v>270</v>
      </c>
      <c r="Z312" t="str">
        <f t="shared" si="73"/>
        <v>Válvula Descarga 01</v>
      </c>
      <c r="AA312"/>
      <c r="AD312" s="13" t="s">
        <v>267</v>
      </c>
      <c r="AF312" t="str">
        <f t="shared" si="71"/>
        <v>Electrobomba centrífugaVálvula Descarga</v>
      </c>
      <c r="AG312" s="28" t="str">
        <f>VLOOKUP(AF312,Imagens!$C$2:$D$42,2,FALSE)</f>
        <v>65e8cda0676b7</v>
      </c>
      <c r="AH312" t="str">
        <f>_xlfn.CONCAT(Imagens!$H$2,'registo_ativo-CDs (1)'!AG312)</f>
        <v>assets/imagens/products/65e8cda0676b7</v>
      </c>
      <c r="AI312" s="67">
        <v>45363</v>
      </c>
      <c r="AK312" s="32"/>
    </row>
    <row r="313" spans="1:37" ht="16.8" customHeight="1" x14ac:dyDescent="0.3">
      <c r="A313">
        <f t="shared" si="72"/>
        <v>15</v>
      </c>
      <c r="B313" t="str">
        <f t="shared" si="69"/>
        <v>CD82BBG131BOM02</v>
      </c>
      <c r="C313" t="str">
        <f t="shared" si="70"/>
        <v>CD-TSA-BBG-EBC-BOM-02</v>
      </c>
      <c r="E313" t="s">
        <v>37</v>
      </c>
      <c r="F313" t="s">
        <v>46</v>
      </c>
      <c r="G313" t="s">
        <v>46</v>
      </c>
      <c r="H313" s="20" t="s">
        <v>55</v>
      </c>
      <c r="I313" t="s">
        <v>93</v>
      </c>
      <c r="J313">
        <f>VLOOKUP(H313,ID!$C$3:$D$100,2,FALSE)</f>
        <v>82</v>
      </c>
      <c r="K313" t="s">
        <v>274</v>
      </c>
      <c r="L313" t="str">
        <f>VLOOKUP(K313,Localizacoes!$E$3:$F$100,2,FALSE)</f>
        <v>BBG</v>
      </c>
      <c r="M313" t="str">
        <f>VLOOKUP(K313,ID!$E$3:$F$100,2,FALSE)</f>
        <v>BBG</v>
      </c>
      <c r="N313" t="s">
        <v>704</v>
      </c>
      <c r="O313" t="str">
        <f>VLOOKUP(N313,Localizacoes!$G$3:$H$100,2,FALSE)</f>
        <v>EBC</v>
      </c>
      <c r="P313">
        <f>VLOOKUP(N313,ID!$G$3:$H$100,2,FALSE)</f>
        <v>131</v>
      </c>
      <c r="Q313" t="s">
        <v>150</v>
      </c>
      <c r="R313" t="str">
        <f>VLOOKUP(Q313,Localizacoes!$I$3:$J$100,2,FALSE)</f>
        <v>BOM</v>
      </c>
      <c r="S313" t="str">
        <f>VLOOKUP(Q313,ID!$I$3:$J$100,2,FALSE)</f>
        <v>BOM</v>
      </c>
      <c r="T313" s="4" t="s">
        <v>186</v>
      </c>
      <c r="U313" t="s">
        <v>264</v>
      </c>
      <c r="V313" t="s">
        <v>392</v>
      </c>
      <c r="W313" t="s">
        <v>552</v>
      </c>
      <c r="Y313" t="s">
        <v>270</v>
      </c>
      <c r="Z313" t="str">
        <f t="shared" si="73"/>
        <v>Bomba 02</v>
      </c>
      <c r="AA313"/>
      <c r="AD313" s="13" t="s">
        <v>7</v>
      </c>
      <c r="AF313" t="str">
        <f t="shared" si="71"/>
        <v>Electrobomba centrífugaBomba</v>
      </c>
      <c r="AG313" s="28" t="str">
        <f>VLOOKUP(AF313,Imagens!$C$2:$D$42,2,FALSE)</f>
        <v>65e96125c1d11</v>
      </c>
      <c r="AH313" t="str">
        <f>_xlfn.CONCAT(Imagens!$H$2,'registo_ativo-CDs (1)'!AG313)</f>
        <v>assets/imagens/products/65e96125c1d11</v>
      </c>
      <c r="AI313" s="67">
        <v>45307</v>
      </c>
      <c r="AK313" s="32"/>
    </row>
    <row r="314" spans="1:37" ht="16.8" customHeight="1" x14ac:dyDescent="0.3">
      <c r="A314">
        <f t="shared" si="72"/>
        <v>15</v>
      </c>
      <c r="B314" t="str">
        <f t="shared" si="69"/>
        <v>CD82BBG131MOT02</v>
      </c>
      <c r="C314" t="str">
        <f t="shared" si="70"/>
        <v>CD-TSA-BBG-EBC-MOT-02</v>
      </c>
      <c r="E314" t="s">
        <v>37</v>
      </c>
      <c r="F314" t="s">
        <v>46</v>
      </c>
      <c r="G314" t="s">
        <v>46</v>
      </c>
      <c r="H314" s="20" t="s">
        <v>55</v>
      </c>
      <c r="I314" t="s">
        <v>93</v>
      </c>
      <c r="J314">
        <f>VLOOKUP(H314,ID!$C$3:$D$100,2,FALSE)</f>
        <v>82</v>
      </c>
      <c r="K314" t="s">
        <v>274</v>
      </c>
      <c r="L314" t="str">
        <f>VLOOKUP(K314,Localizacoes!$E$3:$F$100,2,FALSE)</f>
        <v>BBG</v>
      </c>
      <c r="M314" t="str">
        <f>VLOOKUP(K314,ID!$E$3:$F$100,2,FALSE)</f>
        <v>BBG</v>
      </c>
      <c r="N314" t="s">
        <v>704</v>
      </c>
      <c r="O314" t="str">
        <f>VLOOKUP(N314,Localizacoes!$G$3:$H$100,2,FALSE)</f>
        <v>EBC</v>
      </c>
      <c r="P314">
        <f>VLOOKUP(N314,ID!$G$3:$H$100,2,FALSE)</f>
        <v>131</v>
      </c>
      <c r="Q314" t="s">
        <v>21</v>
      </c>
      <c r="R314" t="str">
        <f>VLOOKUP(Q314,Localizacoes!$I$3:$J$100,2,FALSE)</f>
        <v>MOT</v>
      </c>
      <c r="S314" t="str">
        <f>VLOOKUP(Q314,ID!$I$3:$J$100,2,FALSE)</f>
        <v>MOT</v>
      </c>
      <c r="T314" s="4" t="s">
        <v>186</v>
      </c>
      <c r="U314" t="s">
        <v>265</v>
      </c>
      <c r="V314" t="s">
        <v>543</v>
      </c>
      <c r="W314" t="s">
        <v>553</v>
      </c>
      <c r="Y314" t="s">
        <v>270</v>
      </c>
      <c r="Z314" t="str">
        <f t="shared" si="73"/>
        <v>Motor 02</v>
      </c>
      <c r="AA314"/>
      <c r="AD314" s="13" t="s">
        <v>7</v>
      </c>
      <c r="AF314" t="str">
        <f t="shared" si="71"/>
        <v>Electrobomba centrífugaMotor</v>
      </c>
      <c r="AG314" s="28" t="str">
        <f>VLOOKUP(AF314,Imagens!$C$2:$D$42,2,FALSE)</f>
        <v>65d04210323a4</v>
      </c>
      <c r="AH314" t="str">
        <f>_xlfn.CONCAT(Imagens!$H$2,'registo_ativo-CDs (1)'!AG314)</f>
        <v>assets/imagens/products/65d04210323a4</v>
      </c>
      <c r="AI314" s="67">
        <v>45307</v>
      </c>
      <c r="AK314" s="32"/>
    </row>
    <row r="315" spans="1:37" ht="16.8" customHeight="1" x14ac:dyDescent="0.3">
      <c r="A315">
        <f t="shared" si="72"/>
        <v>15</v>
      </c>
      <c r="B315" t="str">
        <f t="shared" si="69"/>
        <v>CD82BBG152QEA02</v>
      </c>
      <c r="C315" t="str">
        <f t="shared" si="70"/>
        <v>CD-TSA-BBG-QEL-QEA-02</v>
      </c>
      <c r="E315" t="s">
        <v>37</v>
      </c>
      <c r="F315" t="s">
        <v>46</v>
      </c>
      <c r="G315" t="s">
        <v>46</v>
      </c>
      <c r="H315" s="20" t="s">
        <v>55</v>
      </c>
      <c r="I315" t="s">
        <v>93</v>
      </c>
      <c r="J315">
        <f>VLOOKUP(H315,ID!$C$3:$D$100,2,FALSE)</f>
        <v>82</v>
      </c>
      <c r="K315" t="s">
        <v>274</v>
      </c>
      <c r="L315" t="str">
        <f>VLOOKUP(K315,Localizacoes!$E$3:$F$100,2,FALSE)</f>
        <v>BBG</v>
      </c>
      <c r="M315" t="str">
        <f>VLOOKUP(K315,ID!$E$3:$F$100,2,FALSE)</f>
        <v>BBG</v>
      </c>
      <c r="N315" t="s">
        <v>286</v>
      </c>
      <c r="O315" t="str">
        <f>VLOOKUP(N315,Localizacoes!$G$3:$H$100,2,FALSE)</f>
        <v>QEL</v>
      </c>
      <c r="P315">
        <f>VLOOKUP(N315,ID!$G$3:$H$100,2,FALSE)</f>
        <v>152</v>
      </c>
      <c r="Q315" t="s">
        <v>154</v>
      </c>
      <c r="R315" t="str">
        <f>VLOOKUP(Q315,Localizacoes!$I$3:$J$100,2,FALSE)</f>
        <v>QEA</v>
      </c>
      <c r="S315" t="str">
        <f>VLOOKUP(Q315,ID!$I$3:$J$100,2,FALSE)</f>
        <v>QEA</v>
      </c>
      <c r="T315" s="4" t="s">
        <v>186</v>
      </c>
      <c r="U315" t="s">
        <v>265</v>
      </c>
      <c r="V315" t="s">
        <v>545</v>
      </c>
      <c r="W315" t="s">
        <v>551</v>
      </c>
      <c r="Y315" t="s">
        <v>271</v>
      </c>
      <c r="Z315" t="str">
        <f t="shared" si="73"/>
        <v>Quadros Eléctricos de Arranque 02</v>
      </c>
      <c r="AA315"/>
      <c r="AD315" s="13" t="s">
        <v>267</v>
      </c>
      <c r="AF315" t="str">
        <f t="shared" si="71"/>
        <v>Quadro EléctricoQuadros Eléctricos de Arranque</v>
      </c>
      <c r="AG315" s="28" t="str">
        <f>VLOOKUP(AF315,Imagens!$C$2:$D$42,2,FALSE)</f>
        <v>65e8d2fa35c12</v>
      </c>
      <c r="AH315" t="str">
        <f>_xlfn.CONCAT(Imagens!$H$2,'registo_ativo-CDs (1)'!AG315)</f>
        <v>assets/imagens/products/65e8d2fa35c12</v>
      </c>
      <c r="AI315" s="67">
        <v>45363</v>
      </c>
      <c r="AK315" s="32"/>
    </row>
    <row r="316" spans="1:37" ht="16.8" customHeight="1" x14ac:dyDescent="0.3">
      <c r="A316">
        <f t="shared" si="72"/>
        <v>15</v>
      </c>
      <c r="B316" t="str">
        <f t="shared" si="69"/>
        <v>CD82BBG131VSU02</v>
      </c>
      <c r="C316" t="str">
        <f t="shared" si="70"/>
        <v>CD-TSA-BBG-EBC-VSU-02</v>
      </c>
      <c r="E316" t="s">
        <v>37</v>
      </c>
      <c r="F316" t="s">
        <v>46</v>
      </c>
      <c r="G316" t="s">
        <v>46</v>
      </c>
      <c r="H316" s="20" t="s">
        <v>55</v>
      </c>
      <c r="I316" t="s">
        <v>93</v>
      </c>
      <c r="J316">
        <f>VLOOKUP(H316,ID!$C$3:$D$100,2,FALSE)</f>
        <v>82</v>
      </c>
      <c r="K316" t="s">
        <v>274</v>
      </c>
      <c r="L316" t="str">
        <f>VLOOKUP(K316,Localizacoes!$E$3:$F$100,2,FALSE)</f>
        <v>BBG</v>
      </c>
      <c r="M316" t="str">
        <f>VLOOKUP(K316,ID!$E$3:$F$100,2,FALSE)</f>
        <v>BBG</v>
      </c>
      <c r="N316" t="s">
        <v>704</v>
      </c>
      <c r="O316" t="str">
        <f>VLOOKUP(N316,Localizacoes!$G$3:$H$100,2,FALSE)</f>
        <v>EBC</v>
      </c>
      <c r="P316">
        <f>VLOOKUP(N316,ID!$G$3:$H$100,2,FALSE)</f>
        <v>131</v>
      </c>
      <c r="Q316" t="s">
        <v>276</v>
      </c>
      <c r="R316" t="str">
        <f>VLOOKUP(Q316,Localizacoes!$I$3:$J$100,2,FALSE)</f>
        <v>VSU</v>
      </c>
      <c r="S316" t="str">
        <f>VLOOKUP(Q316,ID!$I$3:$J$100,2,FALSE)</f>
        <v>VSU</v>
      </c>
      <c r="T316" s="4" t="s">
        <v>186</v>
      </c>
      <c r="U316" t="s">
        <v>264</v>
      </c>
      <c r="Y316" t="s">
        <v>270</v>
      </c>
      <c r="Z316" t="str">
        <f t="shared" si="73"/>
        <v>Válvula Sucção 02</v>
      </c>
      <c r="AA316"/>
      <c r="AD316" s="13" t="s">
        <v>267</v>
      </c>
      <c r="AF316" t="str">
        <f t="shared" si="71"/>
        <v>Electrobomba centrífugaVálvula Sucção</v>
      </c>
      <c r="AG316" s="28" t="str">
        <f>VLOOKUP(AF316,Imagens!$C$2:$D$42,2,FALSE)</f>
        <v>65e8cda0676b7</v>
      </c>
      <c r="AH316" t="str">
        <f>_xlfn.CONCAT(Imagens!$H$2,'registo_ativo-CDs (1)'!AG316)</f>
        <v>assets/imagens/products/65e8cda0676b7</v>
      </c>
      <c r="AI316" s="67">
        <v>45363</v>
      </c>
      <c r="AK316" s="32"/>
    </row>
    <row r="317" spans="1:37" ht="16.8" customHeight="1" x14ac:dyDescent="0.3">
      <c r="A317">
        <f t="shared" si="72"/>
        <v>15</v>
      </c>
      <c r="B317" t="str">
        <f t="shared" si="69"/>
        <v>CD82BBG131VDE02</v>
      </c>
      <c r="C317" t="str">
        <f t="shared" si="70"/>
        <v>CD-TSA-BBG-EBC-VDE-02</v>
      </c>
      <c r="E317" t="s">
        <v>37</v>
      </c>
      <c r="F317" t="s">
        <v>46</v>
      </c>
      <c r="G317" t="s">
        <v>46</v>
      </c>
      <c r="H317" s="20" t="s">
        <v>55</v>
      </c>
      <c r="I317" t="s">
        <v>93</v>
      </c>
      <c r="J317">
        <f>VLOOKUP(H317,ID!$C$3:$D$100,2,FALSE)</f>
        <v>82</v>
      </c>
      <c r="K317" t="s">
        <v>274</v>
      </c>
      <c r="L317" t="str">
        <f>VLOOKUP(K317,Localizacoes!$E$3:$F$100,2,FALSE)</f>
        <v>BBG</v>
      </c>
      <c r="M317" t="str">
        <f>VLOOKUP(K317,ID!$E$3:$F$100,2,FALSE)</f>
        <v>BBG</v>
      </c>
      <c r="N317" t="s">
        <v>704</v>
      </c>
      <c r="O317" t="str">
        <f>VLOOKUP(N317,Localizacoes!$G$3:$H$100,2,FALSE)</f>
        <v>EBC</v>
      </c>
      <c r="P317">
        <f>VLOOKUP(N317,ID!$G$3:$H$100,2,FALSE)</f>
        <v>131</v>
      </c>
      <c r="Q317" t="s">
        <v>279</v>
      </c>
      <c r="R317" t="str">
        <f>VLOOKUP(Q317,Localizacoes!$I$3:$J$100,2,FALSE)</f>
        <v>VDE</v>
      </c>
      <c r="S317" t="str">
        <f>VLOOKUP(Q317,ID!$I$3:$J$100,2,FALSE)</f>
        <v>VDE</v>
      </c>
      <c r="T317" s="4" t="s">
        <v>186</v>
      </c>
      <c r="U317" t="s">
        <v>264</v>
      </c>
      <c r="Y317" t="s">
        <v>271</v>
      </c>
      <c r="Z317" t="str">
        <f t="shared" si="73"/>
        <v>Válvula Descarga 02</v>
      </c>
      <c r="AA317"/>
      <c r="AD317" s="13" t="s">
        <v>267</v>
      </c>
      <c r="AF317" t="str">
        <f t="shared" si="71"/>
        <v>Electrobomba centrífugaVálvula Descarga</v>
      </c>
      <c r="AG317" s="28" t="str">
        <f>VLOOKUP(AF317,Imagens!$C$2:$D$42,2,FALSE)</f>
        <v>65e8cda0676b7</v>
      </c>
      <c r="AH317" t="str">
        <f>_xlfn.CONCAT(Imagens!$H$2,'registo_ativo-CDs (1)'!AG317)</f>
        <v>assets/imagens/products/65e8cda0676b7</v>
      </c>
      <c r="AI317" s="67">
        <v>45363</v>
      </c>
      <c r="AK317" s="32"/>
    </row>
    <row r="318" spans="1:37" ht="16.8" customHeight="1" x14ac:dyDescent="0.3">
      <c r="A318">
        <f t="shared" si="72"/>
        <v>15</v>
      </c>
      <c r="B318" t="str">
        <f t="shared" si="69"/>
        <v>CD82BBG131BOM03</v>
      </c>
      <c r="C318" t="str">
        <f t="shared" si="70"/>
        <v>CD-TSA-BBG-EBC-BOM-03</v>
      </c>
      <c r="E318" t="s">
        <v>37</v>
      </c>
      <c r="F318" t="s">
        <v>46</v>
      </c>
      <c r="G318" t="s">
        <v>46</v>
      </c>
      <c r="H318" s="20" t="s">
        <v>55</v>
      </c>
      <c r="I318" t="s">
        <v>93</v>
      </c>
      <c r="J318">
        <f>VLOOKUP(H318,ID!$C$3:$D$100,2,FALSE)</f>
        <v>82</v>
      </c>
      <c r="K318" t="s">
        <v>274</v>
      </c>
      <c r="L318" t="str">
        <f>VLOOKUP(K318,Localizacoes!$E$3:$F$100,2,FALSE)</f>
        <v>BBG</v>
      </c>
      <c r="M318" t="str">
        <f>VLOOKUP(K318,ID!$E$3:$F$100,2,FALSE)</f>
        <v>BBG</v>
      </c>
      <c r="N318" t="s">
        <v>704</v>
      </c>
      <c r="O318" t="str">
        <f>VLOOKUP(N318,Localizacoes!$G$3:$H$100,2,FALSE)</f>
        <v>EBC</v>
      </c>
      <c r="P318">
        <f>VLOOKUP(N318,ID!$G$3:$H$100,2,FALSE)</f>
        <v>131</v>
      </c>
      <c r="Q318" t="s">
        <v>150</v>
      </c>
      <c r="R318" t="str">
        <f>VLOOKUP(Q318,Localizacoes!$I$3:$J$100,2,FALSE)</f>
        <v>BOM</v>
      </c>
      <c r="S318" t="str">
        <f>VLOOKUP(Q318,ID!$I$3:$J$100,2,FALSE)</f>
        <v>BOM</v>
      </c>
      <c r="T318" s="4" t="s">
        <v>187</v>
      </c>
      <c r="U318" t="s">
        <v>264</v>
      </c>
      <c r="V318" t="s">
        <v>392</v>
      </c>
      <c r="W318" t="s">
        <v>549</v>
      </c>
      <c r="Y318" t="s">
        <v>270</v>
      </c>
      <c r="Z318" t="str">
        <f t="shared" si="73"/>
        <v>Bomba 03</v>
      </c>
      <c r="AA318"/>
      <c r="AD318" s="13" t="s">
        <v>7</v>
      </c>
      <c r="AF318" t="str">
        <f t="shared" si="71"/>
        <v>Electrobomba centrífugaBomba</v>
      </c>
      <c r="AG318" s="28" t="str">
        <f>VLOOKUP(AF318,Imagens!$C$2:$D$42,2,FALSE)</f>
        <v>65e96125c1d11</v>
      </c>
      <c r="AH318" t="str">
        <f>_xlfn.CONCAT(Imagens!$H$2,'registo_ativo-CDs (1)'!AG318)</f>
        <v>assets/imagens/products/65e96125c1d11</v>
      </c>
      <c r="AI318" s="67">
        <v>45307</v>
      </c>
      <c r="AK318" s="32"/>
    </row>
    <row r="319" spans="1:37" ht="16.8" customHeight="1" x14ac:dyDescent="0.3">
      <c r="A319">
        <f t="shared" si="72"/>
        <v>15</v>
      </c>
      <c r="B319" t="str">
        <f t="shared" si="69"/>
        <v>CD82BBG131MOT03</v>
      </c>
      <c r="C319" t="str">
        <f t="shared" si="70"/>
        <v>CD-TSA-BBG-EBC-MOT-03</v>
      </c>
      <c r="E319" t="s">
        <v>37</v>
      </c>
      <c r="F319" t="s">
        <v>46</v>
      </c>
      <c r="G319" t="s">
        <v>46</v>
      </c>
      <c r="H319" s="20" t="s">
        <v>55</v>
      </c>
      <c r="I319" t="s">
        <v>93</v>
      </c>
      <c r="J319">
        <f>VLOOKUP(H319,ID!$C$3:$D$100,2,FALSE)</f>
        <v>82</v>
      </c>
      <c r="K319" t="s">
        <v>274</v>
      </c>
      <c r="L319" t="str">
        <f>VLOOKUP(K319,Localizacoes!$E$3:$F$100,2,FALSE)</f>
        <v>BBG</v>
      </c>
      <c r="M319" t="str">
        <f>VLOOKUP(K319,ID!$E$3:$F$100,2,FALSE)</f>
        <v>BBG</v>
      </c>
      <c r="N319" t="s">
        <v>704</v>
      </c>
      <c r="O319" t="str">
        <f>VLOOKUP(N319,Localizacoes!$G$3:$H$100,2,FALSE)</f>
        <v>EBC</v>
      </c>
      <c r="P319">
        <f>VLOOKUP(N319,ID!$G$3:$H$100,2,FALSE)</f>
        <v>131</v>
      </c>
      <c r="Q319" t="s">
        <v>21</v>
      </c>
      <c r="R319" t="str">
        <f>VLOOKUP(Q319,Localizacoes!$I$3:$J$100,2,FALSE)</f>
        <v>MOT</v>
      </c>
      <c r="S319" t="str">
        <f>VLOOKUP(Q319,ID!$I$3:$J$100,2,FALSE)</f>
        <v>MOT</v>
      </c>
      <c r="T319" s="4" t="s">
        <v>187</v>
      </c>
      <c r="U319" t="s">
        <v>265</v>
      </c>
      <c r="V319" t="s">
        <v>543</v>
      </c>
      <c r="W319" t="s">
        <v>550</v>
      </c>
      <c r="Y319" t="s">
        <v>270</v>
      </c>
      <c r="Z319" t="str">
        <f t="shared" si="73"/>
        <v>Motor 03</v>
      </c>
      <c r="AA319"/>
      <c r="AD319" s="13" t="s">
        <v>7</v>
      </c>
      <c r="AF319" t="str">
        <f t="shared" si="71"/>
        <v>Electrobomba centrífugaMotor</v>
      </c>
      <c r="AG319" s="28" t="str">
        <f>VLOOKUP(AF319,Imagens!$C$2:$D$42,2,FALSE)</f>
        <v>65d04210323a4</v>
      </c>
      <c r="AH319" t="str">
        <f>_xlfn.CONCAT(Imagens!$H$2,'registo_ativo-CDs (1)'!AG319)</f>
        <v>assets/imagens/products/65d04210323a4</v>
      </c>
      <c r="AI319" s="67">
        <v>45307</v>
      </c>
      <c r="AK319" s="32"/>
    </row>
    <row r="320" spans="1:37" ht="16.8" customHeight="1" x14ac:dyDescent="0.3">
      <c r="A320">
        <f t="shared" si="72"/>
        <v>15</v>
      </c>
      <c r="B320" t="str">
        <f t="shared" si="69"/>
        <v>CD82BBG152QEA03</v>
      </c>
      <c r="C320" t="str">
        <f t="shared" si="70"/>
        <v>CD-TSA-BBG-QEL-QEA-03</v>
      </c>
      <c r="E320" t="s">
        <v>37</v>
      </c>
      <c r="F320" t="s">
        <v>46</v>
      </c>
      <c r="G320" t="s">
        <v>46</v>
      </c>
      <c r="H320" s="20" t="s">
        <v>55</v>
      </c>
      <c r="I320" t="s">
        <v>93</v>
      </c>
      <c r="J320">
        <f>VLOOKUP(H320,ID!$C$3:$D$100,2,FALSE)</f>
        <v>82</v>
      </c>
      <c r="K320" t="s">
        <v>274</v>
      </c>
      <c r="L320" t="str">
        <f>VLOOKUP(K320,Localizacoes!$E$3:$F$100,2,FALSE)</f>
        <v>BBG</v>
      </c>
      <c r="M320" t="str">
        <f>VLOOKUP(K320,ID!$E$3:$F$100,2,FALSE)</f>
        <v>BBG</v>
      </c>
      <c r="N320" t="s">
        <v>286</v>
      </c>
      <c r="O320" t="str">
        <f>VLOOKUP(N320,Localizacoes!$G$3:$H$100,2,FALSE)</f>
        <v>QEL</v>
      </c>
      <c r="P320">
        <f>VLOOKUP(N320,ID!$G$3:$H$100,2,FALSE)</f>
        <v>152</v>
      </c>
      <c r="Q320" t="s">
        <v>154</v>
      </c>
      <c r="R320" t="str">
        <f>VLOOKUP(Q320,Localizacoes!$I$3:$J$100,2,FALSE)</f>
        <v>QEA</v>
      </c>
      <c r="S320" t="str">
        <f>VLOOKUP(Q320,ID!$I$3:$J$100,2,FALSE)</f>
        <v>QEA</v>
      </c>
      <c r="T320" s="4" t="s">
        <v>187</v>
      </c>
      <c r="U320" t="s">
        <v>265</v>
      </c>
      <c r="V320" t="s">
        <v>545</v>
      </c>
      <c r="W320" t="s">
        <v>551</v>
      </c>
      <c r="X320" t="s">
        <v>6</v>
      </c>
      <c r="Y320" t="s">
        <v>270</v>
      </c>
      <c r="Z320" t="str">
        <f t="shared" si="73"/>
        <v>Quadros Eléctricos de Arranque 03</v>
      </c>
      <c r="AA320"/>
      <c r="AD320" s="13" t="s">
        <v>267</v>
      </c>
      <c r="AF320" t="str">
        <f t="shared" si="71"/>
        <v>Quadro EléctricoQuadros Eléctricos de Arranque</v>
      </c>
      <c r="AG320" s="28" t="str">
        <f>VLOOKUP(AF320,Imagens!$C$2:$D$42,2,FALSE)</f>
        <v>65e8d2fa35c12</v>
      </c>
      <c r="AH320" t="str">
        <f>_xlfn.CONCAT(Imagens!$H$2,'registo_ativo-CDs (1)'!AG320)</f>
        <v>assets/imagens/products/65e8d2fa35c12</v>
      </c>
      <c r="AI320" s="67">
        <v>45363</v>
      </c>
      <c r="AK320" s="32"/>
    </row>
    <row r="321" spans="1:37" ht="16.8" customHeight="1" x14ac:dyDescent="0.3">
      <c r="A321">
        <f t="shared" si="72"/>
        <v>15</v>
      </c>
      <c r="B321" t="str">
        <f t="shared" si="69"/>
        <v>CD82BBG131VSU03</v>
      </c>
      <c r="C321" t="str">
        <f t="shared" si="70"/>
        <v>CD-TSA-BBG-EBC-VSU-03</v>
      </c>
      <c r="E321" t="s">
        <v>37</v>
      </c>
      <c r="F321" t="s">
        <v>46</v>
      </c>
      <c r="G321" t="s">
        <v>46</v>
      </c>
      <c r="H321" s="20" t="s">
        <v>55</v>
      </c>
      <c r="I321" t="s">
        <v>93</v>
      </c>
      <c r="J321">
        <f>VLOOKUP(H321,ID!$C$3:$D$100,2,FALSE)</f>
        <v>82</v>
      </c>
      <c r="K321" t="s">
        <v>274</v>
      </c>
      <c r="L321" t="str">
        <f>VLOOKUP(K321,Localizacoes!$E$3:$F$100,2,FALSE)</f>
        <v>BBG</v>
      </c>
      <c r="M321" t="str">
        <f>VLOOKUP(K321,ID!$E$3:$F$100,2,FALSE)</f>
        <v>BBG</v>
      </c>
      <c r="N321" t="s">
        <v>704</v>
      </c>
      <c r="O321" t="str">
        <f>VLOOKUP(N321,Localizacoes!$G$3:$H$100,2,FALSE)</f>
        <v>EBC</v>
      </c>
      <c r="P321">
        <f>VLOOKUP(N321,ID!$G$3:$H$100,2,FALSE)</f>
        <v>131</v>
      </c>
      <c r="Q321" t="s">
        <v>276</v>
      </c>
      <c r="R321" t="str">
        <f>VLOOKUP(Q321,Localizacoes!$I$3:$J$100,2,FALSE)</f>
        <v>VSU</v>
      </c>
      <c r="S321" t="str">
        <f>VLOOKUP(Q321,ID!$I$3:$J$100,2,FALSE)</f>
        <v>VSU</v>
      </c>
      <c r="T321" s="4" t="s">
        <v>187</v>
      </c>
      <c r="U321" t="s">
        <v>264</v>
      </c>
      <c r="Y321" t="s">
        <v>270</v>
      </c>
      <c r="Z321" t="str">
        <f t="shared" si="73"/>
        <v>Válvula Sucção 03</v>
      </c>
      <c r="AA321"/>
      <c r="AD321" s="13" t="s">
        <v>267</v>
      </c>
      <c r="AF321" t="str">
        <f t="shared" si="71"/>
        <v>Electrobomba centrífugaVálvula Sucção</v>
      </c>
      <c r="AG321" s="28" t="str">
        <f>VLOOKUP(AF321,Imagens!$C$2:$D$42,2,FALSE)</f>
        <v>65e8cda0676b7</v>
      </c>
      <c r="AH321" t="str">
        <f>_xlfn.CONCAT(Imagens!$H$2,'registo_ativo-CDs (1)'!AG321)</f>
        <v>assets/imagens/products/65e8cda0676b7</v>
      </c>
      <c r="AI321" s="67">
        <v>45363</v>
      </c>
      <c r="AK321" s="32"/>
    </row>
    <row r="322" spans="1:37" ht="16.8" customHeight="1" x14ac:dyDescent="0.3">
      <c r="A322">
        <f t="shared" si="72"/>
        <v>15</v>
      </c>
      <c r="B322" t="str">
        <f t="shared" si="69"/>
        <v>CD82BBG131VDE03</v>
      </c>
      <c r="C322" t="str">
        <f t="shared" si="70"/>
        <v>CD-TSA-BBG-EBC-VDE-03</v>
      </c>
      <c r="E322" t="s">
        <v>37</v>
      </c>
      <c r="F322" t="s">
        <v>46</v>
      </c>
      <c r="G322" t="s">
        <v>46</v>
      </c>
      <c r="H322" s="20" t="s">
        <v>55</v>
      </c>
      <c r="I322" t="s">
        <v>93</v>
      </c>
      <c r="J322">
        <f>VLOOKUP(H322,ID!$C$3:$D$100,2,FALSE)</f>
        <v>82</v>
      </c>
      <c r="K322" t="s">
        <v>274</v>
      </c>
      <c r="L322" t="str">
        <f>VLOOKUP(K322,Localizacoes!$E$3:$F$100,2,FALSE)</f>
        <v>BBG</v>
      </c>
      <c r="M322" t="str">
        <f>VLOOKUP(K322,ID!$E$3:$F$100,2,FALSE)</f>
        <v>BBG</v>
      </c>
      <c r="N322" t="s">
        <v>704</v>
      </c>
      <c r="O322" t="str">
        <f>VLOOKUP(N322,Localizacoes!$G$3:$H$100,2,FALSE)</f>
        <v>EBC</v>
      </c>
      <c r="P322">
        <f>VLOOKUP(N322,ID!$G$3:$H$100,2,FALSE)</f>
        <v>131</v>
      </c>
      <c r="Q322" t="s">
        <v>279</v>
      </c>
      <c r="R322" t="str">
        <f>VLOOKUP(Q322,Localizacoes!$I$3:$J$100,2,FALSE)</f>
        <v>VDE</v>
      </c>
      <c r="S322" t="str">
        <f>VLOOKUP(Q322,ID!$I$3:$J$100,2,FALSE)</f>
        <v>VDE</v>
      </c>
      <c r="T322" s="4" t="s">
        <v>187</v>
      </c>
      <c r="U322" t="s">
        <v>264</v>
      </c>
      <c r="Y322" t="s">
        <v>270</v>
      </c>
      <c r="Z322" t="str">
        <f t="shared" si="73"/>
        <v>Válvula Descarga 03</v>
      </c>
      <c r="AA322"/>
      <c r="AD322" s="13" t="s">
        <v>267</v>
      </c>
      <c r="AF322" t="str">
        <f t="shared" si="71"/>
        <v>Electrobomba centrífugaVálvula Descarga</v>
      </c>
      <c r="AG322" s="28" t="str">
        <f>VLOOKUP(AF322,Imagens!$C$2:$D$42,2,FALSE)</f>
        <v>65e8cda0676b7</v>
      </c>
      <c r="AH322" t="str">
        <f>_xlfn.CONCAT(Imagens!$H$2,'registo_ativo-CDs (1)'!AG322)</f>
        <v>assets/imagens/products/65e8cda0676b7</v>
      </c>
      <c r="AI322" s="67">
        <v>45363</v>
      </c>
      <c r="AK322" s="32"/>
    </row>
    <row r="323" spans="1:37" ht="16.8" customHeight="1" x14ac:dyDescent="0.3">
      <c r="A323">
        <f t="shared" si="72"/>
        <v>15</v>
      </c>
      <c r="B323" t="str">
        <f t="shared" si="69"/>
        <v>CD82HTH133BOM01</v>
      </c>
      <c r="C323" t="str">
        <f t="shared" si="70"/>
        <v>CD-TSA-HTH-EBD-BOM-01</v>
      </c>
      <c r="E323" t="s">
        <v>37</v>
      </c>
      <c r="F323" t="s">
        <v>46</v>
      </c>
      <c r="G323" t="s">
        <v>46</v>
      </c>
      <c r="H323" s="20" t="s">
        <v>55</v>
      </c>
      <c r="I323" t="s">
        <v>93</v>
      </c>
      <c r="J323">
        <f>VLOOKUP(H323,ID!$C$3:$D$100,2,FALSE)</f>
        <v>82</v>
      </c>
      <c r="K323" t="s">
        <v>138</v>
      </c>
      <c r="L323" t="str">
        <f>VLOOKUP(K323,Localizacoes!$E$3:$F$100,2,FALSE)</f>
        <v>HTH</v>
      </c>
      <c r="M323" t="str">
        <f>VLOOKUP(K323,ID!$E$3:$F$100,2,FALSE)</f>
        <v>HTH</v>
      </c>
      <c r="N323" t="s">
        <v>662</v>
      </c>
      <c r="O323" t="str">
        <f>VLOOKUP(N323,Localizacoes!$G$3:$H$100,2,FALSE)</f>
        <v>EBD</v>
      </c>
      <c r="P323">
        <f>VLOOKUP(N323,ID!$G$3:$H$100,2,FALSE)</f>
        <v>133</v>
      </c>
      <c r="Q323" t="s">
        <v>150</v>
      </c>
      <c r="R323" t="str">
        <f>VLOOKUP(Q323,Localizacoes!$I$3:$J$100,2,FALSE)</f>
        <v>BOM</v>
      </c>
      <c r="S323" t="str">
        <f>VLOOKUP(Q323,ID!$I$3:$J$100,2,FALSE)</f>
        <v>BOM</v>
      </c>
      <c r="T323" s="4" t="s">
        <v>182</v>
      </c>
      <c r="U323" t="s">
        <v>264</v>
      </c>
      <c r="V323" t="s">
        <v>392</v>
      </c>
      <c r="W323" t="s">
        <v>549</v>
      </c>
      <c r="Y323" t="s">
        <v>270</v>
      </c>
      <c r="Z323" t="str">
        <f t="shared" si="73"/>
        <v>Bomba 01</v>
      </c>
      <c r="AA323"/>
      <c r="AD323" s="13" t="s">
        <v>7</v>
      </c>
      <c r="AF323" t="str">
        <f t="shared" si="71"/>
        <v>Electrobomba Doseadora de DiafragmaBomba</v>
      </c>
      <c r="AG323" s="28" t="str">
        <f>VLOOKUP(AF323,Imagens!$C$2:$D$42,2,FALSE)</f>
        <v>65e8d1ea50af1</v>
      </c>
      <c r="AH323" t="str">
        <f>_xlfn.CONCAT(Imagens!$H$2,'registo_ativo-CDs (1)'!AG323)</f>
        <v>assets/imagens/products/65e8d1ea50af1</v>
      </c>
      <c r="AI323" s="67">
        <v>45307</v>
      </c>
      <c r="AK323" s="32"/>
    </row>
    <row r="324" spans="1:37" ht="16.8" customHeight="1" x14ac:dyDescent="0.3">
      <c r="A324">
        <f t="shared" si="72"/>
        <v>15</v>
      </c>
      <c r="B324" t="str">
        <f t="shared" si="69"/>
        <v>CD82HTH133MOT01</v>
      </c>
      <c r="C324" t="str">
        <f t="shared" si="70"/>
        <v>CD-TSA-HTH-EBD-MOT-01</v>
      </c>
      <c r="E324" t="s">
        <v>37</v>
      </c>
      <c r="F324" t="str">
        <f>VLOOKUP(E324,Localizacoes!$A$3:$B$100,2,FALSE)</f>
        <v>CD</v>
      </c>
      <c r="G324" t="str">
        <f>VLOOKUP(E324,ID!$A$3:$B$100,2,FALSE)</f>
        <v>CD</v>
      </c>
      <c r="H324" s="14" t="s">
        <v>55</v>
      </c>
      <c r="I324" t="str">
        <f>VLOOKUP(H324,Localizacoes!$C$3:$D$100,2,FALSE)</f>
        <v>TSA</v>
      </c>
      <c r="J324">
        <f>VLOOKUP(H324,ID!$C$3:$D$100,2,FALSE)</f>
        <v>82</v>
      </c>
      <c r="K324" t="s">
        <v>138</v>
      </c>
      <c r="L324" t="str">
        <f>VLOOKUP(K324,Localizacoes!$E$3:$F$100,2,FALSE)</f>
        <v>HTH</v>
      </c>
      <c r="M324" t="str">
        <f>VLOOKUP(K324,ID!$E$3:$F$100,2,FALSE)</f>
        <v>HTH</v>
      </c>
      <c r="N324" t="s">
        <v>662</v>
      </c>
      <c r="O324" t="str">
        <f>VLOOKUP(N324,Localizacoes!$G$3:$H$100,2,FALSE)</f>
        <v>EBD</v>
      </c>
      <c r="P324">
        <f>VLOOKUP(N324,ID!$G$3:$H$100,2,FALSE)</f>
        <v>133</v>
      </c>
      <c r="Q324" t="s">
        <v>21</v>
      </c>
      <c r="R324" t="str">
        <f>VLOOKUP(Q324,Localizacoes!$I$3:$J$100,2,FALSE)</f>
        <v>MOT</v>
      </c>
      <c r="S324" t="str">
        <f>VLOOKUP(Q324,ID!$I$3:$J$100,2,FALSE)</f>
        <v>MOT</v>
      </c>
      <c r="T324" s="4" t="s">
        <v>182</v>
      </c>
      <c r="U324" t="s">
        <v>265</v>
      </c>
      <c r="X324" t="s">
        <v>6</v>
      </c>
      <c r="Y324" t="s">
        <v>270</v>
      </c>
      <c r="Z324" t="str">
        <f t="shared" si="73"/>
        <v>Motor 01</v>
      </c>
      <c r="AA324"/>
      <c r="AD324" s="13" t="s">
        <v>7</v>
      </c>
      <c r="AF324" t="str">
        <f t="shared" si="71"/>
        <v>Electrobomba Doseadora de DiafragmaMotor</v>
      </c>
      <c r="AG324" s="28" t="str">
        <f>VLOOKUP(AF324,Imagens!$C$2:$D$42,2,FALSE)</f>
        <v>65e8d1ea50af1</v>
      </c>
      <c r="AH324" t="str">
        <f>_xlfn.CONCAT(Imagens!$H$2,'registo_ativo-CDs (1)'!AG324)</f>
        <v>assets/imagens/products/65e8d1ea50af1</v>
      </c>
      <c r="AI324" s="67">
        <v>45307</v>
      </c>
      <c r="AK324" s="32"/>
    </row>
    <row r="325" spans="1:37" ht="16.8" customHeight="1" x14ac:dyDescent="0.3">
      <c r="A325">
        <f t="shared" si="72"/>
        <v>15</v>
      </c>
      <c r="B325" t="str">
        <f t="shared" si="69"/>
        <v>CD82HTH103MOT01</v>
      </c>
      <c r="C325" t="str">
        <f t="shared" si="70"/>
        <v>CD-TSA-HTH-AGI-MOT-01</v>
      </c>
      <c r="E325" t="s">
        <v>37</v>
      </c>
      <c r="F325" t="s">
        <v>46</v>
      </c>
      <c r="G325" t="s">
        <v>46</v>
      </c>
      <c r="H325" s="20" t="s">
        <v>55</v>
      </c>
      <c r="I325" t="s">
        <v>93</v>
      </c>
      <c r="J325">
        <f>VLOOKUP(H325,ID!$C$3:$D$100,2,FALSE)</f>
        <v>82</v>
      </c>
      <c r="K325" t="s">
        <v>138</v>
      </c>
      <c r="L325" t="str">
        <f>VLOOKUP(K325,Localizacoes!$E$3:$F$100,2,FALSE)</f>
        <v>HTH</v>
      </c>
      <c r="M325" t="str">
        <f>VLOOKUP(K325,ID!$E$3:$F$100,2,FALSE)</f>
        <v>HTH</v>
      </c>
      <c r="N325" t="s">
        <v>131</v>
      </c>
      <c r="O325" t="str">
        <f>VLOOKUP(N325,Localizacoes!$G$3:$H$100,2,FALSE)</f>
        <v>AGI</v>
      </c>
      <c r="P325">
        <f>VLOOKUP(N325,ID!$G$3:$H$100,2,FALSE)</f>
        <v>103</v>
      </c>
      <c r="Q325" t="s">
        <v>21</v>
      </c>
      <c r="R325" t="str">
        <f>VLOOKUP(Q325,Localizacoes!$I$3:$J$100,2,FALSE)</f>
        <v>MOT</v>
      </c>
      <c r="S325" t="str">
        <f>VLOOKUP(Q325,ID!$I$3:$J$100,2,FALSE)</f>
        <v>MOT</v>
      </c>
      <c r="T325" s="4" t="s">
        <v>182</v>
      </c>
      <c r="U325" t="s">
        <v>265</v>
      </c>
      <c r="V325" t="s">
        <v>543</v>
      </c>
      <c r="W325" t="s">
        <v>554</v>
      </c>
      <c r="Y325" t="s">
        <v>270</v>
      </c>
      <c r="Z325" t="str">
        <f t="shared" si="73"/>
        <v>Motor 01</v>
      </c>
      <c r="AA325"/>
      <c r="AD325" s="13" t="s">
        <v>7</v>
      </c>
      <c r="AF325" t="str">
        <f t="shared" si="71"/>
        <v>Agitador  Motor</v>
      </c>
      <c r="AG325" s="28" t="str">
        <f>VLOOKUP(AF325,Imagens!$C$2:$D$42,2,FALSE)</f>
        <v>65e8e1a7e4bd4</v>
      </c>
      <c r="AH325" t="str">
        <f>_xlfn.CONCAT(Imagens!$H$2,'registo_ativo-CDs (1)'!AG325)</f>
        <v>assets/imagens/products/65e8e1a7e4bd4</v>
      </c>
      <c r="AI325" s="67">
        <v>45307</v>
      </c>
      <c r="AK325" s="32"/>
    </row>
    <row r="326" spans="1:37" ht="16.8" customHeight="1" x14ac:dyDescent="0.3">
      <c r="A326">
        <f t="shared" si="72"/>
        <v>15</v>
      </c>
      <c r="B326" t="str">
        <f t="shared" si="69"/>
        <v>CD82HTH103CEN02</v>
      </c>
      <c r="C326" t="str">
        <f t="shared" si="70"/>
        <v>CD-TSA-HTH-AGI-CEN-02</v>
      </c>
      <c r="E326" t="s">
        <v>37</v>
      </c>
      <c r="F326" t="s">
        <v>46</v>
      </c>
      <c r="G326" t="s">
        <v>46</v>
      </c>
      <c r="H326" s="20" t="s">
        <v>55</v>
      </c>
      <c r="I326" t="s">
        <v>93</v>
      </c>
      <c r="J326">
        <f>VLOOKUP(H326,ID!$C$3:$D$100,2,FALSE)</f>
        <v>82</v>
      </c>
      <c r="K326" t="s">
        <v>138</v>
      </c>
      <c r="L326" t="str">
        <f>VLOOKUP(K326,Localizacoes!$E$3:$F$100,2,FALSE)</f>
        <v>HTH</v>
      </c>
      <c r="M326" t="str">
        <f>VLOOKUP(K326,ID!$E$3:$F$100,2,FALSE)</f>
        <v>HTH</v>
      </c>
      <c r="N326" t="s">
        <v>131</v>
      </c>
      <c r="O326" t="str">
        <f>VLOOKUP(N326,Localizacoes!$G$3:$H$100,2,FALSE)</f>
        <v>AGI</v>
      </c>
      <c r="P326">
        <f>VLOOKUP(N326,ID!$G$3:$H$100,2,FALSE)</f>
        <v>103</v>
      </c>
      <c r="Q326" t="s">
        <v>333</v>
      </c>
      <c r="R326" t="str">
        <f>VLOOKUP(Q326,Localizacoes!$I$3:$J$100,2,FALSE)</f>
        <v>CEN</v>
      </c>
      <c r="S326" t="str">
        <f>VLOOKUP(Q326,ID!$I$3:$J$100,2,FALSE)</f>
        <v>CEN</v>
      </c>
      <c r="T326" s="4" t="s">
        <v>186</v>
      </c>
      <c r="U326" t="s">
        <v>264</v>
      </c>
      <c r="V326" t="s">
        <v>545</v>
      </c>
      <c r="W326" t="s">
        <v>555</v>
      </c>
      <c r="Y326" t="s">
        <v>270</v>
      </c>
      <c r="Z326" t="str">
        <f t="shared" si="73"/>
        <v>Caixa de Engrenagem 02</v>
      </c>
      <c r="AA326"/>
      <c r="AD326" s="13" t="s">
        <v>7</v>
      </c>
      <c r="AF326" t="str">
        <f t="shared" si="71"/>
        <v>Agitador  Caixa de Engrenagem</v>
      </c>
      <c r="AG326" s="28" t="str">
        <f>VLOOKUP(AF326,Imagens!$C$2:$D$42,2,FALSE)</f>
        <v>65e8e1a7e4bd4</v>
      </c>
      <c r="AH326" t="str">
        <f>_xlfn.CONCAT(Imagens!$H$2,'registo_ativo-CDs (1)'!AG326)</f>
        <v>assets/imagens/products/65e8e1a7e4bd4</v>
      </c>
      <c r="AI326" s="67">
        <v>45307</v>
      </c>
      <c r="AK326" s="32"/>
    </row>
    <row r="327" spans="1:37" ht="16.8" customHeight="1" x14ac:dyDescent="0.3">
      <c r="A327">
        <f t="shared" si="72"/>
        <v>15</v>
      </c>
      <c r="B327" t="str">
        <f t="shared" si="69"/>
        <v>CD82QEA152QEA01</v>
      </c>
      <c r="C327" t="str">
        <f t="shared" si="70"/>
        <v>CD-TSA-QEA-QEL-QEA-01</v>
      </c>
      <c r="E327" t="s">
        <v>37</v>
      </c>
      <c r="F327" t="s">
        <v>46</v>
      </c>
      <c r="G327" t="s">
        <v>46</v>
      </c>
      <c r="H327" s="20" t="s">
        <v>55</v>
      </c>
      <c r="I327" t="s">
        <v>93</v>
      </c>
      <c r="J327">
        <f>VLOOKUP(H327,ID!$C$3:$D$100,2,FALSE)</f>
        <v>82</v>
      </c>
      <c r="K327" t="s">
        <v>154</v>
      </c>
      <c r="L327" t="str">
        <f>VLOOKUP(K327,Localizacoes!$E$3:$F$100,2,FALSE)</f>
        <v>QEA</v>
      </c>
      <c r="M327" t="str">
        <f>VLOOKUP(K327,ID!$E$3:$F$100,2,FALSE)</f>
        <v>QEA</v>
      </c>
      <c r="N327" t="s">
        <v>286</v>
      </c>
      <c r="O327" t="str">
        <f>VLOOKUP(N327,Localizacoes!$G$3:$H$100,2,FALSE)</f>
        <v>QEL</v>
      </c>
      <c r="P327">
        <f>VLOOKUP(N327,ID!$G$3:$H$100,2,FALSE)</f>
        <v>152</v>
      </c>
      <c r="Q327" t="s">
        <v>154</v>
      </c>
      <c r="R327" t="str">
        <f>VLOOKUP(Q327,Localizacoes!$I$3:$J$100,2,FALSE)</f>
        <v>QEA</v>
      </c>
      <c r="S327" t="str">
        <f>VLOOKUP(Q327,ID!$I$3:$J$100,2,FALSE)</f>
        <v>QEA</v>
      </c>
      <c r="T327" s="4" t="s">
        <v>182</v>
      </c>
      <c r="U327" t="s">
        <v>265</v>
      </c>
      <c r="V327" t="s">
        <v>556</v>
      </c>
      <c r="Y327" t="s">
        <v>270</v>
      </c>
      <c r="Z327" t="str">
        <f t="shared" si="73"/>
        <v>Quadros Eléctricos de Arranque 01</v>
      </c>
      <c r="AA327"/>
      <c r="AD327" s="13" t="s">
        <v>267</v>
      </c>
      <c r="AF327" t="str">
        <f t="shared" si="71"/>
        <v>Quadro EléctricoQuadros Eléctricos de Arranque</v>
      </c>
      <c r="AG327" s="28" t="str">
        <f>VLOOKUP(AF327,Imagens!$C$2:$D$42,2,FALSE)</f>
        <v>65e8d2fa35c12</v>
      </c>
      <c r="AH327" t="str">
        <f>_xlfn.CONCAT(Imagens!$H$2,'registo_ativo-CDs (1)'!AG327)</f>
        <v>assets/imagens/products/65e8d2fa35c12</v>
      </c>
      <c r="AI327" s="67">
        <v>45363</v>
      </c>
      <c r="AK327" s="32"/>
    </row>
    <row r="328" spans="1:37" ht="16.8" customHeight="1" x14ac:dyDescent="0.3">
      <c r="A328">
        <f t="shared" si="72"/>
        <v>15</v>
      </c>
      <c r="B328" t="str">
        <f t="shared" si="69"/>
        <v>CD82SQE152QBT01</v>
      </c>
      <c r="C328" t="str">
        <f t="shared" si="70"/>
        <v>CD-TSA-SQE-QEL-QBT-01</v>
      </c>
      <c r="E328" t="s">
        <v>37</v>
      </c>
      <c r="F328" t="s">
        <v>46</v>
      </c>
      <c r="G328" t="s">
        <v>46</v>
      </c>
      <c r="H328" s="20" t="s">
        <v>55</v>
      </c>
      <c r="I328" t="s">
        <v>93</v>
      </c>
      <c r="J328">
        <f>VLOOKUP(H328,ID!$C$3:$D$100,2,FALSE)</f>
        <v>82</v>
      </c>
      <c r="K328" t="s">
        <v>494</v>
      </c>
      <c r="L328" t="str">
        <f>VLOOKUP(K328,Localizacoes!$E$3:$F$100,2,FALSE)</f>
        <v>SQE</v>
      </c>
      <c r="M328" t="str">
        <f>VLOOKUP(K328,ID!$E$3:$F$100,2,FALSE)</f>
        <v>SQE</v>
      </c>
      <c r="N328" t="s">
        <v>286</v>
      </c>
      <c r="O328" t="str">
        <f>VLOOKUP(N328,Localizacoes!$G$3:$H$100,2,FALSE)</f>
        <v>QEL</v>
      </c>
      <c r="P328">
        <f>VLOOKUP(N328,ID!$G$3:$H$100,2,FALSE)</f>
        <v>152</v>
      </c>
      <c r="Q328" t="s">
        <v>443</v>
      </c>
      <c r="R328" t="str">
        <f>VLOOKUP(Q328,Localizacoes!$I$3:$J$100,2,FALSE)</f>
        <v>QBT</v>
      </c>
      <c r="S328" t="str">
        <f>VLOOKUP(Q328,ID!$I$3:$J$100,2,FALSE)</f>
        <v>QBT</v>
      </c>
      <c r="T328" s="4" t="s">
        <v>182</v>
      </c>
      <c r="U328" t="s">
        <v>265</v>
      </c>
      <c r="Y328" t="s">
        <v>270</v>
      </c>
      <c r="Z328" t="str">
        <f t="shared" si="73"/>
        <v>Quadro de Baixa Tensão 01</v>
      </c>
      <c r="AA328"/>
      <c r="AD328" s="13" t="s">
        <v>267</v>
      </c>
      <c r="AF328" t="str">
        <f t="shared" si="71"/>
        <v>Quadro EléctricoQuadro de Baixa Tensão</v>
      </c>
      <c r="AG328" s="28" t="str">
        <f>VLOOKUP(AF328,Imagens!$C$2:$D$42,2,FALSE)</f>
        <v>65d1346bf3835</v>
      </c>
      <c r="AH328" t="str">
        <f>_xlfn.CONCAT(Imagens!$H$2,'registo_ativo-CDs (1)'!AG328)</f>
        <v>assets/imagens/products/65d1346bf3835</v>
      </c>
      <c r="AI328" s="67">
        <v>45363</v>
      </c>
      <c r="AK328" s="32"/>
    </row>
    <row r="329" spans="1:37" ht="16.8" customHeight="1" x14ac:dyDescent="0.3">
      <c r="A329">
        <f t="shared" si="72"/>
        <v>15</v>
      </c>
      <c r="B329" t="str">
        <f t="shared" si="69"/>
        <v>CD82SQE152QBT02</v>
      </c>
      <c r="C329" t="str">
        <f t="shared" si="70"/>
        <v>CD-TSA-SQE-QEL-QBT-02</v>
      </c>
      <c r="E329" t="s">
        <v>37</v>
      </c>
      <c r="F329" t="s">
        <v>46</v>
      </c>
      <c r="G329" t="s">
        <v>46</v>
      </c>
      <c r="H329" s="20" t="s">
        <v>55</v>
      </c>
      <c r="I329" t="s">
        <v>93</v>
      </c>
      <c r="J329">
        <f>VLOOKUP(H329,ID!$C$3:$D$100,2,FALSE)</f>
        <v>82</v>
      </c>
      <c r="K329" t="s">
        <v>494</v>
      </c>
      <c r="L329" t="str">
        <f>VLOOKUP(K329,Localizacoes!$E$3:$F$100,2,FALSE)</f>
        <v>SQE</v>
      </c>
      <c r="M329" t="str">
        <f>VLOOKUP(K329,ID!$E$3:$F$100,2,FALSE)</f>
        <v>SQE</v>
      </c>
      <c r="N329" t="s">
        <v>286</v>
      </c>
      <c r="O329" t="str">
        <f>VLOOKUP(N329,Localizacoes!$G$3:$H$100,2,FALSE)</f>
        <v>QEL</v>
      </c>
      <c r="P329">
        <f>VLOOKUP(N329,ID!$G$3:$H$100,2,FALSE)</f>
        <v>152</v>
      </c>
      <c r="Q329" t="s">
        <v>443</v>
      </c>
      <c r="R329" t="str">
        <f>VLOOKUP(Q329,Localizacoes!$I$3:$J$100,2,FALSE)</f>
        <v>QBT</v>
      </c>
      <c r="S329" t="str">
        <f>VLOOKUP(Q329,ID!$I$3:$J$100,2,FALSE)</f>
        <v>QBT</v>
      </c>
      <c r="T329" s="4" t="s">
        <v>186</v>
      </c>
      <c r="U329" t="s">
        <v>265</v>
      </c>
      <c r="Y329" t="s">
        <v>270</v>
      </c>
      <c r="Z329" t="str">
        <f t="shared" si="73"/>
        <v>Quadro de Baixa Tensão 02</v>
      </c>
      <c r="AA329"/>
      <c r="AD329" s="13" t="s">
        <v>267</v>
      </c>
      <c r="AF329" t="str">
        <f t="shared" si="71"/>
        <v>Quadro EléctricoQuadro de Baixa Tensão</v>
      </c>
      <c r="AG329" s="28" t="str">
        <f>VLOOKUP(AF329,Imagens!$C$2:$D$42,2,FALSE)</f>
        <v>65d1346bf3835</v>
      </c>
      <c r="AH329" t="str">
        <f>_xlfn.CONCAT(Imagens!$H$2,'registo_ativo-CDs (1)'!AG329)</f>
        <v>assets/imagens/products/65d1346bf3835</v>
      </c>
      <c r="AI329" s="67">
        <v>45363</v>
      </c>
      <c r="AK329" s="32"/>
    </row>
    <row r="330" spans="1:37" ht="16.8" customHeight="1" x14ac:dyDescent="0.3">
      <c r="A330">
        <f t="shared" si="72"/>
        <v>15</v>
      </c>
      <c r="B330" t="str">
        <f t="shared" si="69"/>
        <v>CD82SQE152QBT03</v>
      </c>
      <c r="C330" t="str">
        <f t="shared" si="70"/>
        <v>CD-TSA-SQE-QEL-QBT-03</v>
      </c>
      <c r="E330" t="s">
        <v>37</v>
      </c>
      <c r="F330" t="s">
        <v>46</v>
      </c>
      <c r="G330" t="s">
        <v>46</v>
      </c>
      <c r="H330" s="20" t="s">
        <v>55</v>
      </c>
      <c r="I330" t="s">
        <v>93</v>
      </c>
      <c r="J330">
        <f>VLOOKUP(H330,ID!$C$3:$D$100,2,FALSE)</f>
        <v>82</v>
      </c>
      <c r="K330" t="s">
        <v>494</v>
      </c>
      <c r="L330" t="str">
        <f>VLOOKUP(K330,Localizacoes!$E$3:$F$100,2,FALSE)</f>
        <v>SQE</v>
      </c>
      <c r="M330" t="str">
        <f>VLOOKUP(K330,ID!$E$3:$F$100,2,FALSE)</f>
        <v>SQE</v>
      </c>
      <c r="N330" t="s">
        <v>286</v>
      </c>
      <c r="O330" t="str">
        <f>VLOOKUP(N330,Localizacoes!$G$3:$H$100,2,FALSE)</f>
        <v>QEL</v>
      </c>
      <c r="P330">
        <f>VLOOKUP(N330,ID!$G$3:$H$100,2,FALSE)</f>
        <v>152</v>
      </c>
      <c r="Q330" t="s">
        <v>443</v>
      </c>
      <c r="R330" t="str">
        <f>VLOOKUP(Q330,Localizacoes!$I$3:$J$100,2,FALSE)</f>
        <v>QBT</v>
      </c>
      <c r="S330" t="str">
        <f>VLOOKUP(Q330,ID!$I$3:$J$100,2,FALSE)</f>
        <v>QBT</v>
      </c>
      <c r="T330" s="4" t="s">
        <v>187</v>
      </c>
      <c r="U330" t="s">
        <v>265</v>
      </c>
      <c r="Y330" t="s">
        <v>270</v>
      </c>
      <c r="Z330" t="str">
        <f t="shared" si="73"/>
        <v>Quadro de Baixa Tensão 03</v>
      </c>
      <c r="AA330"/>
      <c r="AD330" s="13" t="s">
        <v>267</v>
      </c>
      <c r="AF330" t="str">
        <f t="shared" si="71"/>
        <v>Quadro EléctricoQuadro de Baixa Tensão</v>
      </c>
      <c r="AG330" s="28" t="str">
        <f>VLOOKUP(AF330,Imagens!$C$2:$D$42,2,FALSE)</f>
        <v>65d1346bf3835</v>
      </c>
      <c r="AH330" t="str">
        <f>_xlfn.CONCAT(Imagens!$H$2,'registo_ativo-CDs (1)'!AG330)</f>
        <v>assets/imagens/products/65d1346bf3835</v>
      </c>
      <c r="AI330" s="67">
        <v>45363</v>
      </c>
      <c r="AK330" s="32"/>
    </row>
    <row r="331" spans="1:37" ht="16.8" customHeight="1" x14ac:dyDescent="0.3">
      <c r="A331">
        <f t="shared" si="72"/>
        <v>15</v>
      </c>
      <c r="B331" t="str">
        <f t="shared" si="69"/>
        <v>CD82SQE152QBT04</v>
      </c>
      <c r="C331" t="str">
        <f t="shared" si="70"/>
        <v>CD-TSA-SQE-QEL-QBT-04</v>
      </c>
      <c r="E331" t="s">
        <v>37</v>
      </c>
      <c r="F331" t="s">
        <v>46</v>
      </c>
      <c r="G331" t="s">
        <v>46</v>
      </c>
      <c r="H331" s="20" t="s">
        <v>55</v>
      </c>
      <c r="I331" t="s">
        <v>93</v>
      </c>
      <c r="J331">
        <f>VLOOKUP(H331,ID!$C$3:$D$100,2,FALSE)</f>
        <v>82</v>
      </c>
      <c r="K331" t="s">
        <v>494</v>
      </c>
      <c r="L331" t="str">
        <f>VLOOKUP(K331,Localizacoes!$E$3:$F$100,2,FALSE)</f>
        <v>SQE</v>
      </c>
      <c r="M331" t="str">
        <f>VLOOKUP(K331,ID!$E$3:$F$100,2,FALSE)</f>
        <v>SQE</v>
      </c>
      <c r="N331" t="s">
        <v>286</v>
      </c>
      <c r="O331" t="str">
        <f>VLOOKUP(N331,Localizacoes!$G$3:$H$100,2,FALSE)</f>
        <v>QEL</v>
      </c>
      <c r="P331">
        <f>VLOOKUP(N331,ID!$G$3:$H$100,2,FALSE)</f>
        <v>152</v>
      </c>
      <c r="Q331" t="s">
        <v>443</v>
      </c>
      <c r="R331" t="str">
        <f>VLOOKUP(Q331,Localizacoes!$I$3:$J$100,2,FALSE)</f>
        <v>QBT</v>
      </c>
      <c r="S331" t="str">
        <f>VLOOKUP(Q331,ID!$I$3:$J$100,2,FALSE)</f>
        <v>QBT</v>
      </c>
      <c r="T331" s="4" t="s">
        <v>188</v>
      </c>
      <c r="U331" t="s">
        <v>265</v>
      </c>
      <c r="Y331" t="s">
        <v>270</v>
      </c>
      <c r="Z331" t="str">
        <f t="shared" si="73"/>
        <v>Quadro de Baixa Tensão 04</v>
      </c>
      <c r="AA331"/>
      <c r="AD331" s="13" t="s">
        <v>267</v>
      </c>
      <c r="AF331" t="str">
        <f t="shared" si="71"/>
        <v>Quadro EléctricoQuadro de Baixa Tensão</v>
      </c>
      <c r="AG331" s="28" t="str">
        <f>VLOOKUP(AF331,Imagens!$C$2:$D$42,2,FALSE)</f>
        <v>65d1346bf3835</v>
      </c>
      <c r="AH331" t="str">
        <f>_xlfn.CONCAT(Imagens!$H$2,'registo_ativo-CDs (1)'!AG331)</f>
        <v>assets/imagens/products/65d1346bf3835</v>
      </c>
      <c r="AI331" s="67">
        <v>45363</v>
      </c>
      <c r="AK331" s="32"/>
    </row>
    <row r="332" spans="1:37" ht="16.8" customHeight="1" x14ac:dyDescent="0.3">
      <c r="A332">
        <f t="shared" si="72"/>
        <v>15</v>
      </c>
      <c r="B332" t="str">
        <f t="shared" si="69"/>
        <v>CD82ILU164ILL01</v>
      </c>
      <c r="C332" t="str">
        <f t="shared" si="70"/>
        <v>CD-TSA-ILU-SIL-ILL-01</v>
      </c>
      <c r="E332" t="s">
        <v>37</v>
      </c>
      <c r="F332" t="s">
        <v>46</v>
      </c>
      <c r="G332" t="s">
        <v>46</v>
      </c>
      <c r="H332" s="20" t="s">
        <v>55</v>
      </c>
      <c r="I332" t="s">
        <v>93</v>
      </c>
      <c r="J332">
        <f>VLOOKUP(H332,ID!$C$3:$D$100,2,FALSE)</f>
        <v>82</v>
      </c>
      <c r="K332" t="s">
        <v>141</v>
      </c>
      <c r="L332" t="str">
        <f>VLOOKUP(K332,Localizacoes!$E$3:$F$100,2,FALSE)</f>
        <v>ILU</v>
      </c>
      <c r="M332" t="str">
        <f>VLOOKUP(K332,ID!$E$3:$F$100,2,FALSE)</f>
        <v>ILU</v>
      </c>
      <c r="N332" t="s">
        <v>688</v>
      </c>
      <c r="O332" t="str">
        <f>VLOOKUP(N332,Localizacoes!$G$3:$H$100,2,FALSE)</f>
        <v>SIL</v>
      </c>
      <c r="P332">
        <f>VLOOKUP(N332,ID!$G$3:$H$100,2,FALSE)</f>
        <v>164</v>
      </c>
      <c r="Q332" t="s">
        <v>141</v>
      </c>
      <c r="R332" t="str">
        <f>VLOOKUP(Q332,Localizacoes!$I$3:$J$100,2,FALSE)</f>
        <v>ILL</v>
      </c>
      <c r="S332" t="str">
        <f>VLOOKUP(Q332,ID!$I$3:$J$100,2,FALSE)</f>
        <v>ILL</v>
      </c>
      <c r="T332" s="4" t="s">
        <v>182</v>
      </c>
      <c r="U332" t="s">
        <v>265</v>
      </c>
      <c r="Y332" t="s">
        <v>270</v>
      </c>
      <c r="Z332" t="str">
        <f t="shared" si="73"/>
        <v>Iluminação 01</v>
      </c>
      <c r="AA332"/>
      <c r="AD332" s="13" t="s">
        <v>267</v>
      </c>
      <c r="AF332" t="str">
        <f t="shared" si="71"/>
        <v>Sistema de IluminaçãoIluminação</v>
      </c>
      <c r="AG332" s="28" t="str">
        <f>VLOOKUP(AF332,Imagens!$C$2:$D$42,2,FALSE)</f>
        <v>65e8e579bfe6c</v>
      </c>
      <c r="AH332" t="str">
        <f>_xlfn.CONCAT(Imagens!$H$2,'registo_ativo-CDs (1)'!AG332)</f>
        <v>assets/imagens/products/65e8e579bfe6c</v>
      </c>
      <c r="AI332" s="67">
        <v>45307</v>
      </c>
      <c r="AK332" s="32"/>
    </row>
    <row r="333" spans="1:37" s="3" customFormat="1" ht="16.8" customHeight="1" x14ac:dyDescent="0.3">
      <c r="A333">
        <f t="shared" si="72"/>
        <v>15</v>
      </c>
      <c r="B333" t="str">
        <f t="shared" si="69"/>
        <v>CD82BBG146MCD01</v>
      </c>
      <c r="C333" t="str">
        <f t="shared" si="70"/>
        <v>CD-TSA-BBG-MDD-MCD-01</v>
      </c>
      <c r="D333"/>
      <c r="E333" t="s">
        <v>37</v>
      </c>
      <c r="F333" t="s">
        <v>46</v>
      </c>
      <c r="G333" t="s">
        <v>46</v>
      </c>
      <c r="H333" s="20" t="s">
        <v>55</v>
      </c>
      <c r="I333" t="s">
        <v>93</v>
      </c>
      <c r="J333">
        <f>VLOOKUP(H333,ID!$C$3:$D$100,2,FALSE)</f>
        <v>82</v>
      </c>
      <c r="K333" t="s">
        <v>274</v>
      </c>
      <c r="L333" t="str">
        <f>VLOOKUP(K333,Localizacoes!$E$3:$F$100,2,FALSE)</f>
        <v>BBG</v>
      </c>
      <c r="M333" t="str">
        <f>VLOOKUP(K333,ID!$E$3:$F$100,2,FALSE)</f>
        <v>BBG</v>
      </c>
      <c r="N333" t="s">
        <v>672</v>
      </c>
      <c r="O333" t="str">
        <f>VLOOKUP(N333,Localizacoes!$G$3:$H$100,2,FALSE)</f>
        <v>MDD</v>
      </c>
      <c r="P333">
        <f>VLOOKUP(N333,ID!$G$3:$H$100,2,FALSE)</f>
        <v>146</v>
      </c>
      <c r="Q333" t="s">
        <v>370</v>
      </c>
      <c r="R333" t="str">
        <f>VLOOKUP(Q333,Localizacoes!$I$3:$J$100,2,FALSE)</f>
        <v>MCD</v>
      </c>
      <c r="S333" t="str">
        <f>VLOOKUP(Q333,ID!$I$3:$J$100,2,FALSE)</f>
        <v>MCD</v>
      </c>
      <c r="T333" s="4" t="s">
        <v>182</v>
      </c>
      <c r="U333" t="s">
        <v>265</v>
      </c>
      <c r="V333"/>
      <c r="W333"/>
      <c r="X333"/>
      <c r="Y333" t="s">
        <v>270</v>
      </c>
      <c r="Z333" t="str">
        <f t="shared" si="73"/>
        <v>Macromedidor 01</v>
      </c>
      <c r="AA333"/>
      <c r="AB333" s="11"/>
      <c r="AC333" s="11"/>
      <c r="AD333" s="13" t="s">
        <v>266</v>
      </c>
      <c r="AE333"/>
      <c r="AF333" t="str">
        <f t="shared" si="71"/>
        <v>MedidorMacromedidor</v>
      </c>
      <c r="AG333" s="28" t="str">
        <f>VLOOKUP(AF333,Imagens!$C$2:$D$42,2,FALSE)</f>
        <v>65e8dd4a9cd58</v>
      </c>
      <c r="AH333" t="str">
        <f>_xlfn.CONCAT(Imagens!$H$2,'registo_ativo-CDs (1)'!AG333)</f>
        <v>assets/imagens/products/65e8dd4a9cd58</v>
      </c>
      <c r="AI333" s="67">
        <v>45335</v>
      </c>
      <c r="AJ333" s="30"/>
      <c r="AK333" s="32"/>
    </row>
    <row r="334" spans="1:37" ht="16.8" customHeight="1" x14ac:dyDescent="0.3">
      <c r="A334">
        <f t="shared" si="72"/>
        <v>15</v>
      </c>
      <c r="B334" t="str">
        <f t="shared" si="69"/>
        <v>CD82BBG146MCD02</v>
      </c>
      <c r="C334" t="str">
        <f t="shared" si="70"/>
        <v>CD-TSA-BBG-MDD-MCD-02</v>
      </c>
      <c r="E334" t="s">
        <v>37</v>
      </c>
      <c r="F334" t="s">
        <v>46</v>
      </c>
      <c r="G334" t="s">
        <v>46</v>
      </c>
      <c r="H334" s="20" t="s">
        <v>55</v>
      </c>
      <c r="I334" t="s">
        <v>93</v>
      </c>
      <c r="J334">
        <f>VLOOKUP(H334,ID!$C$3:$D$100,2,FALSE)</f>
        <v>82</v>
      </c>
      <c r="K334" t="s">
        <v>274</v>
      </c>
      <c r="L334" t="str">
        <f>VLOOKUP(K334,Localizacoes!$E$3:$F$100,2,FALSE)</f>
        <v>BBG</v>
      </c>
      <c r="M334" t="str">
        <f>VLOOKUP(K334,ID!$E$3:$F$100,2,FALSE)</f>
        <v>BBG</v>
      </c>
      <c r="N334" t="s">
        <v>672</v>
      </c>
      <c r="O334" t="str">
        <f>VLOOKUP(N334,Localizacoes!$G$3:$H$100,2,FALSE)</f>
        <v>MDD</v>
      </c>
      <c r="P334">
        <f>VLOOKUP(N334,ID!$G$3:$H$100,2,FALSE)</f>
        <v>146</v>
      </c>
      <c r="Q334" t="s">
        <v>370</v>
      </c>
      <c r="R334" t="str">
        <f>VLOOKUP(Q334,Localizacoes!$I$3:$J$100,2,FALSE)</f>
        <v>MCD</v>
      </c>
      <c r="S334" t="str">
        <f>VLOOKUP(Q334,ID!$I$3:$J$100,2,FALSE)</f>
        <v>MCD</v>
      </c>
      <c r="T334" s="4" t="s">
        <v>186</v>
      </c>
      <c r="U334" t="s">
        <v>265</v>
      </c>
      <c r="Y334" t="s">
        <v>270</v>
      </c>
      <c r="Z334" t="str">
        <f t="shared" si="73"/>
        <v>Macromedidor 02</v>
      </c>
      <c r="AA334"/>
      <c r="AD334" s="13" t="s">
        <v>266</v>
      </c>
      <c r="AF334" t="str">
        <f t="shared" si="71"/>
        <v>MedidorMacromedidor</v>
      </c>
      <c r="AG334" s="28" t="str">
        <f>VLOOKUP(AF334,Imagens!$C$2:$D$42,2,FALSE)</f>
        <v>65e8dd4a9cd58</v>
      </c>
      <c r="AH334" t="str">
        <f>_xlfn.CONCAT(Imagens!$H$2,'registo_ativo-CDs (1)'!AG334)</f>
        <v>assets/imagens/products/65e8dd4a9cd58</v>
      </c>
      <c r="AI334" s="67">
        <v>45335</v>
      </c>
      <c r="AK334" s="32"/>
    </row>
    <row r="335" spans="1:37" ht="16.8" customHeight="1" x14ac:dyDescent="0.3">
      <c r="A335">
        <f t="shared" si="72"/>
        <v>15</v>
      </c>
      <c r="B335" t="str">
        <f t="shared" si="69"/>
        <v>CD82CAN131CAN01</v>
      </c>
      <c r="C335" t="str">
        <f t="shared" si="70"/>
        <v>CD-TSA-CAN-EBC-CAN-01</v>
      </c>
      <c r="E335" t="s">
        <v>37</v>
      </c>
      <c r="F335" t="s">
        <v>46</v>
      </c>
      <c r="G335" t="s">
        <v>46</v>
      </c>
      <c r="H335" s="20" t="s">
        <v>55</v>
      </c>
      <c r="I335" t="s">
        <v>93</v>
      </c>
      <c r="J335">
        <f>VLOOKUP(H335,ID!$C$3:$D$100,2,FALSE)</f>
        <v>82</v>
      </c>
      <c r="K335" t="s">
        <v>101</v>
      </c>
      <c r="L335" t="str">
        <f>VLOOKUP(K335,Localizacoes!$E$3:$F$100,2,FALSE)</f>
        <v>CAN</v>
      </c>
      <c r="M335" t="str">
        <f>VLOOKUP(K335,ID!$E$3:$F$100,2,FALSE)</f>
        <v>CAN</v>
      </c>
      <c r="N335" t="s">
        <v>704</v>
      </c>
      <c r="O335" t="str">
        <f>VLOOKUP(N335,Localizacoes!$G$3:$H$100,2,FALSE)</f>
        <v>EBC</v>
      </c>
      <c r="P335">
        <f>VLOOKUP(N335,ID!$G$3:$H$100,2,FALSE)</f>
        <v>131</v>
      </c>
      <c r="Q335" t="s">
        <v>101</v>
      </c>
      <c r="R335" t="str">
        <f>VLOOKUP(Q335,Localizacoes!$I$3:$J$100,2,FALSE)</f>
        <v>CAN</v>
      </c>
      <c r="S335" t="str">
        <f>VLOOKUP(Q335,ID!$I$3:$J$100,2,FALSE)</f>
        <v>CAN</v>
      </c>
      <c r="T335" s="4" t="s">
        <v>182</v>
      </c>
      <c r="U335" t="s">
        <v>265</v>
      </c>
      <c r="Y335" t="s">
        <v>270</v>
      </c>
      <c r="Z335" t="str">
        <f t="shared" si="73"/>
        <v>Canalização Eléctrica 01</v>
      </c>
      <c r="AA335"/>
      <c r="AD335" s="13" t="s">
        <v>266</v>
      </c>
      <c r="AF335" t="str">
        <f t="shared" si="71"/>
        <v>Electrobomba centrífugaCanalização Eléctrica</v>
      </c>
      <c r="AG335" s="28" t="str">
        <f>VLOOKUP(AF335,Imagens!$C$2:$D$42,2,FALSE)</f>
        <v>65e8e4bb71249</v>
      </c>
      <c r="AH335" t="str">
        <f>_xlfn.CONCAT(Imagens!$H$2,'registo_ativo-CDs (1)'!AG335)</f>
        <v>assets/imagens/products/65e8e4bb71249</v>
      </c>
      <c r="AI335" s="67">
        <v>45447</v>
      </c>
      <c r="AK335" s="32"/>
    </row>
    <row r="336" spans="1:37" ht="16.8" customHeight="1" x14ac:dyDescent="0.3">
      <c r="A336" s="3">
        <f t="shared" si="72"/>
        <v>15</v>
      </c>
      <c r="B336" s="3" t="str">
        <f t="shared" si="69"/>
        <v>CD82CAN152QEI01</v>
      </c>
      <c r="C336" s="3" t="str">
        <f t="shared" si="70"/>
        <v>CD-TSA-CAN-QEL-QEI-01</v>
      </c>
      <c r="D336" s="3"/>
      <c r="E336" s="3" t="s">
        <v>37</v>
      </c>
      <c r="F336" s="3" t="s">
        <v>46</v>
      </c>
      <c r="G336" s="3" t="s">
        <v>46</v>
      </c>
      <c r="H336" s="20" t="s">
        <v>55</v>
      </c>
      <c r="I336" s="3" t="s">
        <v>93</v>
      </c>
      <c r="J336" s="3">
        <f>VLOOKUP(H336,ID!$C$3:$D$100,2,FALSE)</f>
        <v>82</v>
      </c>
      <c r="K336" s="3" t="s">
        <v>101</v>
      </c>
      <c r="L336" s="3" t="str">
        <f>VLOOKUP(K336,Localizacoes!$E$3:$F$100,2,FALSE)</f>
        <v>CAN</v>
      </c>
      <c r="M336" s="3" t="str">
        <f>VLOOKUP(K336,ID!$E$3:$F$100,2,FALSE)</f>
        <v>CAN</v>
      </c>
      <c r="N336" s="3" t="s">
        <v>286</v>
      </c>
      <c r="O336" s="3" t="str">
        <f>VLOOKUP(N336,Localizacoes!$G$3:$H$100,2,FALSE)</f>
        <v>QEL</v>
      </c>
      <c r="P336" s="3">
        <f>VLOOKUP(N336,ID!$G$3:$H$100,2,FALSE)</f>
        <v>152</v>
      </c>
      <c r="Q336" s="3" t="s">
        <v>446</v>
      </c>
      <c r="R336" s="3" t="str">
        <f>VLOOKUP(Q336,Localizacoes!$I$3:$J$100,2,FALSE)</f>
        <v>QEI</v>
      </c>
      <c r="S336" s="3" t="str">
        <f>VLOOKUP(Q336,ID!$I$3:$J$100,2,FALSE)</f>
        <v>QEI</v>
      </c>
      <c r="T336" s="45" t="s">
        <v>182</v>
      </c>
      <c r="U336" s="3" t="s">
        <v>265</v>
      </c>
      <c r="V336" s="3" t="s">
        <v>545</v>
      </c>
      <c r="W336" s="3" t="s">
        <v>551</v>
      </c>
      <c r="X336" s="3"/>
      <c r="Y336" s="3" t="s">
        <v>270</v>
      </c>
      <c r="Z336" s="3" t="str">
        <f t="shared" si="73"/>
        <v>Quadro Eléctrico de Instrumentação 01</v>
      </c>
      <c r="AA336" s="3"/>
      <c r="AB336" s="46"/>
      <c r="AC336" s="46"/>
      <c r="AD336" s="17" t="s">
        <v>267</v>
      </c>
      <c r="AE336" s="3"/>
      <c r="AF336" s="3" t="str">
        <f t="shared" si="71"/>
        <v>Quadro EléctricoQuadro Eléctrico de Instrumentação</v>
      </c>
      <c r="AG336" s="47" t="str">
        <f>VLOOKUP(AF336,Imagens!$C$2:$D$42,2,FALSE)</f>
        <v>65d1346bf3835</v>
      </c>
      <c r="AH336" t="str">
        <f>_xlfn.CONCAT(Imagens!$H$2,'registo_ativo-CDs (1)'!AG336)</f>
        <v>assets/imagens/products/65d1346bf3835</v>
      </c>
      <c r="AI336" s="68">
        <v>45363</v>
      </c>
      <c r="AJ336" s="48"/>
      <c r="AK336" s="49"/>
    </row>
    <row r="337" spans="1:37" ht="15" customHeight="1" x14ac:dyDescent="0.3">
      <c r="A337">
        <f t="shared" si="72"/>
        <v>15</v>
      </c>
      <c r="B337" t="str">
        <f t="shared" si="69"/>
        <v>CD82BBG143PRO01</v>
      </c>
      <c r="C337" t="str">
        <f t="shared" si="70"/>
        <v>CD-TSA-BBG-GRU-PRO-01</v>
      </c>
      <c r="E337" t="s">
        <v>37</v>
      </c>
      <c r="F337" t="str">
        <f>VLOOKUP(E337,Localizacoes!$A$3:$B$100,2,FALSE)</f>
        <v>CD</v>
      </c>
      <c r="G337" t="str">
        <f>VLOOKUP(E337,ID!$A$3:$B$100,2,FALSE)</f>
        <v>CD</v>
      </c>
      <c r="H337" s="14" t="s">
        <v>55</v>
      </c>
      <c r="I337" t="str">
        <f>VLOOKUP(H337,Localizacoes!$C$3:$D$100,2,FALSE)</f>
        <v>TSA</v>
      </c>
      <c r="J337">
        <f>VLOOKUP(H337,ID!$C$3:$D$100,2,FALSE)</f>
        <v>82</v>
      </c>
      <c r="K337" t="s">
        <v>274</v>
      </c>
      <c r="L337" t="str">
        <f>VLOOKUP(K337,Localizacoes!$E$3:$F$100,2,FALSE)</f>
        <v>BBG</v>
      </c>
      <c r="M337" t="str">
        <f>VLOOKUP(K337,ID!$E$3:$F$100,2,FALSE)</f>
        <v>BBG</v>
      </c>
      <c r="N337" t="s">
        <v>104</v>
      </c>
      <c r="O337" t="str">
        <f>VLOOKUP(N337,Localizacoes!$G$3:$H$100,2,FALSE)</f>
        <v>GRU</v>
      </c>
      <c r="P337">
        <f>VLOOKUP(N337,ID!$G$3:$H$100,2,FALSE)</f>
        <v>143</v>
      </c>
      <c r="Q337" t="s">
        <v>153</v>
      </c>
      <c r="R337" t="str">
        <f>VLOOKUP(Q337,Localizacoes!$I$3:$J$100,2,FALSE)</f>
        <v>PRO</v>
      </c>
      <c r="S337" t="str">
        <f>VLOOKUP(Q337,ID!$I$3:$J$100,2,FALSE)</f>
        <v>PRO</v>
      </c>
      <c r="T337" s="4" t="s">
        <v>182</v>
      </c>
      <c r="U337" t="s">
        <v>264</v>
      </c>
      <c r="Y337" t="s">
        <v>270</v>
      </c>
      <c r="Z337" t="str">
        <f t="shared" si="73"/>
        <v>Ponte Rolante 01</v>
      </c>
      <c r="AA337"/>
      <c r="AD337" s="13" t="s">
        <v>266</v>
      </c>
      <c r="AF337" t="str">
        <f t="shared" si="71"/>
        <v>GruaPonte Rolante</v>
      </c>
      <c r="AG337" s="28" t="str">
        <f>VLOOKUP(AF337,Imagens!$C$2:$D$42,2,FALSE)</f>
        <v>65c75d2748c4a</v>
      </c>
      <c r="AH337" t="str">
        <f>_xlfn.CONCAT(Imagens!$H$2,'registo_ativo-CDs (1)'!AG337)</f>
        <v>assets/imagens/products/65c75d2748c4a</v>
      </c>
      <c r="AI337" s="67">
        <v>45454</v>
      </c>
      <c r="AK337" s="32"/>
    </row>
    <row r="338" spans="1:37" ht="16.8" customHeight="1" x14ac:dyDescent="0.3">
      <c r="A338">
        <f t="shared" si="72"/>
        <v>15</v>
      </c>
      <c r="B338" t="str">
        <f t="shared" si="69"/>
        <v>CD82SB1165TRA01</v>
      </c>
      <c r="C338" t="str">
        <f t="shared" si="70"/>
        <v>CD-TSA-SB1-SUB-TRA-01</v>
      </c>
      <c r="E338" t="s">
        <v>37</v>
      </c>
      <c r="F338" t="s">
        <v>46</v>
      </c>
      <c r="G338" t="s">
        <v>46</v>
      </c>
      <c r="H338" s="20" t="s">
        <v>55</v>
      </c>
      <c r="I338" t="s">
        <v>93</v>
      </c>
      <c r="J338">
        <f>VLOOKUP(H338,ID!$C$3:$D$100,2,FALSE)</f>
        <v>82</v>
      </c>
      <c r="K338" t="s">
        <v>127</v>
      </c>
      <c r="L338" t="str">
        <f>VLOOKUP(K338,Localizacoes!$E$3:$F$100,2,FALSE)</f>
        <v>SB1</v>
      </c>
      <c r="M338" t="str">
        <f>VLOOKUP(K338,ID!$E$3:$F$100,2,FALSE)</f>
        <v>SB1</v>
      </c>
      <c r="N338" t="s">
        <v>112</v>
      </c>
      <c r="O338" t="str">
        <f>VLOOKUP(N338,Localizacoes!$G$3:$H$100,2,FALSE)</f>
        <v>SUB</v>
      </c>
      <c r="P338">
        <f>VLOOKUP(N338,ID!$G$3:$H$100,2,FALSE)</f>
        <v>165</v>
      </c>
      <c r="Q338" t="s">
        <v>176</v>
      </c>
      <c r="R338" t="str">
        <f>VLOOKUP(Q338,Localizacoes!$I$3:$J$100,2,FALSE)</f>
        <v>TRA</v>
      </c>
      <c r="S338" t="str">
        <f>VLOOKUP(Q338,ID!$I$3:$J$100,2,FALSE)</f>
        <v>TRA</v>
      </c>
      <c r="T338" s="4" t="s">
        <v>182</v>
      </c>
      <c r="U338" t="s">
        <v>265</v>
      </c>
      <c r="Y338" t="s">
        <v>270</v>
      </c>
      <c r="Z338" t="str">
        <f>Q338&amp;" "&amp; T338</f>
        <v>Transformador 01</v>
      </c>
      <c r="AA338"/>
      <c r="AD338" s="13" t="s">
        <v>267</v>
      </c>
      <c r="AF338" t="str">
        <f t="shared" si="71"/>
        <v>SubestaçãoTransformador</v>
      </c>
      <c r="AG338" s="28" t="str">
        <f>VLOOKUP(AF338,Imagens!$C$2:$D$42,2,FALSE)</f>
        <v>65e8d98d73a3d</v>
      </c>
      <c r="AH338" t="str">
        <f>_xlfn.CONCAT(Imagens!$H$2,'registo_ativo-CDs (1)'!AG338)</f>
        <v>assets/imagens/products/65e8d98d73a3d</v>
      </c>
      <c r="AI338" s="67">
        <v>45307</v>
      </c>
      <c r="AK338" s="32"/>
    </row>
    <row r="339" spans="1:37" ht="16.8" customHeight="1" x14ac:dyDescent="0.3">
      <c r="A339">
        <f t="shared" si="72"/>
        <v>15</v>
      </c>
      <c r="B339" t="str">
        <f t="shared" si="69"/>
        <v>CD83BBG131BOM01</v>
      </c>
      <c r="C339" t="str">
        <f t="shared" si="70"/>
        <v>CD-TSAT-BBG-EBC-BOM-01</v>
      </c>
      <c r="E339" t="s">
        <v>37</v>
      </c>
      <c r="F339" t="s">
        <v>46</v>
      </c>
      <c r="G339" t="s">
        <v>46</v>
      </c>
      <c r="H339" s="20" t="s">
        <v>226</v>
      </c>
      <c r="I339" t="s">
        <v>94</v>
      </c>
      <c r="J339">
        <f>VLOOKUP(H339,ID!$C$3:$D$100,2,FALSE)</f>
        <v>83</v>
      </c>
      <c r="K339" t="s">
        <v>274</v>
      </c>
      <c r="L339" t="str">
        <f>VLOOKUP(K339,Localizacoes!$E$3:$F$100,2,FALSE)</f>
        <v>BBG</v>
      </c>
      <c r="M339" t="str">
        <f>VLOOKUP(K339,ID!$E$3:$F$100,2,FALSE)</f>
        <v>BBG</v>
      </c>
      <c r="N339" t="s">
        <v>704</v>
      </c>
      <c r="O339" t="str">
        <f>VLOOKUP(N339,Localizacoes!$G$3:$H$100,2,FALSE)</f>
        <v>EBC</v>
      </c>
      <c r="P339">
        <f>VLOOKUP(N339,ID!$G$3:$H$100,2,FALSE)</f>
        <v>131</v>
      </c>
      <c r="Q339" t="s">
        <v>150</v>
      </c>
      <c r="R339" t="str">
        <f>VLOOKUP(Q339,Localizacoes!$I$3:$J$100,2,FALSE)</f>
        <v>BOM</v>
      </c>
      <c r="S339" t="str">
        <f>VLOOKUP(Q339,ID!$I$3:$J$100,2,FALSE)</f>
        <v>BOM</v>
      </c>
      <c r="T339" s="4" t="s">
        <v>182</v>
      </c>
      <c r="U339" t="s">
        <v>264</v>
      </c>
      <c r="Y339" t="s">
        <v>270</v>
      </c>
      <c r="Z339" t="str">
        <f t="shared" si="73"/>
        <v>Bomba 01</v>
      </c>
      <c r="AA339"/>
      <c r="AD339" s="13" t="s">
        <v>7</v>
      </c>
      <c r="AF339" t="str">
        <f t="shared" si="71"/>
        <v>Electrobomba centrífugaBomba</v>
      </c>
      <c r="AG339" s="28" t="str">
        <f>VLOOKUP(AF339,Imagens!$C$2:$D$42,2,FALSE)</f>
        <v>65e96125c1d11</v>
      </c>
      <c r="AH339" t="str">
        <f>_xlfn.CONCAT(Imagens!$H$2,'registo_ativo-CDs (1)'!AG339)</f>
        <v>assets/imagens/products/65e96125c1d11</v>
      </c>
      <c r="AI339" s="67">
        <v>45321</v>
      </c>
      <c r="AK339" s="32"/>
    </row>
    <row r="340" spans="1:37" ht="16.8" customHeight="1" x14ac:dyDescent="0.3">
      <c r="A340">
        <f t="shared" si="72"/>
        <v>15</v>
      </c>
      <c r="B340" t="str">
        <f t="shared" si="69"/>
        <v>CD83BBG131MOT01</v>
      </c>
      <c r="C340" t="str">
        <f t="shared" si="70"/>
        <v>CD-TSAT-BBG-EBC-MOT-01</v>
      </c>
      <c r="E340" t="s">
        <v>37</v>
      </c>
      <c r="F340" t="s">
        <v>46</v>
      </c>
      <c r="G340" t="s">
        <v>46</v>
      </c>
      <c r="H340" s="20" t="s">
        <v>226</v>
      </c>
      <c r="I340" t="s">
        <v>94</v>
      </c>
      <c r="J340">
        <f>VLOOKUP(H340,ID!$C$3:$D$100,2,FALSE)</f>
        <v>83</v>
      </c>
      <c r="K340" t="s">
        <v>274</v>
      </c>
      <c r="L340" t="str">
        <f>VLOOKUP(K340,Localizacoes!$E$3:$F$100,2,FALSE)</f>
        <v>BBG</v>
      </c>
      <c r="M340" t="str">
        <f>VLOOKUP(K340,ID!$E$3:$F$100,2,FALSE)</f>
        <v>BBG</v>
      </c>
      <c r="N340" t="s">
        <v>704</v>
      </c>
      <c r="O340" t="str">
        <f>VLOOKUP(N340,Localizacoes!$G$3:$H$100,2,FALSE)</f>
        <v>EBC</v>
      </c>
      <c r="P340">
        <f>VLOOKUP(N340,ID!$G$3:$H$100,2,FALSE)</f>
        <v>131</v>
      </c>
      <c r="Q340" t="s">
        <v>21</v>
      </c>
      <c r="R340" t="str">
        <f>VLOOKUP(Q340,Localizacoes!$I$3:$J$100,2,FALSE)</f>
        <v>MOT</v>
      </c>
      <c r="S340" t="str">
        <f>VLOOKUP(Q340,ID!$I$3:$J$100,2,FALSE)</f>
        <v>MOT</v>
      </c>
      <c r="T340" s="4" t="s">
        <v>182</v>
      </c>
      <c r="U340" t="s">
        <v>265</v>
      </c>
      <c r="Y340" t="s">
        <v>270</v>
      </c>
      <c r="Z340" t="str">
        <f t="shared" si="73"/>
        <v>Motor 01</v>
      </c>
      <c r="AA340"/>
      <c r="AD340" s="13" t="s">
        <v>7</v>
      </c>
      <c r="AF340" t="str">
        <f t="shared" si="71"/>
        <v>Electrobomba centrífugaMotor</v>
      </c>
      <c r="AG340" s="28" t="str">
        <f>VLOOKUP(AF340,Imagens!$C$2:$D$42,2,FALSE)</f>
        <v>65d04210323a4</v>
      </c>
      <c r="AH340" t="str">
        <f>_xlfn.CONCAT(Imagens!$H$2,'registo_ativo-CDs (1)'!AG340)</f>
        <v>assets/imagens/products/65d04210323a4</v>
      </c>
      <c r="AI340" s="67">
        <v>45321</v>
      </c>
      <c r="AK340" s="32"/>
    </row>
    <row r="341" spans="1:37" ht="16.8" customHeight="1" x14ac:dyDescent="0.3">
      <c r="A341">
        <f t="shared" si="72"/>
        <v>15</v>
      </c>
      <c r="B341" t="str">
        <f t="shared" si="69"/>
        <v>CD83BBG152QEA01</v>
      </c>
      <c r="C341" t="str">
        <f t="shared" si="70"/>
        <v>CD-TSAT-BBG-QEL-QEA-01</v>
      </c>
      <c r="E341" t="s">
        <v>37</v>
      </c>
      <c r="F341" t="s">
        <v>46</v>
      </c>
      <c r="G341" t="s">
        <v>46</v>
      </c>
      <c r="H341" s="20" t="s">
        <v>226</v>
      </c>
      <c r="I341" t="s">
        <v>94</v>
      </c>
      <c r="J341">
        <f>VLOOKUP(H341,ID!$C$3:$D$100,2,FALSE)</f>
        <v>83</v>
      </c>
      <c r="K341" t="s">
        <v>274</v>
      </c>
      <c r="L341" t="str">
        <f>VLOOKUP(K341,Localizacoes!$E$3:$F$100,2,FALSE)</f>
        <v>BBG</v>
      </c>
      <c r="M341" t="str">
        <f>VLOOKUP(K341,ID!$E$3:$F$100,2,FALSE)</f>
        <v>BBG</v>
      </c>
      <c r="N341" t="s">
        <v>286</v>
      </c>
      <c r="O341" t="str">
        <f>VLOOKUP(N341,Localizacoes!$G$3:$H$100,2,FALSE)</f>
        <v>QEL</v>
      </c>
      <c r="P341">
        <f>VLOOKUP(N341,ID!$G$3:$H$100,2,FALSE)</f>
        <v>152</v>
      </c>
      <c r="Q341" t="s">
        <v>154</v>
      </c>
      <c r="R341" t="str">
        <f>VLOOKUP(Q341,Localizacoes!$I$3:$J$100,2,FALSE)</f>
        <v>QEA</v>
      </c>
      <c r="S341" t="str">
        <f>VLOOKUP(Q341,ID!$I$3:$J$100,2,FALSE)</f>
        <v>QEA</v>
      </c>
      <c r="T341" s="4" t="s">
        <v>182</v>
      </c>
      <c r="U341" t="s">
        <v>265</v>
      </c>
      <c r="Y341" t="s">
        <v>270</v>
      </c>
      <c r="Z341" t="str">
        <f t="shared" si="73"/>
        <v>Quadros Eléctricos de Arranque 01</v>
      </c>
      <c r="AA341"/>
      <c r="AD341" s="13" t="s">
        <v>267</v>
      </c>
      <c r="AF341" t="str">
        <f t="shared" si="71"/>
        <v>Quadro EléctricoQuadros Eléctricos de Arranque</v>
      </c>
      <c r="AG341" s="28" t="str">
        <f>VLOOKUP(AF341,Imagens!$C$2:$D$42,2,FALSE)</f>
        <v>65e8d2fa35c12</v>
      </c>
      <c r="AH341" t="str">
        <f>_xlfn.CONCAT(Imagens!$H$2,'registo_ativo-CDs (1)'!AG341)</f>
        <v>assets/imagens/products/65e8d2fa35c12</v>
      </c>
      <c r="AI341" s="67">
        <v>45377</v>
      </c>
      <c r="AK341" s="32"/>
    </row>
    <row r="342" spans="1:37" ht="16.8" customHeight="1" x14ac:dyDescent="0.3">
      <c r="A342">
        <f t="shared" si="72"/>
        <v>15</v>
      </c>
      <c r="B342" t="str">
        <f t="shared" si="69"/>
        <v>CD83BBG131VSU01</v>
      </c>
      <c r="C342" t="str">
        <f t="shared" si="70"/>
        <v>CD-TSAT-BBG-EBC-VSU-01</v>
      </c>
      <c r="E342" t="s">
        <v>37</v>
      </c>
      <c r="F342" t="s">
        <v>46</v>
      </c>
      <c r="G342" t="s">
        <v>46</v>
      </c>
      <c r="H342" s="20" t="s">
        <v>226</v>
      </c>
      <c r="I342" t="s">
        <v>94</v>
      </c>
      <c r="J342">
        <f>VLOOKUP(H342,ID!$C$3:$D$100,2,FALSE)</f>
        <v>83</v>
      </c>
      <c r="K342" t="s">
        <v>274</v>
      </c>
      <c r="L342" t="str">
        <f>VLOOKUP(K342,Localizacoes!$E$3:$F$100,2,FALSE)</f>
        <v>BBG</v>
      </c>
      <c r="M342" t="str">
        <f>VLOOKUP(K342,ID!$E$3:$F$100,2,FALSE)</f>
        <v>BBG</v>
      </c>
      <c r="N342" t="s">
        <v>704</v>
      </c>
      <c r="O342" t="str">
        <f>VLOOKUP(N342,Localizacoes!$G$3:$H$100,2,FALSE)</f>
        <v>EBC</v>
      </c>
      <c r="P342">
        <f>VLOOKUP(N342,ID!$G$3:$H$100,2,FALSE)</f>
        <v>131</v>
      </c>
      <c r="Q342" t="s">
        <v>276</v>
      </c>
      <c r="R342" t="str">
        <f>VLOOKUP(Q342,Localizacoes!$I$3:$J$100,2,FALSE)</f>
        <v>VSU</v>
      </c>
      <c r="S342" t="str">
        <f>VLOOKUP(Q342,ID!$I$3:$J$100,2,FALSE)</f>
        <v>VSU</v>
      </c>
      <c r="T342" s="4" t="s">
        <v>182</v>
      </c>
      <c r="U342" t="s">
        <v>264</v>
      </c>
      <c r="Y342" t="s">
        <v>270</v>
      </c>
      <c r="Z342" t="str">
        <f t="shared" si="73"/>
        <v>Válvula Sucção 01</v>
      </c>
      <c r="AA342"/>
      <c r="AD342" s="13" t="s">
        <v>267</v>
      </c>
      <c r="AF342" t="str">
        <f t="shared" si="71"/>
        <v>Electrobomba centrífugaVálvula Sucção</v>
      </c>
      <c r="AG342" s="28" t="str">
        <f>VLOOKUP(AF342,Imagens!$C$2:$D$42,2,FALSE)</f>
        <v>65e8cda0676b7</v>
      </c>
      <c r="AH342" t="str">
        <f>_xlfn.CONCAT(Imagens!$H$2,'registo_ativo-CDs (1)'!AG342)</f>
        <v>assets/imagens/products/65e8cda0676b7</v>
      </c>
      <c r="AI342" s="67">
        <v>45377</v>
      </c>
      <c r="AK342" s="32"/>
    </row>
    <row r="343" spans="1:37" ht="16.8" customHeight="1" x14ac:dyDescent="0.3">
      <c r="A343">
        <f t="shared" si="72"/>
        <v>15</v>
      </c>
      <c r="B343" t="str">
        <f t="shared" si="69"/>
        <v>CD83BBG131VDE01</v>
      </c>
      <c r="C343" t="str">
        <f t="shared" si="70"/>
        <v>CD-TSAT-BBG-EBC-VDE-01</v>
      </c>
      <c r="E343" t="s">
        <v>37</v>
      </c>
      <c r="F343" t="s">
        <v>46</v>
      </c>
      <c r="G343" t="s">
        <v>46</v>
      </c>
      <c r="H343" s="20" t="s">
        <v>226</v>
      </c>
      <c r="I343" t="s">
        <v>94</v>
      </c>
      <c r="J343">
        <f>VLOOKUP(H343,ID!$C$3:$D$100,2,FALSE)</f>
        <v>83</v>
      </c>
      <c r="K343" t="s">
        <v>274</v>
      </c>
      <c r="L343" t="str">
        <f>VLOOKUP(K343,Localizacoes!$E$3:$F$100,2,FALSE)</f>
        <v>BBG</v>
      </c>
      <c r="M343" t="str">
        <f>VLOOKUP(K343,ID!$E$3:$F$100,2,FALSE)</f>
        <v>BBG</v>
      </c>
      <c r="N343" t="s">
        <v>704</v>
      </c>
      <c r="O343" t="str">
        <f>VLOOKUP(N343,Localizacoes!$G$3:$H$100,2,FALSE)</f>
        <v>EBC</v>
      </c>
      <c r="P343">
        <f>VLOOKUP(N343,ID!$G$3:$H$100,2,FALSE)</f>
        <v>131</v>
      </c>
      <c r="Q343" t="s">
        <v>279</v>
      </c>
      <c r="R343" t="str">
        <f>VLOOKUP(Q343,Localizacoes!$I$3:$J$100,2,FALSE)</f>
        <v>VDE</v>
      </c>
      <c r="S343" t="str">
        <f>VLOOKUP(Q343,ID!$I$3:$J$100,2,FALSE)</f>
        <v>VDE</v>
      </c>
      <c r="T343" s="4" t="s">
        <v>182</v>
      </c>
      <c r="U343" t="s">
        <v>264</v>
      </c>
      <c r="Y343" t="s">
        <v>270</v>
      </c>
      <c r="Z343" t="str">
        <f t="shared" si="73"/>
        <v>Válvula Descarga 01</v>
      </c>
      <c r="AA343"/>
      <c r="AD343" s="13" t="s">
        <v>267</v>
      </c>
      <c r="AF343" t="str">
        <f t="shared" si="71"/>
        <v>Electrobomba centrífugaVálvula Descarga</v>
      </c>
      <c r="AG343" s="28" t="str">
        <f>VLOOKUP(AF343,Imagens!$C$2:$D$42,2,FALSE)</f>
        <v>65e8cda0676b7</v>
      </c>
      <c r="AH343" t="str">
        <f>_xlfn.CONCAT(Imagens!$H$2,'registo_ativo-CDs (1)'!AG343)</f>
        <v>assets/imagens/products/65e8cda0676b7</v>
      </c>
      <c r="AI343" s="67">
        <v>45377</v>
      </c>
      <c r="AK343" s="32"/>
    </row>
    <row r="344" spans="1:37" ht="16.8" customHeight="1" x14ac:dyDescent="0.3">
      <c r="A344">
        <f t="shared" si="72"/>
        <v>15</v>
      </c>
      <c r="B344" t="str">
        <f t="shared" si="69"/>
        <v>CD83BBG131BOM02</v>
      </c>
      <c r="C344" t="str">
        <f t="shared" si="70"/>
        <v>CD-TSAT-BBG-EBC-BOM-02</v>
      </c>
      <c r="E344" t="s">
        <v>37</v>
      </c>
      <c r="F344" t="s">
        <v>46</v>
      </c>
      <c r="G344" t="s">
        <v>46</v>
      </c>
      <c r="H344" s="20" t="s">
        <v>226</v>
      </c>
      <c r="I344" t="s">
        <v>94</v>
      </c>
      <c r="J344">
        <f>VLOOKUP(H344,ID!$C$3:$D$100,2,FALSE)</f>
        <v>83</v>
      </c>
      <c r="K344" t="s">
        <v>274</v>
      </c>
      <c r="L344" t="str">
        <f>VLOOKUP(K344,Localizacoes!$E$3:$F$100,2,FALSE)</f>
        <v>BBG</v>
      </c>
      <c r="M344" t="str">
        <f>VLOOKUP(K344,ID!$E$3:$F$100,2,FALSE)</f>
        <v>BBG</v>
      </c>
      <c r="N344" t="s">
        <v>704</v>
      </c>
      <c r="O344" t="str">
        <f>VLOOKUP(N344,Localizacoes!$G$3:$H$100,2,FALSE)</f>
        <v>EBC</v>
      </c>
      <c r="P344">
        <f>VLOOKUP(N344,ID!$G$3:$H$100,2,FALSE)</f>
        <v>131</v>
      </c>
      <c r="Q344" t="s">
        <v>150</v>
      </c>
      <c r="R344" t="str">
        <f>VLOOKUP(Q344,Localizacoes!$I$3:$J$100,2,FALSE)</f>
        <v>BOM</v>
      </c>
      <c r="S344" t="str">
        <f>VLOOKUP(Q344,ID!$I$3:$J$100,2,FALSE)</f>
        <v>BOM</v>
      </c>
      <c r="T344" s="4" t="s">
        <v>186</v>
      </c>
      <c r="U344" t="s">
        <v>264</v>
      </c>
      <c r="Y344" t="s">
        <v>270</v>
      </c>
      <c r="Z344" t="str">
        <f t="shared" si="73"/>
        <v>Bomba 02</v>
      </c>
      <c r="AA344"/>
      <c r="AD344" s="13" t="s">
        <v>7</v>
      </c>
      <c r="AF344" t="str">
        <f t="shared" si="71"/>
        <v>Electrobomba centrífugaBomba</v>
      </c>
      <c r="AG344" s="28" t="str">
        <f>VLOOKUP(AF344,Imagens!$C$2:$D$42,2,FALSE)</f>
        <v>65e96125c1d11</v>
      </c>
      <c r="AH344" t="str">
        <f>_xlfn.CONCAT(Imagens!$H$2,'registo_ativo-CDs (1)'!AG344)</f>
        <v>assets/imagens/products/65e96125c1d11</v>
      </c>
      <c r="AI344" s="67">
        <v>45321</v>
      </c>
      <c r="AK344" s="32"/>
    </row>
    <row r="345" spans="1:37" ht="16.8" customHeight="1" x14ac:dyDescent="0.3">
      <c r="A345">
        <f t="shared" si="72"/>
        <v>15</v>
      </c>
      <c r="B345" t="str">
        <f t="shared" si="69"/>
        <v>CD83BBG131MOT02</v>
      </c>
      <c r="C345" t="str">
        <f t="shared" si="70"/>
        <v>CD-TSAT-BBG-EBC-MOT-02</v>
      </c>
      <c r="E345" t="s">
        <v>37</v>
      </c>
      <c r="F345" t="s">
        <v>46</v>
      </c>
      <c r="G345" t="s">
        <v>46</v>
      </c>
      <c r="H345" s="20" t="s">
        <v>226</v>
      </c>
      <c r="I345" t="s">
        <v>94</v>
      </c>
      <c r="J345">
        <f>VLOOKUP(H345,ID!$C$3:$D$100,2,FALSE)</f>
        <v>83</v>
      </c>
      <c r="K345" t="s">
        <v>274</v>
      </c>
      <c r="L345" t="str">
        <f>VLOOKUP(K345,Localizacoes!$E$3:$F$100,2,FALSE)</f>
        <v>BBG</v>
      </c>
      <c r="M345" t="str">
        <f>VLOOKUP(K345,ID!$E$3:$F$100,2,FALSE)</f>
        <v>BBG</v>
      </c>
      <c r="N345" t="s">
        <v>704</v>
      </c>
      <c r="O345" t="str">
        <f>VLOOKUP(N345,Localizacoes!$G$3:$H$100,2,FALSE)</f>
        <v>EBC</v>
      </c>
      <c r="P345">
        <f>VLOOKUP(N345,ID!$G$3:$H$100,2,FALSE)</f>
        <v>131</v>
      </c>
      <c r="Q345" t="s">
        <v>21</v>
      </c>
      <c r="R345" t="str">
        <f>VLOOKUP(Q345,Localizacoes!$I$3:$J$100,2,FALSE)</f>
        <v>MOT</v>
      </c>
      <c r="S345" t="str">
        <f>VLOOKUP(Q345,ID!$I$3:$J$100,2,FALSE)</f>
        <v>MOT</v>
      </c>
      <c r="T345" s="4" t="s">
        <v>186</v>
      </c>
      <c r="U345" t="s">
        <v>265</v>
      </c>
      <c r="Y345" t="s">
        <v>270</v>
      </c>
      <c r="Z345" t="str">
        <f t="shared" si="73"/>
        <v>Motor 02</v>
      </c>
      <c r="AA345"/>
      <c r="AD345" s="13" t="s">
        <v>7</v>
      </c>
      <c r="AF345" t="str">
        <f t="shared" si="71"/>
        <v>Electrobomba centrífugaMotor</v>
      </c>
      <c r="AG345" s="28" t="str">
        <f>VLOOKUP(AF345,Imagens!$C$2:$D$42,2,FALSE)</f>
        <v>65d04210323a4</v>
      </c>
      <c r="AH345" t="str">
        <f>_xlfn.CONCAT(Imagens!$H$2,'registo_ativo-CDs (1)'!AG345)</f>
        <v>assets/imagens/products/65d04210323a4</v>
      </c>
      <c r="AI345" s="67">
        <v>45321</v>
      </c>
      <c r="AK345" s="32"/>
    </row>
    <row r="346" spans="1:37" ht="16.8" customHeight="1" x14ac:dyDescent="0.3">
      <c r="A346">
        <f t="shared" si="72"/>
        <v>15</v>
      </c>
      <c r="B346" t="str">
        <f t="shared" si="69"/>
        <v>CD83BBG152QEA02</v>
      </c>
      <c r="C346" t="str">
        <f t="shared" si="70"/>
        <v>CD-TSAT-BBG-QEL-QEA-02</v>
      </c>
      <c r="E346" t="s">
        <v>37</v>
      </c>
      <c r="F346" t="s">
        <v>46</v>
      </c>
      <c r="G346" t="s">
        <v>46</v>
      </c>
      <c r="H346" s="20" t="s">
        <v>226</v>
      </c>
      <c r="I346" t="s">
        <v>94</v>
      </c>
      <c r="J346">
        <f>VLOOKUP(H346,ID!$C$3:$D$100,2,FALSE)</f>
        <v>83</v>
      </c>
      <c r="K346" t="s">
        <v>274</v>
      </c>
      <c r="L346" t="str">
        <f>VLOOKUP(K346,Localizacoes!$E$3:$F$100,2,FALSE)</f>
        <v>BBG</v>
      </c>
      <c r="M346" t="str">
        <f>VLOOKUP(K346,ID!$E$3:$F$100,2,FALSE)</f>
        <v>BBG</v>
      </c>
      <c r="N346" t="s">
        <v>286</v>
      </c>
      <c r="O346" t="str">
        <f>VLOOKUP(N346,Localizacoes!$G$3:$H$100,2,FALSE)</f>
        <v>QEL</v>
      </c>
      <c r="P346">
        <f>VLOOKUP(N346,ID!$G$3:$H$100,2,FALSE)</f>
        <v>152</v>
      </c>
      <c r="Q346" t="s">
        <v>154</v>
      </c>
      <c r="R346" t="str">
        <f>VLOOKUP(Q346,Localizacoes!$I$3:$J$100,2,FALSE)</f>
        <v>QEA</v>
      </c>
      <c r="S346" t="str">
        <f>VLOOKUP(Q346,ID!$I$3:$J$100,2,FALSE)</f>
        <v>QEA</v>
      </c>
      <c r="T346" s="4" t="s">
        <v>186</v>
      </c>
      <c r="U346" t="s">
        <v>265</v>
      </c>
      <c r="Y346" t="s">
        <v>270</v>
      </c>
      <c r="Z346" t="str">
        <f t="shared" si="73"/>
        <v>Quadros Eléctricos de Arranque 02</v>
      </c>
      <c r="AA346"/>
      <c r="AD346" s="13" t="s">
        <v>267</v>
      </c>
      <c r="AF346" t="str">
        <f t="shared" si="71"/>
        <v>Quadro EléctricoQuadros Eléctricos de Arranque</v>
      </c>
      <c r="AG346" s="28" t="str">
        <f>VLOOKUP(AF346,Imagens!$C$2:$D$42,2,FALSE)</f>
        <v>65e8d2fa35c12</v>
      </c>
      <c r="AH346" t="str">
        <f>_xlfn.CONCAT(Imagens!$H$2,'registo_ativo-CDs (1)'!AG346)</f>
        <v>assets/imagens/products/65e8d2fa35c12</v>
      </c>
      <c r="AI346" s="67">
        <v>45377</v>
      </c>
      <c r="AK346" s="32"/>
    </row>
    <row r="347" spans="1:37" ht="16.8" customHeight="1" x14ac:dyDescent="0.3">
      <c r="A347">
        <f t="shared" si="72"/>
        <v>15</v>
      </c>
      <c r="B347" t="str">
        <f t="shared" si="69"/>
        <v>CD83BBG131VSU02</v>
      </c>
      <c r="C347" t="str">
        <f t="shared" si="70"/>
        <v>CD-TSAT-BBG-EBC-VSU-02</v>
      </c>
      <c r="E347" t="s">
        <v>37</v>
      </c>
      <c r="F347" t="s">
        <v>46</v>
      </c>
      <c r="G347" t="s">
        <v>46</v>
      </c>
      <c r="H347" s="20" t="s">
        <v>226</v>
      </c>
      <c r="I347" t="s">
        <v>94</v>
      </c>
      <c r="J347">
        <f>VLOOKUP(H347,ID!$C$3:$D$100,2,FALSE)</f>
        <v>83</v>
      </c>
      <c r="K347" t="s">
        <v>274</v>
      </c>
      <c r="L347" t="str">
        <f>VLOOKUP(K347,Localizacoes!$E$3:$F$100,2,FALSE)</f>
        <v>BBG</v>
      </c>
      <c r="M347" t="str">
        <f>VLOOKUP(K347,ID!$E$3:$F$100,2,FALSE)</f>
        <v>BBG</v>
      </c>
      <c r="N347" t="s">
        <v>704</v>
      </c>
      <c r="O347" t="str">
        <f>VLOOKUP(N347,Localizacoes!$G$3:$H$100,2,FALSE)</f>
        <v>EBC</v>
      </c>
      <c r="P347">
        <f>VLOOKUP(N347,ID!$G$3:$H$100,2,FALSE)</f>
        <v>131</v>
      </c>
      <c r="Q347" t="s">
        <v>276</v>
      </c>
      <c r="R347" t="str">
        <f>VLOOKUP(Q347,Localizacoes!$I$3:$J$100,2,FALSE)</f>
        <v>VSU</v>
      </c>
      <c r="S347" t="str">
        <f>VLOOKUP(Q347,ID!$I$3:$J$100,2,FALSE)</f>
        <v>VSU</v>
      </c>
      <c r="T347" s="4" t="s">
        <v>186</v>
      </c>
      <c r="U347" t="s">
        <v>264</v>
      </c>
      <c r="Y347" t="s">
        <v>270</v>
      </c>
      <c r="Z347" t="str">
        <f t="shared" si="73"/>
        <v>Válvula Sucção 02</v>
      </c>
      <c r="AA347"/>
      <c r="AD347" s="13" t="s">
        <v>267</v>
      </c>
      <c r="AF347" t="str">
        <f t="shared" si="71"/>
        <v>Electrobomba centrífugaVálvula Sucção</v>
      </c>
      <c r="AG347" s="28" t="str">
        <f>VLOOKUP(AF347,Imagens!$C$2:$D$42,2,FALSE)</f>
        <v>65e8cda0676b7</v>
      </c>
      <c r="AH347" t="str">
        <f>_xlfn.CONCAT(Imagens!$H$2,'registo_ativo-CDs (1)'!AG347)</f>
        <v>assets/imagens/products/65e8cda0676b7</v>
      </c>
      <c r="AI347" s="67">
        <v>45377</v>
      </c>
      <c r="AK347" s="32"/>
    </row>
    <row r="348" spans="1:37" ht="16.8" customHeight="1" x14ac:dyDescent="0.3">
      <c r="A348">
        <f t="shared" si="72"/>
        <v>15</v>
      </c>
      <c r="B348" t="str">
        <f t="shared" si="69"/>
        <v>CD83BBG131VDE02</v>
      </c>
      <c r="C348" t="str">
        <f t="shared" si="70"/>
        <v>CD-TSAT-BBG-EBC-VDE-02</v>
      </c>
      <c r="E348" t="s">
        <v>37</v>
      </c>
      <c r="F348" t="s">
        <v>46</v>
      </c>
      <c r="G348" t="s">
        <v>46</v>
      </c>
      <c r="H348" s="20" t="s">
        <v>226</v>
      </c>
      <c r="I348" t="s">
        <v>94</v>
      </c>
      <c r="J348">
        <f>VLOOKUP(H348,ID!$C$3:$D$100,2,FALSE)</f>
        <v>83</v>
      </c>
      <c r="K348" t="s">
        <v>274</v>
      </c>
      <c r="L348" t="str">
        <f>VLOOKUP(K348,Localizacoes!$E$3:$F$100,2,FALSE)</f>
        <v>BBG</v>
      </c>
      <c r="M348" t="str">
        <f>VLOOKUP(K348,ID!$E$3:$F$100,2,FALSE)</f>
        <v>BBG</v>
      </c>
      <c r="N348" t="s">
        <v>704</v>
      </c>
      <c r="O348" t="str">
        <f>VLOOKUP(N348,Localizacoes!$G$3:$H$100,2,FALSE)</f>
        <v>EBC</v>
      </c>
      <c r="P348">
        <f>VLOOKUP(N348,ID!$G$3:$H$100,2,FALSE)</f>
        <v>131</v>
      </c>
      <c r="Q348" t="s">
        <v>279</v>
      </c>
      <c r="R348" t="str">
        <f>VLOOKUP(Q348,Localizacoes!$I$3:$J$100,2,FALSE)</f>
        <v>VDE</v>
      </c>
      <c r="S348" t="str">
        <f>VLOOKUP(Q348,ID!$I$3:$J$100,2,FALSE)</f>
        <v>VDE</v>
      </c>
      <c r="T348" s="4" t="s">
        <v>186</v>
      </c>
      <c r="U348" t="s">
        <v>264</v>
      </c>
      <c r="Y348" t="s">
        <v>270</v>
      </c>
      <c r="Z348" t="str">
        <f t="shared" si="73"/>
        <v>Válvula Descarga 02</v>
      </c>
      <c r="AA348"/>
      <c r="AD348" s="13" t="s">
        <v>267</v>
      </c>
      <c r="AF348" t="str">
        <f t="shared" si="71"/>
        <v>Electrobomba centrífugaVálvula Descarga</v>
      </c>
      <c r="AG348" s="28" t="str">
        <f>VLOOKUP(AF348,Imagens!$C$2:$D$42,2,FALSE)</f>
        <v>65e8cda0676b7</v>
      </c>
      <c r="AH348" t="str">
        <f>_xlfn.CONCAT(Imagens!$H$2,'registo_ativo-CDs (1)'!AG348)</f>
        <v>assets/imagens/products/65e8cda0676b7</v>
      </c>
      <c r="AI348" s="67">
        <v>45377</v>
      </c>
      <c r="AK348" s="32"/>
    </row>
    <row r="349" spans="1:37" ht="16.8" customHeight="1" x14ac:dyDescent="0.3">
      <c r="A349">
        <f t="shared" ref="A349:A353" si="74">LEN(B349)</f>
        <v>15</v>
      </c>
      <c r="B349" t="str">
        <f t="shared" si="69"/>
        <v>CD83BBG131BOM03</v>
      </c>
      <c r="C349" t="str">
        <f t="shared" si="70"/>
        <v>CD-TSAT-BBG-EBC-BOM-03</v>
      </c>
      <c r="E349" t="s">
        <v>37</v>
      </c>
      <c r="F349" t="s">
        <v>46</v>
      </c>
      <c r="G349" t="s">
        <v>46</v>
      </c>
      <c r="H349" s="20" t="s">
        <v>226</v>
      </c>
      <c r="I349" t="s">
        <v>94</v>
      </c>
      <c r="J349">
        <f>VLOOKUP(H349,ID!$C$3:$D$100,2,FALSE)</f>
        <v>83</v>
      </c>
      <c r="K349" t="s">
        <v>274</v>
      </c>
      <c r="L349" t="str">
        <f>VLOOKUP(K349,Localizacoes!$E$3:$F$100,2,FALSE)</f>
        <v>BBG</v>
      </c>
      <c r="M349" t="str">
        <f>VLOOKUP(K349,ID!$E$3:$F$100,2,FALSE)</f>
        <v>BBG</v>
      </c>
      <c r="N349" t="s">
        <v>704</v>
      </c>
      <c r="O349" t="str">
        <f>VLOOKUP(N349,Localizacoes!$G$3:$H$100,2,FALSE)</f>
        <v>EBC</v>
      </c>
      <c r="P349">
        <f>VLOOKUP(N349,ID!$G$3:$H$100,2,FALSE)</f>
        <v>131</v>
      </c>
      <c r="Q349" t="s">
        <v>150</v>
      </c>
      <c r="R349" t="str">
        <f>VLOOKUP(Q349,Localizacoes!$I$3:$J$100,2,FALSE)</f>
        <v>BOM</v>
      </c>
      <c r="S349" t="str">
        <f>VLOOKUP(Q349,ID!$I$3:$J$100,2,FALSE)</f>
        <v>BOM</v>
      </c>
      <c r="T349" s="4" t="s">
        <v>187</v>
      </c>
      <c r="U349" t="s">
        <v>264</v>
      </c>
      <c r="Y349" t="s">
        <v>372</v>
      </c>
      <c r="Z349" t="str">
        <f t="shared" ref="Z349:Z353" si="75">Q349&amp;" "&amp; T349</f>
        <v>Bomba 03</v>
      </c>
      <c r="AA349"/>
      <c r="AD349" s="13" t="s">
        <v>7</v>
      </c>
      <c r="AF349" t="str">
        <f t="shared" si="71"/>
        <v>Electrobomba centrífugaBomba</v>
      </c>
      <c r="AG349" s="28" t="str">
        <f>VLOOKUP(AF349,Imagens!$C$2:$D$42,2,FALSE)</f>
        <v>65e96125c1d11</v>
      </c>
      <c r="AH349" t="str">
        <f>_xlfn.CONCAT(Imagens!$H$2,'registo_ativo-CDs (1)'!AG349)</f>
        <v>assets/imagens/products/65e96125c1d11</v>
      </c>
      <c r="AI349" s="67">
        <v>45321</v>
      </c>
      <c r="AK349" s="32"/>
    </row>
    <row r="350" spans="1:37" ht="16.8" customHeight="1" x14ac:dyDescent="0.3">
      <c r="A350">
        <f t="shared" si="74"/>
        <v>15</v>
      </c>
      <c r="B350" t="str">
        <f t="shared" si="69"/>
        <v>CD83BBG131MOT03</v>
      </c>
      <c r="C350" t="str">
        <f t="shared" si="70"/>
        <v>CD-TSAT-BBG-EBC-MOT-03</v>
      </c>
      <c r="E350" t="s">
        <v>37</v>
      </c>
      <c r="F350" t="s">
        <v>46</v>
      </c>
      <c r="G350" t="s">
        <v>46</v>
      </c>
      <c r="H350" s="20" t="s">
        <v>226</v>
      </c>
      <c r="I350" t="s">
        <v>94</v>
      </c>
      <c r="J350">
        <f>VLOOKUP(H350,ID!$C$3:$D$100,2,FALSE)</f>
        <v>83</v>
      </c>
      <c r="K350" t="s">
        <v>274</v>
      </c>
      <c r="L350" t="str">
        <f>VLOOKUP(K350,Localizacoes!$E$3:$F$100,2,FALSE)</f>
        <v>BBG</v>
      </c>
      <c r="M350" t="str">
        <f>VLOOKUP(K350,ID!$E$3:$F$100,2,FALSE)</f>
        <v>BBG</v>
      </c>
      <c r="N350" t="s">
        <v>704</v>
      </c>
      <c r="O350" t="str">
        <f>VLOOKUP(N350,Localizacoes!$G$3:$H$100,2,FALSE)</f>
        <v>EBC</v>
      </c>
      <c r="P350">
        <f>VLOOKUP(N350,ID!$G$3:$H$100,2,FALSE)</f>
        <v>131</v>
      </c>
      <c r="Q350" t="s">
        <v>21</v>
      </c>
      <c r="R350" t="str">
        <f>VLOOKUP(Q350,Localizacoes!$I$3:$J$100,2,FALSE)</f>
        <v>MOT</v>
      </c>
      <c r="S350" t="str">
        <f>VLOOKUP(Q350,ID!$I$3:$J$100,2,FALSE)</f>
        <v>MOT</v>
      </c>
      <c r="T350" s="4" t="s">
        <v>187</v>
      </c>
      <c r="U350" t="s">
        <v>265</v>
      </c>
      <c r="Y350" t="s">
        <v>372</v>
      </c>
      <c r="Z350" t="str">
        <f t="shared" si="75"/>
        <v>Motor 03</v>
      </c>
      <c r="AA350"/>
      <c r="AD350" s="13" t="s">
        <v>7</v>
      </c>
      <c r="AF350" t="str">
        <f t="shared" si="71"/>
        <v>Electrobomba centrífugaMotor</v>
      </c>
      <c r="AG350" s="28" t="str">
        <f>VLOOKUP(AF350,Imagens!$C$2:$D$42,2,FALSE)</f>
        <v>65d04210323a4</v>
      </c>
      <c r="AH350" t="str">
        <f>_xlfn.CONCAT(Imagens!$H$2,'registo_ativo-CDs (1)'!AG350)</f>
        <v>assets/imagens/products/65d04210323a4</v>
      </c>
      <c r="AI350" s="67">
        <v>45321</v>
      </c>
      <c r="AK350" s="32"/>
    </row>
    <row r="351" spans="1:37" ht="16.8" customHeight="1" x14ac:dyDescent="0.3">
      <c r="A351">
        <f t="shared" si="74"/>
        <v>15</v>
      </c>
      <c r="B351" t="str">
        <f t="shared" si="69"/>
        <v>CD83BBG152QEA03</v>
      </c>
      <c r="C351" t="str">
        <f t="shared" si="70"/>
        <v>CD-TSAT-BBG-QEL-QEA-03</v>
      </c>
      <c r="E351" t="s">
        <v>37</v>
      </c>
      <c r="F351" t="s">
        <v>46</v>
      </c>
      <c r="G351" t="s">
        <v>46</v>
      </c>
      <c r="H351" s="20" t="s">
        <v>226</v>
      </c>
      <c r="I351" t="s">
        <v>94</v>
      </c>
      <c r="J351">
        <f>VLOOKUP(H351,ID!$C$3:$D$100,2,FALSE)</f>
        <v>83</v>
      </c>
      <c r="K351" t="s">
        <v>274</v>
      </c>
      <c r="L351" t="str">
        <f>VLOOKUP(K351,Localizacoes!$E$3:$F$100,2,FALSE)</f>
        <v>BBG</v>
      </c>
      <c r="M351" t="str">
        <f>VLOOKUP(K351,ID!$E$3:$F$100,2,FALSE)</f>
        <v>BBG</v>
      </c>
      <c r="N351" t="s">
        <v>286</v>
      </c>
      <c r="O351" t="str">
        <f>VLOOKUP(N351,Localizacoes!$G$3:$H$100,2,FALSE)</f>
        <v>QEL</v>
      </c>
      <c r="P351">
        <f>VLOOKUP(N351,ID!$G$3:$H$100,2,FALSE)</f>
        <v>152</v>
      </c>
      <c r="Q351" t="s">
        <v>154</v>
      </c>
      <c r="R351" t="str">
        <f>VLOOKUP(Q351,Localizacoes!$I$3:$J$100,2,FALSE)</f>
        <v>QEA</v>
      </c>
      <c r="S351" t="str">
        <f>VLOOKUP(Q351,ID!$I$3:$J$100,2,FALSE)</f>
        <v>QEA</v>
      </c>
      <c r="T351" s="4" t="s">
        <v>187</v>
      </c>
      <c r="U351" t="s">
        <v>265</v>
      </c>
      <c r="Y351" t="s">
        <v>372</v>
      </c>
      <c r="Z351" t="str">
        <f t="shared" si="75"/>
        <v>Quadros Eléctricos de Arranque 03</v>
      </c>
      <c r="AA351"/>
      <c r="AD351" s="13" t="s">
        <v>267</v>
      </c>
      <c r="AF351" t="str">
        <f t="shared" si="71"/>
        <v>Quadro EléctricoQuadros Eléctricos de Arranque</v>
      </c>
      <c r="AG351" s="28" t="str">
        <f>VLOOKUP(AF351,Imagens!$C$2:$D$42,2,FALSE)</f>
        <v>65e8d2fa35c12</v>
      </c>
      <c r="AH351" t="str">
        <f>_xlfn.CONCAT(Imagens!$H$2,'registo_ativo-CDs (1)'!AG351)</f>
        <v>assets/imagens/products/65e8d2fa35c12</v>
      </c>
      <c r="AI351" s="67">
        <v>45377</v>
      </c>
      <c r="AK351" s="32"/>
    </row>
    <row r="352" spans="1:37" ht="16.8" customHeight="1" x14ac:dyDescent="0.3">
      <c r="A352">
        <f t="shared" si="74"/>
        <v>15</v>
      </c>
      <c r="B352" t="str">
        <f t="shared" si="69"/>
        <v>CD83BBG131VSU03</v>
      </c>
      <c r="C352" t="str">
        <f t="shared" si="70"/>
        <v>CD-TSAT-BBG-EBC-VSU-03</v>
      </c>
      <c r="E352" t="s">
        <v>37</v>
      </c>
      <c r="F352" t="s">
        <v>46</v>
      </c>
      <c r="G352" t="s">
        <v>46</v>
      </c>
      <c r="H352" s="20" t="s">
        <v>226</v>
      </c>
      <c r="I352" t="s">
        <v>94</v>
      </c>
      <c r="J352">
        <f>VLOOKUP(H352,ID!$C$3:$D$100,2,FALSE)</f>
        <v>83</v>
      </c>
      <c r="K352" t="s">
        <v>274</v>
      </c>
      <c r="L352" t="str">
        <f>VLOOKUP(K352,Localizacoes!$E$3:$F$100,2,FALSE)</f>
        <v>BBG</v>
      </c>
      <c r="M352" t="str">
        <f>VLOOKUP(K352,ID!$E$3:$F$100,2,FALSE)</f>
        <v>BBG</v>
      </c>
      <c r="N352" t="s">
        <v>704</v>
      </c>
      <c r="O352" t="str">
        <f>VLOOKUP(N352,Localizacoes!$G$3:$H$100,2,FALSE)</f>
        <v>EBC</v>
      </c>
      <c r="P352">
        <f>VLOOKUP(N352,ID!$G$3:$H$100,2,FALSE)</f>
        <v>131</v>
      </c>
      <c r="Q352" t="s">
        <v>276</v>
      </c>
      <c r="R352" t="str">
        <f>VLOOKUP(Q352,Localizacoes!$I$3:$J$100,2,FALSE)</f>
        <v>VSU</v>
      </c>
      <c r="S352" t="str">
        <f>VLOOKUP(Q352,ID!$I$3:$J$100,2,FALSE)</f>
        <v>VSU</v>
      </c>
      <c r="T352" s="4" t="s">
        <v>187</v>
      </c>
      <c r="U352" t="s">
        <v>264</v>
      </c>
      <c r="Y352" t="s">
        <v>372</v>
      </c>
      <c r="Z352" t="str">
        <f t="shared" si="75"/>
        <v>Válvula Sucção 03</v>
      </c>
      <c r="AA352"/>
      <c r="AD352" s="13" t="s">
        <v>267</v>
      </c>
      <c r="AF352" t="str">
        <f t="shared" si="71"/>
        <v>Electrobomba centrífugaVálvula Sucção</v>
      </c>
      <c r="AG352" s="28" t="str">
        <f>VLOOKUP(AF352,Imagens!$C$2:$D$42,2,FALSE)</f>
        <v>65e8cda0676b7</v>
      </c>
      <c r="AH352" t="str">
        <f>_xlfn.CONCAT(Imagens!$H$2,'registo_ativo-CDs (1)'!AG352)</f>
        <v>assets/imagens/products/65e8cda0676b7</v>
      </c>
      <c r="AI352" s="67">
        <v>45377</v>
      </c>
      <c r="AK352" s="32"/>
    </row>
    <row r="353" spans="1:37" ht="16.8" customHeight="1" x14ac:dyDescent="0.3">
      <c r="A353">
        <f t="shared" si="74"/>
        <v>15</v>
      </c>
      <c r="B353" t="str">
        <f t="shared" si="69"/>
        <v>CD83BBG131VDE03</v>
      </c>
      <c r="C353" t="str">
        <f t="shared" si="70"/>
        <v>CD-TSAT-BBG-EBC-VDE-03</v>
      </c>
      <c r="E353" t="s">
        <v>37</v>
      </c>
      <c r="F353" t="s">
        <v>46</v>
      </c>
      <c r="G353" t="s">
        <v>46</v>
      </c>
      <c r="H353" s="20" t="s">
        <v>226</v>
      </c>
      <c r="I353" t="s">
        <v>94</v>
      </c>
      <c r="J353">
        <f>VLOOKUP(H353,ID!$C$3:$D$100,2,FALSE)</f>
        <v>83</v>
      </c>
      <c r="K353" t="s">
        <v>274</v>
      </c>
      <c r="L353" t="str">
        <f>VLOOKUP(K353,Localizacoes!$E$3:$F$100,2,FALSE)</f>
        <v>BBG</v>
      </c>
      <c r="M353" t="str">
        <f>VLOOKUP(K353,ID!$E$3:$F$100,2,FALSE)</f>
        <v>BBG</v>
      </c>
      <c r="N353" t="s">
        <v>704</v>
      </c>
      <c r="O353" t="str">
        <f>VLOOKUP(N353,Localizacoes!$G$3:$H$100,2,FALSE)</f>
        <v>EBC</v>
      </c>
      <c r="P353">
        <f>VLOOKUP(N353,ID!$G$3:$H$100,2,FALSE)</f>
        <v>131</v>
      </c>
      <c r="Q353" t="s">
        <v>279</v>
      </c>
      <c r="R353" t="str">
        <f>VLOOKUP(Q353,Localizacoes!$I$3:$J$100,2,FALSE)</f>
        <v>VDE</v>
      </c>
      <c r="S353" t="str">
        <f>VLOOKUP(Q353,ID!$I$3:$J$100,2,FALSE)</f>
        <v>VDE</v>
      </c>
      <c r="T353" s="4" t="s">
        <v>187</v>
      </c>
      <c r="U353" t="s">
        <v>264</v>
      </c>
      <c r="Y353" t="s">
        <v>372</v>
      </c>
      <c r="Z353" t="str">
        <f t="shared" si="75"/>
        <v>Válvula Descarga 03</v>
      </c>
      <c r="AA353"/>
      <c r="AD353" s="13" t="s">
        <v>267</v>
      </c>
      <c r="AF353" t="str">
        <f t="shared" si="71"/>
        <v>Electrobomba centrífugaVálvula Descarga</v>
      </c>
      <c r="AG353" s="28" t="str">
        <f>VLOOKUP(AF353,Imagens!$C$2:$D$42,2,FALSE)</f>
        <v>65e8cda0676b7</v>
      </c>
      <c r="AH353" t="str">
        <f>_xlfn.CONCAT(Imagens!$H$2,'registo_ativo-CDs (1)'!AG353)</f>
        <v>assets/imagens/products/65e8cda0676b7</v>
      </c>
      <c r="AI353" s="67">
        <v>45377</v>
      </c>
      <c r="AK353" s="32"/>
    </row>
    <row r="354" spans="1:37" ht="16.8" customHeight="1" x14ac:dyDescent="0.3">
      <c r="A354">
        <f t="shared" si="72"/>
        <v>15</v>
      </c>
      <c r="B354" t="str">
        <f t="shared" si="69"/>
        <v>CD83SQE152QBT08</v>
      </c>
      <c r="C354" t="str">
        <f t="shared" si="70"/>
        <v>CD-TSAT-SQE-QEL-QBT-08</v>
      </c>
      <c r="E354" t="s">
        <v>37</v>
      </c>
      <c r="F354" t="s">
        <v>46</v>
      </c>
      <c r="G354" t="s">
        <v>46</v>
      </c>
      <c r="H354" s="20" t="s">
        <v>226</v>
      </c>
      <c r="I354" t="s">
        <v>94</v>
      </c>
      <c r="J354">
        <f>VLOOKUP(H354,ID!$C$3:$D$100,2,FALSE)</f>
        <v>83</v>
      </c>
      <c r="K354" t="s">
        <v>494</v>
      </c>
      <c r="L354" t="str">
        <f>VLOOKUP(K354,Localizacoes!$E$3:$F$100,2,FALSE)</f>
        <v>SQE</v>
      </c>
      <c r="M354" t="str">
        <f>VLOOKUP(K354,ID!$E$3:$F$100,2,FALSE)</f>
        <v>SQE</v>
      </c>
      <c r="N354" t="s">
        <v>286</v>
      </c>
      <c r="O354" t="str">
        <f>VLOOKUP(N354,Localizacoes!$G$3:$H$100,2,FALSE)</f>
        <v>QEL</v>
      </c>
      <c r="P354">
        <f>VLOOKUP(N354,ID!$G$3:$H$100,2,FALSE)</f>
        <v>152</v>
      </c>
      <c r="Q354" t="s">
        <v>443</v>
      </c>
      <c r="R354" t="str">
        <f>VLOOKUP(Q354,Localizacoes!$I$3:$J$100,2,FALSE)</f>
        <v>QBT</v>
      </c>
      <c r="S354" t="str">
        <f>VLOOKUP(Q354,ID!$I$3:$J$100,2,FALSE)</f>
        <v>QBT</v>
      </c>
      <c r="T354" s="4" t="s">
        <v>184</v>
      </c>
      <c r="U354" t="s">
        <v>265</v>
      </c>
      <c r="Y354" t="s">
        <v>270</v>
      </c>
      <c r="Z354" t="str">
        <f t="shared" si="73"/>
        <v>Quadro de Baixa Tensão 08</v>
      </c>
      <c r="AA354"/>
      <c r="AD354" s="13" t="s">
        <v>267</v>
      </c>
      <c r="AF354" t="str">
        <f t="shared" si="71"/>
        <v>Quadro EléctricoQuadro de Baixa Tensão</v>
      </c>
      <c r="AG354" s="28" t="str">
        <f>VLOOKUP(AF354,Imagens!$C$2:$D$42,2,FALSE)</f>
        <v>65d1346bf3835</v>
      </c>
      <c r="AH354" t="str">
        <f>_xlfn.CONCAT(Imagens!$H$2,'registo_ativo-CDs (1)'!AG354)</f>
        <v>assets/imagens/products/65d1346bf3835</v>
      </c>
      <c r="AI354" s="67">
        <v>45377</v>
      </c>
      <c r="AK354" s="32"/>
    </row>
    <row r="355" spans="1:37" ht="16.8" customHeight="1" x14ac:dyDescent="0.3">
      <c r="A355">
        <f t="shared" si="72"/>
        <v>15</v>
      </c>
      <c r="B355" t="str">
        <f t="shared" si="69"/>
        <v>CD83SQE152QBT02</v>
      </c>
      <c r="C355" t="str">
        <f t="shared" si="70"/>
        <v>CD-TSAT-SQE-QEL-QBT-02</v>
      </c>
      <c r="E355" t="s">
        <v>37</v>
      </c>
      <c r="F355" t="s">
        <v>46</v>
      </c>
      <c r="G355" t="s">
        <v>46</v>
      </c>
      <c r="H355" s="20" t="s">
        <v>226</v>
      </c>
      <c r="I355" t="s">
        <v>94</v>
      </c>
      <c r="J355">
        <f>VLOOKUP(H355,ID!$C$3:$D$100,2,FALSE)</f>
        <v>83</v>
      </c>
      <c r="K355" t="s">
        <v>494</v>
      </c>
      <c r="L355" t="str">
        <f>VLOOKUP(K355,Localizacoes!$E$3:$F$100,2,FALSE)</f>
        <v>SQE</v>
      </c>
      <c r="M355" t="str">
        <f>VLOOKUP(K355,ID!$E$3:$F$100,2,FALSE)</f>
        <v>SQE</v>
      </c>
      <c r="N355" t="s">
        <v>286</v>
      </c>
      <c r="O355" t="str">
        <f>VLOOKUP(N355,Localizacoes!$G$3:$H$100,2,FALSE)</f>
        <v>QEL</v>
      </c>
      <c r="P355">
        <f>VLOOKUP(N355,ID!$G$3:$H$100,2,FALSE)</f>
        <v>152</v>
      </c>
      <c r="Q355" t="s">
        <v>443</v>
      </c>
      <c r="R355" t="str">
        <f>VLOOKUP(Q355,Localizacoes!$I$3:$J$100,2,FALSE)</f>
        <v>QBT</v>
      </c>
      <c r="S355" t="str">
        <f>VLOOKUP(Q355,ID!$I$3:$J$100,2,FALSE)</f>
        <v>QBT</v>
      </c>
      <c r="T355" s="4" t="s">
        <v>186</v>
      </c>
      <c r="U355" t="s">
        <v>265</v>
      </c>
      <c r="Y355" t="s">
        <v>270</v>
      </c>
      <c r="Z355" t="str">
        <f t="shared" si="73"/>
        <v>Quadro de Baixa Tensão 02</v>
      </c>
      <c r="AA355"/>
      <c r="AD355" s="13" t="s">
        <v>267</v>
      </c>
      <c r="AF355" t="str">
        <f t="shared" si="71"/>
        <v>Quadro EléctricoQuadro de Baixa Tensão</v>
      </c>
      <c r="AG355" s="28" t="str">
        <f>VLOOKUP(AF355,Imagens!$C$2:$D$42,2,FALSE)</f>
        <v>65d1346bf3835</v>
      </c>
      <c r="AH355" t="str">
        <f>_xlfn.CONCAT(Imagens!$H$2,'registo_ativo-CDs (1)'!AG355)</f>
        <v>assets/imagens/products/65d1346bf3835</v>
      </c>
      <c r="AI355" s="67">
        <v>45377</v>
      </c>
      <c r="AK355" s="32"/>
    </row>
    <row r="356" spans="1:37" ht="16.8" customHeight="1" x14ac:dyDescent="0.3">
      <c r="A356">
        <f t="shared" si="72"/>
        <v>15</v>
      </c>
      <c r="B356" t="str">
        <f t="shared" si="69"/>
        <v>CD83SQE152QBT03</v>
      </c>
      <c r="C356" t="str">
        <f t="shared" si="70"/>
        <v>CD-TSAT-SQE-QEL-QBT-03</v>
      </c>
      <c r="E356" t="s">
        <v>37</v>
      </c>
      <c r="F356" t="s">
        <v>46</v>
      </c>
      <c r="G356" t="s">
        <v>46</v>
      </c>
      <c r="H356" s="20" t="s">
        <v>226</v>
      </c>
      <c r="I356" t="s">
        <v>94</v>
      </c>
      <c r="J356">
        <f>VLOOKUP(H356,ID!$C$3:$D$100,2,FALSE)</f>
        <v>83</v>
      </c>
      <c r="K356" t="s">
        <v>494</v>
      </c>
      <c r="L356" t="str">
        <f>VLOOKUP(K356,Localizacoes!$E$3:$F$100,2,FALSE)</f>
        <v>SQE</v>
      </c>
      <c r="M356" t="str">
        <f>VLOOKUP(K356,ID!$E$3:$F$100,2,FALSE)</f>
        <v>SQE</v>
      </c>
      <c r="N356" t="s">
        <v>286</v>
      </c>
      <c r="O356" t="str">
        <f>VLOOKUP(N356,Localizacoes!$G$3:$H$100,2,FALSE)</f>
        <v>QEL</v>
      </c>
      <c r="P356">
        <f>VLOOKUP(N356,ID!$G$3:$H$100,2,FALSE)</f>
        <v>152</v>
      </c>
      <c r="Q356" t="s">
        <v>443</v>
      </c>
      <c r="R356" t="str">
        <f>VLOOKUP(Q356,Localizacoes!$I$3:$J$100,2,FALSE)</f>
        <v>QBT</v>
      </c>
      <c r="S356" t="str">
        <f>VLOOKUP(Q356,ID!$I$3:$J$100,2,FALSE)</f>
        <v>QBT</v>
      </c>
      <c r="T356" s="4" t="s">
        <v>187</v>
      </c>
      <c r="U356" t="s">
        <v>265</v>
      </c>
      <c r="Y356" t="s">
        <v>270</v>
      </c>
      <c r="Z356" t="str">
        <f t="shared" si="73"/>
        <v>Quadro de Baixa Tensão 03</v>
      </c>
      <c r="AA356"/>
      <c r="AD356" s="13" t="s">
        <v>267</v>
      </c>
      <c r="AF356" t="str">
        <f t="shared" si="71"/>
        <v>Quadro EléctricoQuadro de Baixa Tensão</v>
      </c>
      <c r="AG356" s="28" t="str">
        <f>VLOOKUP(AF356,Imagens!$C$2:$D$42,2,FALSE)</f>
        <v>65d1346bf3835</v>
      </c>
      <c r="AH356" t="str">
        <f>_xlfn.CONCAT(Imagens!$H$2,'registo_ativo-CDs (1)'!AG356)</f>
        <v>assets/imagens/products/65d1346bf3835</v>
      </c>
      <c r="AI356" s="67">
        <v>45377</v>
      </c>
      <c r="AK356" s="32"/>
    </row>
    <row r="357" spans="1:37" ht="16.8" customHeight="1" x14ac:dyDescent="0.3">
      <c r="A357">
        <f t="shared" ref="A357" si="76">LEN(B357)</f>
        <v>15</v>
      </c>
      <c r="B357" t="str">
        <f t="shared" si="69"/>
        <v>CD83ILU164ILL01</v>
      </c>
      <c r="C357" t="str">
        <f t="shared" si="70"/>
        <v>CD-TSAT-ILU-SIL-ILL-01</v>
      </c>
      <c r="E357" t="s">
        <v>37</v>
      </c>
      <c r="F357" t="s">
        <v>46</v>
      </c>
      <c r="G357" t="s">
        <v>46</v>
      </c>
      <c r="H357" s="20" t="s">
        <v>226</v>
      </c>
      <c r="I357" t="s">
        <v>94</v>
      </c>
      <c r="J357">
        <f>VLOOKUP(H357,ID!$C$3:$D$100,2,FALSE)</f>
        <v>83</v>
      </c>
      <c r="K357" t="s">
        <v>141</v>
      </c>
      <c r="L357" t="str">
        <f>VLOOKUP(K357,Localizacoes!$E$3:$F$100,2,FALSE)</f>
        <v>ILU</v>
      </c>
      <c r="M357" t="str">
        <f>VLOOKUP(K357,ID!$E$3:$F$100,2,FALSE)</f>
        <v>ILU</v>
      </c>
      <c r="N357" t="s">
        <v>688</v>
      </c>
      <c r="O357" t="str">
        <f>VLOOKUP(N357,Localizacoes!$G$3:$H$100,2,FALSE)</f>
        <v>SIL</v>
      </c>
      <c r="P357">
        <f>VLOOKUP(N357,ID!$G$3:$H$100,2,FALSE)</f>
        <v>164</v>
      </c>
      <c r="Q357" t="s">
        <v>141</v>
      </c>
      <c r="R357" t="str">
        <f>VLOOKUP(Q357,Localizacoes!$I$3:$J$100,2,FALSE)</f>
        <v>ILL</v>
      </c>
      <c r="S357" t="str">
        <f>VLOOKUP(Q357,ID!$I$3:$J$100,2,FALSE)</f>
        <v>ILL</v>
      </c>
      <c r="T357" s="4" t="s">
        <v>182</v>
      </c>
      <c r="U357" t="s">
        <v>265</v>
      </c>
      <c r="Y357" t="s">
        <v>270</v>
      </c>
      <c r="Z357" t="str">
        <f t="shared" ref="Z357" si="77">Q357&amp;" "&amp; T357</f>
        <v>Iluminação 01</v>
      </c>
      <c r="AA357"/>
      <c r="AD357" s="13" t="s">
        <v>267</v>
      </c>
      <c r="AF357" t="str">
        <f t="shared" si="71"/>
        <v>Sistema de IluminaçãoIluminação</v>
      </c>
      <c r="AG357" s="28" t="str">
        <f>VLOOKUP(AF357,Imagens!$C$2:$D$42,2,FALSE)</f>
        <v>65e8e579bfe6c</v>
      </c>
      <c r="AH357" t="str">
        <f>_xlfn.CONCAT(Imagens!$H$2,'registo_ativo-CDs (1)'!AG357)</f>
        <v>assets/imagens/products/65e8e579bfe6c</v>
      </c>
      <c r="AI357" s="67">
        <v>45321</v>
      </c>
      <c r="AK357" s="32"/>
    </row>
    <row r="358" spans="1:37" ht="16.8" customHeight="1" x14ac:dyDescent="0.3">
      <c r="A358">
        <f t="shared" si="72"/>
        <v>15</v>
      </c>
      <c r="B358" t="str">
        <f t="shared" si="69"/>
        <v>CD83SB1165TRA02</v>
      </c>
      <c r="C358" t="str">
        <f t="shared" si="70"/>
        <v>CD-TSAT-SB1-SUB-TRA-02</v>
      </c>
      <c r="E358" t="s">
        <v>37</v>
      </c>
      <c r="F358" t="s">
        <v>46</v>
      </c>
      <c r="G358" t="s">
        <v>46</v>
      </c>
      <c r="H358" s="20" t="s">
        <v>226</v>
      </c>
      <c r="I358" t="s">
        <v>94</v>
      </c>
      <c r="J358">
        <f>VLOOKUP(H358,ID!$C$3:$D$100,2,FALSE)</f>
        <v>83</v>
      </c>
      <c r="K358" t="s">
        <v>127</v>
      </c>
      <c r="L358" t="str">
        <f>VLOOKUP(K358,Localizacoes!$E$3:$F$100,2,FALSE)</f>
        <v>SB1</v>
      </c>
      <c r="M358" t="str">
        <f>VLOOKUP(K358,ID!$E$3:$F$100,2,FALSE)</f>
        <v>SB1</v>
      </c>
      <c r="N358" t="s">
        <v>112</v>
      </c>
      <c r="O358" t="str">
        <f>VLOOKUP(N358,Localizacoes!$G$3:$H$100,2,FALSE)</f>
        <v>SUB</v>
      </c>
      <c r="P358">
        <f>VLOOKUP(N358,ID!$G$3:$H$100,2,FALSE)</f>
        <v>165</v>
      </c>
      <c r="Q358" t="s">
        <v>176</v>
      </c>
      <c r="R358" t="str">
        <f>VLOOKUP(Q358,Localizacoes!$I$3:$J$100,2,FALSE)</f>
        <v>TRA</v>
      </c>
      <c r="S358" t="str">
        <f>VLOOKUP(Q358,ID!$I$3:$J$100,2,FALSE)</f>
        <v>TRA</v>
      </c>
      <c r="T358" s="4" t="s">
        <v>186</v>
      </c>
      <c r="U358" t="s">
        <v>265</v>
      </c>
      <c r="Y358" t="s">
        <v>270</v>
      </c>
      <c r="Z358" t="str">
        <f>Q358&amp;" "&amp; T358</f>
        <v>Transformador 02</v>
      </c>
      <c r="AA358"/>
      <c r="AD358" s="13" t="s">
        <v>267</v>
      </c>
      <c r="AF358" t="str">
        <f t="shared" si="71"/>
        <v>SubestaçãoTransformador</v>
      </c>
      <c r="AG358" s="28" t="str">
        <f>VLOOKUP(AF358,Imagens!$C$2:$D$42,2,FALSE)</f>
        <v>65e8d98d73a3d</v>
      </c>
      <c r="AH358" t="str">
        <f>_xlfn.CONCAT(Imagens!$H$2,'registo_ativo-CDs (1)'!AG358)</f>
        <v>assets/imagens/products/65e8d98d73a3d</v>
      </c>
      <c r="AI358" s="67">
        <v>45321</v>
      </c>
      <c r="AK358" s="32"/>
    </row>
    <row r="359" spans="1:37" ht="16.8" customHeight="1" x14ac:dyDescent="0.3">
      <c r="A359">
        <f t="shared" si="72"/>
        <v>15</v>
      </c>
      <c r="B359" t="str">
        <f t="shared" si="69"/>
        <v>CD46BBG131BOM01</v>
      </c>
      <c r="C359" t="str">
        <f t="shared" si="70"/>
        <v>CD-MAC-BBG-EBC-BOM-01</v>
      </c>
      <c r="E359" t="s">
        <v>37</v>
      </c>
      <c r="F359" t="s">
        <v>46</v>
      </c>
      <c r="G359" t="s">
        <v>46</v>
      </c>
      <c r="H359" s="20" t="s">
        <v>30</v>
      </c>
      <c r="I359" t="s">
        <v>87</v>
      </c>
      <c r="J359">
        <f>VLOOKUP(H359,ID!$C$3:$D$100,2,FALSE)</f>
        <v>46</v>
      </c>
      <c r="K359" t="s">
        <v>274</v>
      </c>
      <c r="L359" t="str">
        <f>VLOOKUP(K359,Localizacoes!$E$3:$F$100,2,FALSE)</f>
        <v>BBG</v>
      </c>
      <c r="M359" t="str">
        <f>VLOOKUP(K359,ID!$E$3:$F$100,2,FALSE)</f>
        <v>BBG</v>
      </c>
      <c r="N359" t="s">
        <v>704</v>
      </c>
      <c r="O359" t="str">
        <f>VLOOKUP(N359,Localizacoes!$G$3:$H$100,2,FALSE)</f>
        <v>EBC</v>
      </c>
      <c r="P359">
        <f>VLOOKUP(N359,ID!$G$3:$H$100,2,FALSE)</f>
        <v>131</v>
      </c>
      <c r="Q359" t="s">
        <v>150</v>
      </c>
      <c r="R359" t="str">
        <f>VLOOKUP(Q359,Localizacoes!$I$3:$J$100,2,FALSE)</f>
        <v>BOM</v>
      </c>
      <c r="S359" t="str">
        <f>VLOOKUP(Q359,ID!$I$3:$J$100,2,FALSE)</f>
        <v>BOM</v>
      </c>
      <c r="T359" s="4" t="s">
        <v>182</v>
      </c>
      <c r="U359" t="s">
        <v>264</v>
      </c>
      <c r="Y359" t="s">
        <v>270</v>
      </c>
      <c r="Z359" t="str">
        <f t="shared" si="73"/>
        <v>Bomba 01</v>
      </c>
      <c r="AA359"/>
      <c r="AD359" s="13" t="s">
        <v>7</v>
      </c>
      <c r="AF359" t="str">
        <f t="shared" si="71"/>
        <v>Electrobomba centrífugaBomba</v>
      </c>
      <c r="AG359" s="28" t="str">
        <f>VLOOKUP(AF359,Imagens!$C$2:$D$42,2,FALSE)</f>
        <v>65e96125c1d11</v>
      </c>
      <c r="AH359" t="str">
        <f>_xlfn.CONCAT(Imagens!$H$2,'registo_ativo-CDs (1)'!AG359)</f>
        <v>assets/imagens/products/65e96125c1d11</v>
      </c>
      <c r="AI359" s="67">
        <v>45309</v>
      </c>
      <c r="AK359" s="32"/>
    </row>
    <row r="360" spans="1:37" ht="16.8" customHeight="1" x14ac:dyDescent="0.3">
      <c r="A360">
        <f t="shared" si="72"/>
        <v>15</v>
      </c>
      <c r="B360" t="str">
        <f t="shared" si="69"/>
        <v>CD46BBG131MOT01</v>
      </c>
      <c r="C360" t="str">
        <f t="shared" si="70"/>
        <v>CD-MAC-BBG-EBC-MOT-01</v>
      </c>
      <c r="E360" t="s">
        <v>37</v>
      </c>
      <c r="F360" t="s">
        <v>46</v>
      </c>
      <c r="G360" t="s">
        <v>46</v>
      </c>
      <c r="H360" s="20" t="s">
        <v>30</v>
      </c>
      <c r="I360" t="s">
        <v>87</v>
      </c>
      <c r="J360">
        <f>VLOOKUP(H360,ID!$C$3:$D$100,2,FALSE)</f>
        <v>46</v>
      </c>
      <c r="K360" t="s">
        <v>274</v>
      </c>
      <c r="L360" t="str">
        <f>VLOOKUP(K360,Localizacoes!$E$3:$F$100,2,FALSE)</f>
        <v>BBG</v>
      </c>
      <c r="M360" t="str">
        <f>VLOOKUP(K360,ID!$E$3:$F$100,2,FALSE)</f>
        <v>BBG</v>
      </c>
      <c r="N360" t="s">
        <v>704</v>
      </c>
      <c r="O360" t="str">
        <f>VLOOKUP(N360,Localizacoes!$G$3:$H$100,2,FALSE)</f>
        <v>EBC</v>
      </c>
      <c r="P360">
        <f>VLOOKUP(N360,ID!$G$3:$H$100,2,FALSE)</f>
        <v>131</v>
      </c>
      <c r="Q360" t="s">
        <v>21</v>
      </c>
      <c r="R360" t="str">
        <f>VLOOKUP(Q360,Localizacoes!$I$3:$J$100,2,FALSE)</f>
        <v>MOT</v>
      </c>
      <c r="S360" t="str">
        <f>VLOOKUP(Q360,ID!$I$3:$J$100,2,FALSE)</f>
        <v>MOT</v>
      </c>
      <c r="T360" s="4" t="s">
        <v>182</v>
      </c>
      <c r="U360" t="s">
        <v>265</v>
      </c>
      <c r="Y360" t="s">
        <v>270</v>
      </c>
      <c r="Z360" t="str">
        <f t="shared" si="73"/>
        <v>Motor 01</v>
      </c>
      <c r="AA360"/>
      <c r="AD360" s="13" t="s">
        <v>7</v>
      </c>
      <c r="AF360" t="str">
        <f t="shared" si="71"/>
        <v>Electrobomba centrífugaMotor</v>
      </c>
      <c r="AG360" s="28" t="str">
        <f>VLOOKUP(AF360,Imagens!$C$2:$D$42,2,FALSE)</f>
        <v>65d04210323a4</v>
      </c>
      <c r="AH360" t="str">
        <f>_xlfn.CONCAT(Imagens!$H$2,'registo_ativo-CDs (1)'!AG360)</f>
        <v>assets/imagens/products/65d04210323a4</v>
      </c>
      <c r="AI360" s="67">
        <v>45309</v>
      </c>
      <c r="AK360" s="32"/>
    </row>
    <row r="361" spans="1:37" ht="16.8" customHeight="1" x14ac:dyDescent="0.3">
      <c r="A361">
        <f t="shared" si="72"/>
        <v>15</v>
      </c>
      <c r="B361" t="str">
        <f t="shared" si="69"/>
        <v>CD46BBG152QEA01</v>
      </c>
      <c r="C361" t="str">
        <f t="shared" si="70"/>
        <v>CD-MAC-BBG-QEL-QEA-01</v>
      </c>
      <c r="E361" t="s">
        <v>37</v>
      </c>
      <c r="F361" t="s">
        <v>46</v>
      </c>
      <c r="G361" t="s">
        <v>46</v>
      </c>
      <c r="H361" s="20" t="s">
        <v>30</v>
      </c>
      <c r="I361" t="s">
        <v>87</v>
      </c>
      <c r="J361">
        <f>VLOOKUP(H361,ID!$C$3:$D$100,2,FALSE)</f>
        <v>46</v>
      </c>
      <c r="K361" t="s">
        <v>274</v>
      </c>
      <c r="L361" t="str">
        <f>VLOOKUP(K361,Localizacoes!$E$3:$F$100,2,FALSE)</f>
        <v>BBG</v>
      </c>
      <c r="M361" t="str">
        <f>VLOOKUP(K361,ID!$E$3:$F$100,2,FALSE)</f>
        <v>BBG</v>
      </c>
      <c r="N361" t="s">
        <v>286</v>
      </c>
      <c r="O361" t="str">
        <f>VLOOKUP(N361,Localizacoes!$G$3:$H$100,2,FALSE)</f>
        <v>QEL</v>
      </c>
      <c r="P361">
        <f>VLOOKUP(N361,ID!$G$3:$H$100,2,FALSE)</f>
        <v>152</v>
      </c>
      <c r="Q361" t="s">
        <v>154</v>
      </c>
      <c r="R361" t="str">
        <f>VLOOKUP(Q361,Localizacoes!$I$3:$J$100,2,FALSE)</f>
        <v>QEA</v>
      </c>
      <c r="S361" t="str">
        <f>VLOOKUP(Q361,ID!$I$3:$J$100,2,FALSE)</f>
        <v>QEA</v>
      </c>
      <c r="T361" s="4" t="s">
        <v>182</v>
      </c>
      <c r="U361" t="s">
        <v>265</v>
      </c>
      <c r="Y361" t="s">
        <v>270</v>
      </c>
      <c r="Z361" t="str">
        <f t="shared" si="73"/>
        <v>Quadros Eléctricos de Arranque 01</v>
      </c>
      <c r="AA361"/>
      <c r="AD361" s="13" t="s">
        <v>267</v>
      </c>
      <c r="AF361" t="str">
        <f t="shared" si="71"/>
        <v>Quadro EléctricoQuadros Eléctricos de Arranque</v>
      </c>
      <c r="AG361" s="28" t="str">
        <f>VLOOKUP(AF361,Imagens!$C$2:$D$42,2,FALSE)</f>
        <v>65e8d2fa35c12</v>
      </c>
      <c r="AH361" t="str">
        <f>_xlfn.CONCAT(Imagens!$H$2,'registo_ativo-CDs (1)'!AG361)</f>
        <v>assets/imagens/products/65e8d2fa35c12</v>
      </c>
      <c r="AI361" s="67">
        <v>45365</v>
      </c>
      <c r="AK361" s="32"/>
    </row>
    <row r="362" spans="1:37" ht="16.8" customHeight="1" x14ac:dyDescent="0.3">
      <c r="A362">
        <f t="shared" si="72"/>
        <v>15</v>
      </c>
      <c r="B362" t="str">
        <f t="shared" si="69"/>
        <v>CD46BBG131VSU01</v>
      </c>
      <c r="C362" t="str">
        <f t="shared" si="70"/>
        <v>CD-MAC-BBG-EBC-VSU-01</v>
      </c>
      <c r="E362" t="s">
        <v>37</v>
      </c>
      <c r="F362" t="s">
        <v>46</v>
      </c>
      <c r="G362" t="s">
        <v>46</v>
      </c>
      <c r="H362" s="20" t="s">
        <v>30</v>
      </c>
      <c r="I362" t="s">
        <v>87</v>
      </c>
      <c r="J362">
        <f>VLOOKUP(H362,ID!$C$3:$D$100,2,FALSE)</f>
        <v>46</v>
      </c>
      <c r="K362" t="s">
        <v>274</v>
      </c>
      <c r="L362" t="str">
        <f>VLOOKUP(K362,Localizacoes!$E$3:$F$100,2,FALSE)</f>
        <v>BBG</v>
      </c>
      <c r="M362" t="str">
        <f>VLOOKUP(K362,ID!$E$3:$F$100,2,FALSE)</f>
        <v>BBG</v>
      </c>
      <c r="N362" t="s">
        <v>704</v>
      </c>
      <c r="O362" t="str">
        <f>VLOOKUP(N362,Localizacoes!$G$3:$H$100,2,FALSE)</f>
        <v>EBC</v>
      </c>
      <c r="P362">
        <f>VLOOKUP(N362,ID!$G$3:$H$100,2,FALSE)</f>
        <v>131</v>
      </c>
      <c r="Q362" t="s">
        <v>276</v>
      </c>
      <c r="R362" t="str">
        <f>VLOOKUP(Q362,Localizacoes!$I$3:$J$100,2,FALSE)</f>
        <v>VSU</v>
      </c>
      <c r="S362" t="str">
        <f>VLOOKUP(Q362,ID!$I$3:$J$100,2,FALSE)</f>
        <v>VSU</v>
      </c>
      <c r="T362" s="4" t="s">
        <v>182</v>
      </c>
      <c r="U362" t="s">
        <v>264</v>
      </c>
      <c r="Y362" t="s">
        <v>270</v>
      </c>
      <c r="Z362" t="str">
        <f t="shared" si="73"/>
        <v>Válvula Sucção 01</v>
      </c>
      <c r="AA362"/>
      <c r="AD362" s="13" t="s">
        <v>267</v>
      </c>
      <c r="AF362" t="str">
        <f t="shared" si="71"/>
        <v>Electrobomba centrífugaVálvula Sucção</v>
      </c>
      <c r="AG362" s="28" t="str">
        <f>VLOOKUP(AF362,Imagens!$C$2:$D$42,2,FALSE)</f>
        <v>65e8cda0676b7</v>
      </c>
      <c r="AH362" t="str">
        <f>_xlfn.CONCAT(Imagens!$H$2,'registo_ativo-CDs (1)'!AG362)</f>
        <v>assets/imagens/products/65e8cda0676b7</v>
      </c>
      <c r="AI362" s="67">
        <v>45365</v>
      </c>
      <c r="AK362" s="32"/>
    </row>
    <row r="363" spans="1:37" ht="16.8" customHeight="1" x14ac:dyDescent="0.3">
      <c r="A363">
        <f t="shared" si="72"/>
        <v>15</v>
      </c>
      <c r="B363" t="str">
        <f t="shared" si="69"/>
        <v>CD46BBG131VDE01</v>
      </c>
      <c r="C363" t="str">
        <f t="shared" si="70"/>
        <v>CD-MAC-BBG-EBC-VDE-01</v>
      </c>
      <c r="E363" t="s">
        <v>37</v>
      </c>
      <c r="F363" t="s">
        <v>46</v>
      </c>
      <c r="G363" t="s">
        <v>46</v>
      </c>
      <c r="H363" s="20" t="s">
        <v>30</v>
      </c>
      <c r="I363" t="s">
        <v>87</v>
      </c>
      <c r="J363">
        <f>VLOOKUP(H363,ID!$C$3:$D$100,2,FALSE)</f>
        <v>46</v>
      </c>
      <c r="K363" t="s">
        <v>274</v>
      </c>
      <c r="L363" t="str">
        <f>VLOOKUP(K363,Localizacoes!$E$3:$F$100,2,FALSE)</f>
        <v>BBG</v>
      </c>
      <c r="M363" t="str">
        <f>VLOOKUP(K363,ID!$E$3:$F$100,2,FALSE)</f>
        <v>BBG</v>
      </c>
      <c r="N363" t="s">
        <v>704</v>
      </c>
      <c r="O363" t="str">
        <f>VLOOKUP(N363,Localizacoes!$G$3:$H$100,2,FALSE)</f>
        <v>EBC</v>
      </c>
      <c r="P363">
        <f>VLOOKUP(N363,ID!$G$3:$H$100,2,FALSE)</f>
        <v>131</v>
      </c>
      <c r="Q363" t="s">
        <v>279</v>
      </c>
      <c r="R363" t="str">
        <f>VLOOKUP(Q363,Localizacoes!$I$3:$J$100,2,FALSE)</f>
        <v>VDE</v>
      </c>
      <c r="S363" t="str">
        <f>VLOOKUP(Q363,ID!$I$3:$J$100,2,FALSE)</f>
        <v>VDE</v>
      </c>
      <c r="T363" s="4" t="s">
        <v>182</v>
      </c>
      <c r="U363" t="s">
        <v>264</v>
      </c>
      <c r="Y363" t="s">
        <v>270</v>
      </c>
      <c r="Z363" t="str">
        <f t="shared" si="73"/>
        <v>Válvula Descarga 01</v>
      </c>
      <c r="AA363"/>
      <c r="AD363" s="13" t="s">
        <v>267</v>
      </c>
      <c r="AF363" t="str">
        <f t="shared" si="71"/>
        <v>Electrobomba centrífugaVálvula Descarga</v>
      </c>
      <c r="AG363" s="28" t="str">
        <f>VLOOKUP(AF363,Imagens!$C$2:$D$42,2,FALSE)</f>
        <v>65e8cda0676b7</v>
      </c>
      <c r="AH363" t="str">
        <f>_xlfn.CONCAT(Imagens!$H$2,'registo_ativo-CDs (1)'!AG363)</f>
        <v>assets/imagens/products/65e8cda0676b7</v>
      </c>
      <c r="AI363" s="67">
        <v>45365</v>
      </c>
      <c r="AK363" s="32"/>
    </row>
    <row r="364" spans="1:37" ht="16.8" customHeight="1" x14ac:dyDescent="0.3">
      <c r="A364">
        <f t="shared" si="72"/>
        <v>15</v>
      </c>
      <c r="B364" t="str">
        <f t="shared" si="69"/>
        <v>CD46BBG131BOM02</v>
      </c>
      <c r="C364" t="str">
        <f t="shared" si="70"/>
        <v>CD-MAC-BBG-EBC-BOM-02</v>
      </c>
      <c r="E364" t="s">
        <v>37</v>
      </c>
      <c r="F364" t="s">
        <v>46</v>
      </c>
      <c r="G364" t="s">
        <v>46</v>
      </c>
      <c r="H364" s="20" t="s">
        <v>30</v>
      </c>
      <c r="I364" t="s">
        <v>87</v>
      </c>
      <c r="J364">
        <f>VLOOKUP(H364,ID!$C$3:$D$100,2,FALSE)</f>
        <v>46</v>
      </c>
      <c r="K364" t="s">
        <v>274</v>
      </c>
      <c r="L364" t="str">
        <f>VLOOKUP(K364,Localizacoes!$E$3:$F$100,2,FALSE)</f>
        <v>BBG</v>
      </c>
      <c r="M364" t="str">
        <f>VLOOKUP(K364,ID!$E$3:$F$100,2,FALSE)</f>
        <v>BBG</v>
      </c>
      <c r="N364" t="s">
        <v>704</v>
      </c>
      <c r="O364" t="str">
        <f>VLOOKUP(N364,Localizacoes!$G$3:$H$100,2,FALSE)</f>
        <v>EBC</v>
      </c>
      <c r="P364">
        <f>VLOOKUP(N364,ID!$G$3:$H$100,2,FALSE)</f>
        <v>131</v>
      </c>
      <c r="Q364" t="s">
        <v>150</v>
      </c>
      <c r="R364" t="str">
        <f>VLOOKUP(Q364,Localizacoes!$I$3:$J$100,2,FALSE)</f>
        <v>BOM</v>
      </c>
      <c r="S364" t="str">
        <f>VLOOKUP(Q364,ID!$I$3:$J$100,2,FALSE)</f>
        <v>BOM</v>
      </c>
      <c r="T364" s="4" t="s">
        <v>186</v>
      </c>
      <c r="U364" t="s">
        <v>264</v>
      </c>
      <c r="Y364" t="s">
        <v>270</v>
      </c>
      <c r="Z364" t="str">
        <f t="shared" si="73"/>
        <v>Bomba 02</v>
      </c>
      <c r="AA364"/>
      <c r="AD364" s="13" t="s">
        <v>377</v>
      </c>
      <c r="AF364" t="str">
        <f t="shared" si="71"/>
        <v>Electrobomba centrífugaBomba</v>
      </c>
      <c r="AG364" s="28" t="str">
        <f>VLOOKUP(AF364,Imagens!$C$2:$D$42,2,FALSE)</f>
        <v>65e96125c1d11</v>
      </c>
      <c r="AH364" t="str">
        <f>_xlfn.CONCAT(Imagens!$H$2,'registo_ativo-CDs (1)'!AG364)</f>
        <v>assets/imagens/products/65e96125c1d11</v>
      </c>
      <c r="AI364" s="67">
        <v>45309</v>
      </c>
      <c r="AK364" s="32"/>
    </row>
    <row r="365" spans="1:37" ht="16.8" customHeight="1" x14ac:dyDescent="0.3">
      <c r="A365">
        <f t="shared" si="72"/>
        <v>15</v>
      </c>
      <c r="B365" t="str">
        <f t="shared" si="69"/>
        <v>CD46BBG131MOT02</v>
      </c>
      <c r="C365" t="str">
        <f t="shared" si="70"/>
        <v>CD-MAC-BBG-EBC-MOT-02</v>
      </c>
      <c r="E365" t="s">
        <v>37</v>
      </c>
      <c r="F365" t="s">
        <v>46</v>
      </c>
      <c r="G365" t="s">
        <v>46</v>
      </c>
      <c r="H365" s="20" t="s">
        <v>30</v>
      </c>
      <c r="I365" t="s">
        <v>87</v>
      </c>
      <c r="J365">
        <f>VLOOKUP(H365,ID!$C$3:$D$100,2,FALSE)</f>
        <v>46</v>
      </c>
      <c r="K365" t="s">
        <v>274</v>
      </c>
      <c r="L365" t="str">
        <f>VLOOKUP(K365,Localizacoes!$E$3:$F$100,2,FALSE)</f>
        <v>BBG</v>
      </c>
      <c r="M365" t="str">
        <f>VLOOKUP(K365,ID!$E$3:$F$100,2,FALSE)</f>
        <v>BBG</v>
      </c>
      <c r="N365" t="s">
        <v>704</v>
      </c>
      <c r="O365" t="str">
        <f>VLOOKUP(N365,Localizacoes!$G$3:$H$100,2,FALSE)</f>
        <v>EBC</v>
      </c>
      <c r="P365">
        <f>VLOOKUP(N365,ID!$G$3:$H$100,2,FALSE)</f>
        <v>131</v>
      </c>
      <c r="Q365" t="s">
        <v>21</v>
      </c>
      <c r="R365" t="str">
        <f>VLOOKUP(Q365,Localizacoes!$I$3:$J$100,2,FALSE)</f>
        <v>MOT</v>
      </c>
      <c r="S365" t="str">
        <f>VLOOKUP(Q365,ID!$I$3:$J$100,2,FALSE)</f>
        <v>MOT</v>
      </c>
      <c r="T365" s="4" t="s">
        <v>186</v>
      </c>
      <c r="U365" t="s">
        <v>265</v>
      </c>
      <c r="Y365" t="s">
        <v>270</v>
      </c>
      <c r="Z365" t="str">
        <f t="shared" si="73"/>
        <v>Motor 02</v>
      </c>
      <c r="AA365"/>
      <c r="AD365" s="13" t="s">
        <v>377</v>
      </c>
      <c r="AF365" t="str">
        <f t="shared" si="71"/>
        <v>Electrobomba centrífugaMotor</v>
      </c>
      <c r="AG365" s="28" t="str">
        <f>VLOOKUP(AF365,Imagens!$C$2:$D$42,2,FALSE)</f>
        <v>65d04210323a4</v>
      </c>
      <c r="AH365" t="str">
        <f>_xlfn.CONCAT(Imagens!$H$2,'registo_ativo-CDs (1)'!AG365)</f>
        <v>assets/imagens/products/65d04210323a4</v>
      </c>
      <c r="AI365" s="67">
        <v>45309</v>
      </c>
      <c r="AK365" s="32"/>
    </row>
    <row r="366" spans="1:37" ht="16.8" customHeight="1" x14ac:dyDescent="0.3">
      <c r="A366">
        <f t="shared" si="72"/>
        <v>15</v>
      </c>
      <c r="B366" t="str">
        <f t="shared" si="69"/>
        <v>CD46BBG152QEA02</v>
      </c>
      <c r="C366" t="str">
        <f t="shared" si="70"/>
        <v>CD-MAC-BBG-QEL-QEA-02</v>
      </c>
      <c r="E366" t="s">
        <v>37</v>
      </c>
      <c r="F366" t="s">
        <v>46</v>
      </c>
      <c r="G366" t="s">
        <v>46</v>
      </c>
      <c r="H366" s="20" t="s">
        <v>30</v>
      </c>
      <c r="I366" t="s">
        <v>87</v>
      </c>
      <c r="J366">
        <f>VLOOKUP(H366,ID!$C$3:$D$100,2,FALSE)</f>
        <v>46</v>
      </c>
      <c r="K366" t="s">
        <v>274</v>
      </c>
      <c r="L366" t="str">
        <f>VLOOKUP(K366,Localizacoes!$E$3:$F$100,2,FALSE)</f>
        <v>BBG</v>
      </c>
      <c r="M366" t="str">
        <f>VLOOKUP(K366,ID!$E$3:$F$100,2,FALSE)</f>
        <v>BBG</v>
      </c>
      <c r="N366" t="s">
        <v>286</v>
      </c>
      <c r="O366" t="str">
        <f>VLOOKUP(N366,Localizacoes!$G$3:$H$100,2,FALSE)</f>
        <v>QEL</v>
      </c>
      <c r="P366">
        <f>VLOOKUP(N366,ID!$G$3:$H$100,2,FALSE)</f>
        <v>152</v>
      </c>
      <c r="Q366" t="s">
        <v>154</v>
      </c>
      <c r="R366" t="str">
        <f>VLOOKUP(Q366,Localizacoes!$I$3:$J$100,2,FALSE)</f>
        <v>QEA</v>
      </c>
      <c r="S366" t="str">
        <f>VLOOKUP(Q366,ID!$I$3:$J$100,2,FALSE)</f>
        <v>QEA</v>
      </c>
      <c r="T366" s="4" t="s">
        <v>186</v>
      </c>
      <c r="U366" t="s">
        <v>265</v>
      </c>
      <c r="Y366" t="s">
        <v>270</v>
      </c>
      <c r="Z366" t="str">
        <f t="shared" si="73"/>
        <v>Quadros Eléctricos de Arranque 02</v>
      </c>
      <c r="AA366"/>
      <c r="AD366" s="13" t="s">
        <v>267</v>
      </c>
      <c r="AF366" t="str">
        <f t="shared" si="71"/>
        <v>Quadro EléctricoQuadros Eléctricos de Arranque</v>
      </c>
      <c r="AG366" s="28" t="str">
        <f>VLOOKUP(AF366,Imagens!$C$2:$D$42,2,FALSE)</f>
        <v>65e8d2fa35c12</v>
      </c>
      <c r="AH366" t="str">
        <f>_xlfn.CONCAT(Imagens!$H$2,'registo_ativo-CDs (1)'!AG366)</f>
        <v>assets/imagens/products/65e8d2fa35c12</v>
      </c>
      <c r="AI366" s="67">
        <v>45365</v>
      </c>
      <c r="AK366" s="32"/>
    </row>
    <row r="367" spans="1:37" ht="16.8" customHeight="1" x14ac:dyDescent="0.3">
      <c r="A367">
        <f t="shared" si="72"/>
        <v>15</v>
      </c>
      <c r="B367" t="str">
        <f t="shared" si="69"/>
        <v>CD46BBG131VSU02</v>
      </c>
      <c r="C367" t="str">
        <f t="shared" si="70"/>
        <v>CD-MAC-BBG-EBC-VSU-02</v>
      </c>
      <c r="E367" t="s">
        <v>37</v>
      </c>
      <c r="F367" t="s">
        <v>46</v>
      </c>
      <c r="G367" t="s">
        <v>46</v>
      </c>
      <c r="H367" s="20" t="s">
        <v>30</v>
      </c>
      <c r="I367" t="s">
        <v>87</v>
      </c>
      <c r="J367">
        <f>VLOOKUP(H367,ID!$C$3:$D$100,2,FALSE)</f>
        <v>46</v>
      </c>
      <c r="K367" t="s">
        <v>274</v>
      </c>
      <c r="L367" t="str">
        <f>VLOOKUP(K367,Localizacoes!$E$3:$F$100,2,FALSE)</f>
        <v>BBG</v>
      </c>
      <c r="M367" t="str">
        <f>VLOOKUP(K367,ID!$E$3:$F$100,2,FALSE)</f>
        <v>BBG</v>
      </c>
      <c r="N367" t="s">
        <v>704</v>
      </c>
      <c r="O367" t="str">
        <f>VLOOKUP(N367,Localizacoes!$G$3:$H$100,2,FALSE)</f>
        <v>EBC</v>
      </c>
      <c r="P367">
        <f>VLOOKUP(N367,ID!$G$3:$H$100,2,FALSE)</f>
        <v>131</v>
      </c>
      <c r="Q367" t="s">
        <v>276</v>
      </c>
      <c r="R367" t="str">
        <f>VLOOKUP(Q367,Localizacoes!$I$3:$J$100,2,FALSE)</f>
        <v>VSU</v>
      </c>
      <c r="S367" t="str">
        <f>VLOOKUP(Q367,ID!$I$3:$J$100,2,FALSE)</f>
        <v>VSU</v>
      </c>
      <c r="T367" s="4" t="s">
        <v>186</v>
      </c>
      <c r="U367" t="s">
        <v>264</v>
      </c>
      <c r="Y367" t="s">
        <v>270</v>
      </c>
      <c r="Z367" t="str">
        <f t="shared" si="73"/>
        <v>Válvula Sucção 02</v>
      </c>
      <c r="AA367"/>
      <c r="AD367" s="13" t="s">
        <v>267</v>
      </c>
      <c r="AF367" t="str">
        <f t="shared" si="71"/>
        <v>Electrobomba centrífugaVálvula Sucção</v>
      </c>
      <c r="AG367" s="28" t="str">
        <f>VLOOKUP(AF367,Imagens!$C$2:$D$42,2,FALSE)</f>
        <v>65e8cda0676b7</v>
      </c>
      <c r="AH367" t="str">
        <f>_xlfn.CONCAT(Imagens!$H$2,'registo_ativo-CDs (1)'!AG367)</f>
        <v>assets/imagens/products/65e8cda0676b7</v>
      </c>
      <c r="AI367" s="67">
        <v>45365</v>
      </c>
      <c r="AK367" s="32"/>
    </row>
    <row r="368" spans="1:37" ht="16.8" customHeight="1" x14ac:dyDescent="0.3">
      <c r="A368">
        <f t="shared" si="72"/>
        <v>15</v>
      </c>
      <c r="B368" t="str">
        <f t="shared" si="69"/>
        <v>CD46BBG131VDE02</v>
      </c>
      <c r="C368" t="str">
        <f t="shared" si="70"/>
        <v>CD-MAC-BBG-EBC-VDE-02</v>
      </c>
      <c r="E368" t="s">
        <v>37</v>
      </c>
      <c r="F368" t="s">
        <v>46</v>
      </c>
      <c r="G368" t="s">
        <v>46</v>
      </c>
      <c r="H368" s="20" t="s">
        <v>30</v>
      </c>
      <c r="I368" t="s">
        <v>87</v>
      </c>
      <c r="J368">
        <f>VLOOKUP(H368,ID!$C$3:$D$100,2,FALSE)</f>
        <v>46</v>
      </c>
      <c r="K368" t="s">
        <v>274</v>
      </c>
      <c r="L368" t="str">
        <f>VLOOKUP(K368,Localizacoes!$E$3:$F$100,2,FALSE)</f>
        <v>BBG</v>
      </c>
      <c r="M368" t="str">
        <f>VLOOKUP(K368,ID!$E$3:$F$100,2,FALSE)</f>
        <v>BBG</v>
      </c>
      <c r="N368" t="s">
        <v>704</v>
      </c>
      <c r="O368" t="str">
        <f>VLOOKUP(N368,Localizacoes!$G$3:$H$100,2,FALSE)</f>
        <v>EBC</v>
      </c>
      <c r="P368">
        <f>VLOOKUP(N368,ID!$G$3:$H$100,2,FALSE)</f>
        <v>131</v>
      </c>
      <c r="Q368" t="s">
        <v>279</v>
      </c>
      <c r="R368" t="str">
        <f>VLOOKUP(Q368,Localizacoes!$I$3:$J$100,2,FALSE)</f>
        <v>VDE</v>
      </c>
      <c r="S368" t="str">
        <f>VLOOKUP(Q368,ID!$I$3:$J$100,2,FALSE)</f>
        <v>VDE</v>
      </c>
      <c r="T368" s="4" t="s">
        <v>186</v>
      </c>
      <c r="U368" t="s">
        <v>264</v>
      </c>
      <c r="Y368" t="s">
        <v>270</v>
      </c>
      <c r="Z368" t="str">
        <f t="shared" si="73"/>
        <v>Válvula Descarga 02</v>
      </c>
      <c r="AA368"/>
      <c r="AD368" s="13" t="s">
        <v>267</v>
      </c>
      <c r="AF368" t="str">
        <f t="shared" si="71"/>
        <v>Electrobomba centrífugaVálvula Descarga</v>
      </c>
      <c r="AG368" s="28" t="str">
        <f>VLOOKUP(AF368,Imagens!$C$2:$D$42,2,FALSE)</f>
        <v>65e8cda0676b7</v>
      </c>
      <c r="AH368" t="str">
        <f>_xlfn.CONCAT(Imagens!$H$2,'registo_ativo-CDs (1)'!AG368)</f>
        <v>assets/imagens/products/65e8cda0676b7</v>
      </c>
      <c r="AI368" s="67">
        <v>45365</v>
      </c>
      <c r="AK368" s="32"/>
    </row>
    <row r="369" spans="1:37" ht="16.8" customHeight="1" x14ac:dyDescent="0.3">
      <c r="A369">
        <f t="shared" si="72"/>
        <v>15</v>
      </c>
      <c r="B369" t="str">
        <f t="shared" ref="B369:B433" si="78">CONCATENATE(G369,J369,M369,P369,S369,T369)</f>
        <v>CD46BBG131BOM03</v>
      </c>
      <c r="C369" t="str">
        <f t="shared" ref="C369:C433" si="79">CONCATENATE(F369, "-", I369, "-", L369, "-", O369, "-", R369, "-", T369)</f>
        <v>CD-MAC-BBG-EBC-BOM-03</v>
      </c>
      <c r="E369" t="s">
        <v>37</v>
      </c>
      <c r="F369" t="s">
        <v>46</v>
      </c>
      <c r="G369" t="s">
        <v>46</v>
      </c>
      <c r="H369" s="20" t="s">
        <v>30</v>
      </c>
      <c r="I369" t="s">
        <v>87</v>
      </c>
      <c r="J369">
        <f>VLOOKUP(H369,ID!$C$3:$D$100,2,FALSE)</f>
        <v>46</v>
      </c>
      <c r="K369" t="s">
        <v>274</v>
      </c>
      <c r="L369" t="str">
        <f>VLOOKUP(K369,Localizacoes!$E$3:$F$100,2,FALSE)</f>
        <v>BBG</v>
      </c>
      <c r="M369" t="str">
        <f>VLOOKUP(K369,ID!$E$3:$F$100,2,FALSE)</f>
        <v>BBG</v>
      </c>
      <c r="N369" t="s">
        <v>704</v>
      </c>
      <c r="O369" t="str">
        <f>VLOOKUP(N369,Localizacoes!$G$3:$H$100,2,FALSE)</f>
        <v>EBC</v>
      </c>
      <c r="P369">
        <f>VLOOKUP(N369,ID!$G$3:$H$100,2,FALSE)</f>
        <v>131</v>
      </c>
      <c r="Q369" t="s">
        <v>150</v>
      </c>
      <c r="R369" t="str">
        <f>VLOOKUP(Q369,Localizacoes!$I$3:$J$100,2,FALSE)</f>
        <v>BOM</v>
      </c>
      <c r="S369" t="str">
        <f>VLOOKUP(Q369,ID!$I$3:$J$100,2,FALSE)</f>
        <v>BOM</v>
      </c>
      <c r="T369" s="4" t="s">
        <v>187</v>
      </c>
      <c r="U369" t="s">
        <v>264</v>
      </c>
      <c r="Y369" t="s">
        <v>270</v>
      </c>
      <c r="Z369" t="str">
        <f t="shared" si="73"/>
        <v>Bomba 03</v>
      </c>
      <c r="AA369"/>
      <c r="AD369" s="13" t="s">
        <v>377</v>
      </c>
      <c r="AF369" t="str">
        <f t="shared" ref="AF369:AF433" si="80">_xlfn.CONCAT(N369,Q369)</f>
        <v>Electrobomba centrífugaBomba</v>
      </c>
      <c r="AG369" s="28" t="str">
        <f>VLOOKUP(AF369,Imagens!$C$2:$D$42,2,FALSE)</f>
        <v>65e96125c1d11</v>
      </c>
      <c r="AH369" t="str">
        <f>_xlfn.CONCAT(Imagens!$H$2,'registo_ativo-CDs (1)'!AG369)</f>
        <v>assets/imagens/products/65e96125c1d11</v>
      </c>
      <c r="AI369" s="67">
        <v>45309</v>
      </c>
      <c r="AK369" s="32"/>
    </row>
    <row r="370" spans="1:37" ht="16.8" customHeight="1" x14ac:dyDescent="0.3">
      <c r="A370">
        <f t="shared" si="72"/>
        <v>15</v>
      </c>
      <c r="B370" t="str">
        <f t="shared" si="78"/>
        <v>CD46BBG131MOT03</v>
      </c>
      <c r="C370" t="str">
        <f t="shared" si="79"/>
        <v>CD-MAC-BBG-EBC-MOT-03</v>
      </c>
      <c r="E370" t="s">
        <v>37</v>
      </c>
      <c r="F370" t="s">
        <v>46</v>
      </c>
      <c r="G370" t="s">
        <v>46</v>
      </c>
      <c r="H370" s="20" t="s">
        <v>30</v>
      </c>
      <c r="I370" t="s">
        <v>87</v>
      </c>
      <c r="J370">
        <f>VLOOKUP(H370,ID!$C$3:$D$100,2,FALSE)</f>
        <v>46</v>
      </c>
      <c r="K370" t="s">
        <v>274</v>
      </c>
      <c r="L370" t="str">
        <f>VLOOKUP(K370,Localizacoes!$E$3:$F$100,2,FALSE)</f>
        <v>BBG</v>
      </c>
      <c r="M370" t="str">
        <f>VLOOKUP(K370,ID!$E$3:$F$100,2,FALSE)</f>
        <v>BBG</v>
      </c>
      <c r="N370" t="s">
        <v>704</v>
      </c>
      <c r="O370" t="str">
        <f>VLOOKUP(N370,Localizacoes!$G$3:$H$100,2,FALSE)</f>
        <v>EBC</v>
      </c>
      <c r="P370">
        <f>VLOOKUP(N370,ID!$G$3:$H$100,2,FALSE)</f>
        <v>131</v>
      </c>
      <c r="Q370" t="s">
        <v>21</v>
      </c>
      <c r="R370" t="str">
        <f>VLOOKUP(Q370,Localizacoes!$I$3:$J$100,2,FALSE)</f>
        <v>MOT</v>
      </c>
      <c r="S370" t="str">
        <f>VLOOKUP(Q370,ID!$I$3:$J$100,2,FALSE)</f>
        <v>MOT</v>
      </c>
      <c r="T370" s="4" t="s">
        <v>187</v>
      </c>
      <c r="U370" t="s">
        <v>265</v>
      </c>
      <c r="Y370" t="s">
        <v>270</v>
      </c>
      <c r="Z370" t="str">
        <f t="shared" si="73"/>
        <v>Motor 03</v>
      </c>
      <c r="AA370"/>
      <c r="AD370" s="13" t="s">
        <v>377</v>
      </c>
      <c r="AF370" t="str">
        <f t="shared" si="80"/>
        <v>Electrobomba centrífugaMotor</v>
      </c>
      <c r="AG370" s="28" t="str">
        <f>VLOOKUP(AF370,Imagens!$C$2:$D$42,2,FALSE)</f>
        <v>65d04210323a4</v>
      </c>
      <c r="AH370" t="str">
        <f>_xlfn.CONCAT(Imagens!$H$2,'registo_ativo-CDs (1)'!AG370)</f>
        <v>assets/imagens/products/65d04210323a4</v>
      </c>
      <c r="AI370" s="67">
        <v>45309</v>
      </c>
      <c r="AK370" s="32"/>
    </row>
    <row r="371" spans="1:37" ht="16.8" customHeight="1" x14ac:dyDescent="0.3">
      <c r="A371">
        <f t="shared" si="72"/>
        <v>15</v>
      </c>
      <c r="B371" t="str">
        <f t="shared" si="78"/>
        <v>CD46BBG152QEA03</v>
      </c>
      <c r="C371" t="str">
        <f t="shared" si="79"/>
        <v>CD-MAC-BBG-QEL-QEA-03</v>
      </c>
      <c r="E371" t="s">
        <v>37</v>
      </c>
      <c r="F371" t="s">
        <v>46</v>
      </c>
      <c r="G371" t="s">
        <v>46</v>
      </c>
      <c r="H371" s="20" t="s">
        <v>30</v>
      </c>
      <c r="I371" t="s">
        <v>87</v>
      </c>
      <c r="J371">
        <f>VLOOKUP(H371,ID!$C$3:$D$100,2,FALSE)</f>
        <v>46</v>
      </c>
      <c r="K371" t="s">
        <v>274</v>
      </c>
      <c r="L371" t="str">
        <f>VLOOKUP(K371,Localizacoes!$E$3:$F$100,2,FALSE)</f>
        <v>BBG</v>
      </c>
      <c r="M371" t="str">
        <f>VLOOKUP(K371,ID!$E$3:$F$100,2,FALSE)</f>
        <v>BBG</v>
      </c>
      <c r="N371" t="s">
        <v>286</v>
      </c>
      <c r="O371" t="str">
        <f>VLOOKUP(N371,Localizacoes!$G$3:$H$100,2,FALSE)</f>
        <v>QEL</v>
      </c>
      <c r="P371">
        <f>VLOOKUP(N371,ID!$G$3:$H$100,2,FALSE)</f>
        <v>152</v>
      </c>
      <c r="Q371" t="s">
        <v>154</v>
      </c>
      <c r="R371" t="str">
        <f>VLOOKUP(Q371,Localizacoes!$I$3:$J$100,2,FALSE)</f>
        <v>QEA</v>
      </c>
      <c r="S371" t="str">
        <f>VLOOKUP(Q371,ID!$I$3:$J$100,2,FALSE)</f>
        <v>QEA</v>
      </c>
      <c r="T371" s="4" t="s">
        <v>187</v>
      </c>
      <c r="U371" t="s">
        <v>265</v>
      </c>
      <c r="Y371" t="s">
        <v>270</v>
      </c>
      <c r="Z371" t="str">
        <f t="shared" si="73"/>
        <v>Quadros Eléctricos de Arranque 03</v>
      </c>
      <c r="AA371"/>
      <c r="AD371" s="13" t="s">
        <v>267</v>
      </c>
      <c r="AF371" t="str">
        <f t="shared" si="80"/>
        <v>Quadro EléctricoQuadros Eléctricos de Arranque</v>
      </c>
      <c r="AG371" s="28" t="str">
        <f>VLOOKUP(AF371,Imagens!$C$2:$D$42,2,FALSE)</f>
        <v>65e8d2fa35c12</v>
      </c>
      <c r="AH371" t="str">
        <f>_xlfn.CONCAT(Imagens!$H$2,'registo_ativo-CDs (1)'!AG371)</f>
        <v>assets/imagens/products/65e8d2fa35c12</v>
      </c>
      <c r="AI371" s="67">
        <v>45365</v>
      </c>
      <c r="AK371" s="32"/>
    </row>
    <row r="372" spans="1:37" ht="16.8" customHeight="1" x14ac:dyDescent="0.3">
      <c r="A372">
        <f t="shared" si="72"/>
        <v>15</v>
      </c>
      <c r="B372" t="str">
        <f t="shared" si="78"/>
        <v>CD46BBG131VSU03</v>
      </c>
      <c r="C372" t="str">
        <f t="shared" si="79"/>
        <v>CD-MAC-BBG-EBC-VSU-03</v>
      </c>
      <c r="E372" t="s">
        <v>37</v>
      </c>
      <c r="F372" t="s">
        <v>46</v>
      </c>
      <c r="G372" t="s">
        <v>46</v>
      </c>
      <c r="H372" s="20" t="s">
        <v>30</v>
      </c>
      <c r="I372" t="s">
        <v>87</v>
      </c>
      <c r="J372">
        <f>VLOOKUP(H372,ID!$C$3:$D$100,2,FALSE)</f>
        <v>46</v>
      </c>
      <c r="K372" t="s">
        <v>274</v>
      </c>
      <c r="L372" t="str">
        <f>VLOOKUP(K372,Localizacoes!$E$3:$F$100,2,FALSE)</f>
        <v>BBG</v>
      </c>
      <c r="M372" t="str">
        <f>VLOOKUP(K372,ID!$E$3:$F$100,2,FALSE)</f>
        <v>BBG</v>
      </c>
      <c r="N372" t="s">
        <v>704</v>
      </c>
      <c r="O372" t="str">
        <f>VLOOKUP(N372,Localizacoes!$G$3:$H$100,2,FALSE)</f>
        <v>EBC</v>
      </c>
      <c r="P372">
        <f>VLOOKUP(N372,ID!$G$3:$H$100,2,FALSE)</f>
        <v>131</v>
      </c>
      <c r="Q372" t="s">
        <v>276</v>
      </c>
      <c r="R372" t="str">
        <f>VLOOKUP(Q372,Localizacoes!$I$3:$J$100,2,FALSE)</f>
        <v>VSU</v>
      </c>
      <c r="S372" t="str">
        <f>VLOOKUP(Q372,ID!$I$3:$J$100,2,FALSE)</f>
        <v>VSU</v>
      </c>
      <c r="T372" s="4" t="s">
        <v>187</v>
      </c>
      <c r="U372" t="s">
        <v>264</v>
      </c>
      <c r="Y372" t="s">
        <v>270</v>
      </c>
      <c r="Z372" t="str">
        <f t="shared" si="73"/>
        <v>Válvula Sucção 03</v>
      </c>
      <c r="AA372"/>
      <c r="AD372" s="13" t="s">
        <v>267</v>
      </c>
      <c r="AF372" t="str">
        <f t="shared" si="80"/>
        <v>Electrobomba centrífugaVálvula Sucção</v>
      </c>
      <c r="AG372" s="28" t="str">
        <f>VLOOKUP(AF372,Imagens!$C$2:$D$42,2,FALSE)</f>
        <v>65e8cda0676b7</v>
      </c>
      <c r="AH372" t="str">
        <f>_xlfn.CONCAT(Imagens!$H$2,'registo_ativo-CDs (1)'!AG372)</f>
        <v>assets/imagens/products/65e8cda0676b7</v>
      </c>
      <c r="AI372" s="67">
        <v>45365</v>
      </c>
      <c r="AK372" s="32"/>
    </row>
    <row r="373" spans="1:37" ht="16.8" customHeight="1" x14ac:dyDescent="0.3">
      <c r="A373">
        <f t="shared" si="72"/>
        <v>15</v>
      </c>
      <c r="B373" t="str">
        <f t="shared" si="78"/>
        <v>CD46BBG131VDE03</v>
      </c>
      <c r="C373" t="str">
        <f t="shared" si="79"/>
        <v>CD-MAC-BBG-EBC-VDE-03</v>
      </c>
      <c r="E373" t="s">
        <v>37</v>
      </c>
      <c r="F373" t="s">
        <v>46</v>
      </c>
      <c r="G373" t="s">
        <v>46</v>
      </c>
      <c r="H373" s="20" t="s">
        <v>30</v>
      </c>
      <c r="I373" t="s">
        <v>87</v>
      </c>
      <c r="J373">
        <f>VLOOKUP(H373,ID!$C$3:$D$100,2,FALSE)</f>
        <v>46</v>
      </c>
      <c r="K373" t="s">
        <v>274</v>
      </c>
      <c r="L373" t="str">
        <f>VLOOKUP(K373,Localizacoes!$E$3:$F$100,2,FALSE)</f>
        <v>BBG</v>
      </c>
      <c r="M373" t="str">
        <f>VLOOKUP(K373,ID!$E$3:$F$100,2,FALSE)</f>
        <v>BBG</v>
      </c>
      <c r="N373" t="s">
        <v>704</v>
      </c>
      <c r="O373" t="str">
        <f>VLOOKUP(N373,Localizacoes!$G$3:$H$100,2,FALSE)</f>
        <v>EBC</v>
      </c>
      <c r="P373">
        <f>VLOOKUP(N373,ID!$G$3:$H$100,2,FALSE)</f>
        <v>131</v>
      </c>
      <c r="Q373" t="s">
        <v>279</v>
      </c>
      <c r="R373" t="str">
        <f>VLOOKUP(Q373,Localizacoes!$I$3:$J$100,2,FALSE)</f>
        <v>VDE</v>
      </c>
      <c r="S373" t="str">
        <f>VLOOKUP(Q373,ID!$I$3:$J$100,2,FALSE)</f>
        <v>VDE</v>
      </c>
      <c r="T373" s="4" t="s">
        <v>187</v>
      </c>
      <c r="U373" t="s">
        <v>264</v>
      </c>
      <c r="Y373" t="s">
        <v>270</v>
      </c>
      <c r="Z373" t="str">
        <f t="shared" si="73"/>
        <v>Válvula Descarga 03</v>
      </c>
      <c r="AA373"/>
      <c r="AD373" s="13" t="s">
        <v>267</v>
      </c>
      <c r="AF373" t="str">
        <f t="shared" si="80"/>
        <v>Electrobomba centrífugaVálvula Descarga</v>
      </c>
      <c r="AG373" s="28" t="str">
        <f>VLOOKUP(AF373,Imagens!$C$2:$D$42,2,FALSE)</f>
        <v>65e8cda0676b7</v>
      </c>
      <c r="AH373" t="str">
        <f>_xlfn.CONCAT(Imagens!$H$2,'registo_ativo-CDs (1)'!AG373)</f>
        <v>assets/imagens/products/65e8cda0676b7</v>
      </c>
      <c r="AI373" s="67">
        <v>45365</v>
      </c>
      <c r="AK373" s="32"/>
    </row>
    <row r="374" spans="1:37" ht="16.8" customHeight="1" x14ac:dyDescent="0.3">
      <c r="A374">
        <f t="shared" si="72"/>
        <v>15</v>
      </c>
      <c r="B374" t="str">
        <f t="shared" si="78"/>
        <v>CD46BBG131VLV03</v>
      </c>
      <c r="C374" t="str">
        <f t="shared" si="79"/>
        <v>CD-MAC-BBG-EBC-VLV-03</v>
      </c>
      <c r="E374" t="s">
        <v>37</v>
      </c>
      <c r="F374" t="s">
        <v>46</v>
      </c>
      <c r="G374" t="s">
        <v>46</v>
      </c>
      <c r="H374" s="20" t="s">
        <v>30</v>
      </c>
      <c r="I374" t="s">
        <v>87</v>
      </c>
      <c r="J374">
        <f>VLOOKUP(H374,ID!$C$3:$D$100,2,FALSE)</f>
        <v>46</v>
      </c>
      <c r="K374" t="s">
        <v>274</v>
      </c>
      <c r="L374" t="str">
        <f>VLOOKUP(K374,Localizacoes!$E$3:$F$100,2,FALSE)</f>
        <v>BBG</v>
      </c>
      <c r="M374" t="str">
        <f>VLOOKUP(K374,ID!$E$3:$F$100,2,FALSE)</f>
        <v>BBG</v>
      </c>
      <c r="N374" t="s">
        <v>704</v>
      </c>
      <c r="O374" t="str">
        <f>VLOOKUP(N374,Localizacoes!$G$3:$H$100,2,FALSE)</f>
        <v>EBC</v>
      </c>
      <c r="P374">
        <f>VLOOKUP(N374,ID!$G$3:$H$100,2,FALSE)</f>
        <v>131</v>
      </c>
      <c r="Q374" t="s">
        <v>25</v>
      </c>
      <c r="R374" t="str">
        <f>VLOOKUP(Q374,Localizacoes!$I$3:$J$100,2,FALSE)</f>
        <v>VLV</v>
      </c>
      <c r="S374" t="str">
        <f>VLOOKUP(Q374,ID!$I$3:$J$100,2,FALSE)</f>
        <v>VLV</v>
      </c>
      <c r="T374" s="4" t="s">
        <v>187</v>
      </c>
      <c r="U374" t="s">
        <v>264</v>
      </c>
      <c r="Y374" t="s">
        <v>270</v>
      </c>
      <c r="Z374" t="str">
        <f t="shared" si="73"/>
        <v>Válvula 03</v>
      </c>
      <c r="AA374"/>
      <c r="AD374" s="13" t="s">
        <v>267</v>
      </c>
      <c r="AF374" t="str">
        <f t="shared" si="80"/>
        <v>Electrobomba centrífugaVálvula</v>
      </c>
      <c r="AG374" s="28" t="str">
        <f>VLOOKUP(AF374,Imagens!$C$2:$D$42,2,FALSE)</f>
        <v>65e8cda0676b7</v>
      </c>
      <c r="AH374" t="str">
        <f>_xlfn.CONCAT(Imagens!$H$2,'registo_ativo-CDs (1)'!AG374)</f>
        <v>assets/imagens/products/65e8cda0676b7</v>
      </c>
      <c r="AI374" s="67">
        <v>45365</v>
      </c>
      <c r="AK374" s="32"/>
    </row>
    <row r="375" spans="1:37" ht="16.8" customHeight="1" x14ac:dyDescent="0.3">
      <c r="A375">
        <f t="shared" si="72"/>
        <v>15</v>
      </c>
      <c r="B375" t="str">
        <f t="shared" si="78"/>
        <v>CD46BBG131BOM04</v>
      </c>
      <c r="C375" t="str">
        <f t="shared" si="79"/>
        <v>CD-MAC-BBG-EBC-BOM-04</v>
      </c>
      <c r="E375" t="s">
        <v>37</v>
      </c>
      <c r="F375" t="s">
        <v>46</v>
      </c>
      <c r="G375" t="s">
        <v>46</v>
      </c>
      <c r="H375" s="20" t="s">
        <v>30</v>
      </c>
      <c r="I375" t="s">
        <v>87</v>
      </c>
      <c r="J375">
        <f>VLOOKUP(H375,ID!$C$3:$D$100,2,FALSE)</f>
        <v>46</v>
      </c>
      <c r="K375" t="s">
        <v>274</v>
      </c>
      <c r="L375" t="str">
        <f>VLOOKUP(K375,Localizacoes!$E$3:$F$100,2,FALSE)</f>
        <v>BBG</v>
      </c>
      <c r="M375" t="str">
        <f>VLOOKUP(K375,ID!$E$3:$F$100,2,FALSE)</f>
        <v>BBG</v>
      </c>
      <c r="N375" t="s">
        <v>704</v>
      </c>
      <c r="O375" t="str">
        <f>VLOOKUP(N375,Localizacoes!$G$3:$H$100,2,FALSE)</f>
        <v>EBC</v>
      </c>
      <c r="P375">
        <f>VLOOKUP(N375,ID!$G$3:$H$100,2,FALSE)</f>
        <v>131</v>
      </c>
      <c r="Q375" t="s">
        <v>150</v>
      </c>
      <c r="R375" t="str">
        <f>VLOOKUP(Q375,Localizacoes!$I$3:$J$100,2,FALSE)</f>
        <v>BOM</v>
      </c>
      <c r="S375" t="str">
        <f>VLOOKUP(Q375,ID!$I$3:$J$100,2,FALSE)</f>
        <v>BOM</v>
      </c>
      <c r="T375" s="4" t="s">
        <v>188</v>
      </c>
      <c r="U375" t="s">
        <v>264</v>
      </c>
      <c r="Y375" t="s">
        <v>270</v>
      </c>
      <c r="Z375" t="str">
        <f t="shared" si="73"/>
        <v>Bomba 04</v>
      </c>
      <c r="AA375"/>
      <c r="AD375" s="13" t="s">
        <v>377</v>
      </c>
      <c r="AF375" t="str">
        <f t="shared" si="80"/>
        <v>Electrobomba centrífugaBomba</v>
      </c>
      <c r="AG375" s="28" t="str">
        <f>VLOOKUP(AF375,Imagens!$C$2:$D$42,2,FALSE)</f>
        <v>65e96125c1d11</v>
      </c>
      <c r="AH375" t="str">
        <f>_xlfn.CONCAT(Imagens!$H$2,'registo_ativo-CDs (1)'!AG375)</f>
        <v>assets/imagens/products/65e96125c1d11</v>
      </c>
      <c r="AI375" s="67">
        <v>45309</v>
      </c>
      <c r="AK375" s="32"/>
    </row>
    <row r="376" spans="1:37" ht="16.8" customHeight="1" x14ac:dyDescent="0.3">
      <c r="A376">
        <f t="shared" si="72"/>
        <v>15</v>
      </c>
      <c r="B376" t="str">
        <f t="shared" si="78"/>
        <v>CD46BBG131MOT04</v>
      </c>
      <c r="C376" t="str">
        <f t="shared" si="79"/>
        <v>CD-MAC-BBG-EBC-MOT-04</v>
      </c>
      <c r="E376" t="s">
        <v>37</v>
      </c>
      <c r="F376" t="s">
        <v>46</v>
      </c>
      <c r="G376" t="s">
        <v>46</v>
      </c>
      <c r="H376" s="20" t="s">
        <v>30</v>
      </c>
      <c r="I376" t="s">
        <v>87</v>
      </c>
      <c r="J376">
        <f>VLOOKUP(H376,ID!$C$3:$D$100,2,FALSE)</f>
        <v>46</v>
      </c>
      <c r="K376" t="s">
        <v>274</v>
      </c>
      <c r="L376" t="str">
        <f>VLOOKUP(K376,Localizacoes!$E$3:$F$100,2,FALSE)</f>
        <v>BBG</v>
      </c>
      <c r="M376" t="str">
        <f>VLOOKUP(K376,ID!$E$3:$F$100,2,FALSE)</f>
        <v>BBG</v>
      </c>
      <c r="N376" t="s">
        <v>704</v>
      </c>
      <c r="O376" t="str">
        <f>VLOOKUP(N376,Localizacoes!$G$3:$H$100,2,FALSE)</f>
        <v>EBC</v>
      </c>
      <c r="P376">
        <f>VLOOKUP(N376,ID!$G$3:$H$100,2,FALSE)</f>
        <v>131</v>
      </c>
      <c r="Q376" t="s">
        <v>21</v>
      </c>
      <c r="R376" t="str">
        <f>VLOOKUP(Q376,Localizacoes!$I$3:$J$100,2,FALSE)</f>
        <v>MOT</v>
      </c>
      <c r="S376" t="str">
        <f>VLOOKUP(Q376,ID!$I$3:$J$100,2,FALSE)</f>
        <v>MOT</v>
      </c>
      <c r="T376" s="4" t="s">
        <v>188</v>
      </c>
      <c r="U376" t="s">
        <v>265</v>
      </c>
      <c r="Y376" t="s">
        <v>270</v>
      </c>
      <c r="Z376" t="str">
        <f t="shared" si="73"/>
        <v>Motor 04</v>
      </c>
      <c r="AA376"/>
      <c r="AD376" s="13" t="s">
        <v>377</v>
      </c>
      <c r="AF376" t="str">
        <f t="shared" si="80"/>
        <v>Electrobomba centrífugaMotor</v>
      </c>
      <c r="AG376" s="28" t="str">
        <f>VLOOKUP(AF376,Imagens!$C$2:$D$42,2,FALSE)</f>
        <v>65d04210323a4</v>
      </c>
      <c r="AH376" t="str">
        <f>_xlfn.CONCAT(Imagens!$H$2,'registo_ativo-CDs (1)'!AG376)</f>
        <v>assets/imagens/products/65d04210323a4</v>
      </c>
      <c r="AI376" s="67">
        <v>45309</v>
      </c>
      <c r="AK376" s="32"/>
    </row>
    <row r="377" spans="1:37" ht="16.8" customHeight="1" x14ac:dyDescent="0.3">
      <c r="A377">
        <f t="shared" si="72"/>
        <v>15</v>
      </c>
      <c r="B377" t="str">
        <f t="shared" si="78"/>
        <v>CD46BBG152QEA04</v>
      </c>
      <c r="C377" t="str">
        <f t="shared" si="79"/>
        <v>CD-MAC-BBG-QEL-QEA-04</v>
      </c>
      <c r="E377" t="s">
        <v>37</v>
      </c>
      <c r="F377" t="s">
        <v>46</v>
      </c>
      <c r="G377" t="s">
        <v>46</v>
      </c>
      <c r="H377" s="20" t="s">
        <v>30</v>
      </c>
      <c r="I377" t="s">
        <v>87</v>
      </c>
      <c r="J377">
        <f>VLOOKUP(H377,ID!$C$3:$D$100,2,FALSE)</f>
        <v>46</v>
      </c>
      <c r="K377" t="s">
        <v>274</v>
      </c>
      <c r="L377" t="str">
        <f>VLOOKUP(K377,Localizacoes!$E$3:$F$100,2,FALSE)</f>
        <v>BBG</v>
      </c>
      <c r="M377" t="str">
        <f>VLOOKUP(K377,ID!$E$3:$F$100,2,FALSE)</f>
        <v>BBG</v>
      </c>
      <c r="N377" t="s">
        <v>286</v>
      </c>
      <c r="O377" t="str">
        <f>VLOOKUP(N377,Localizacoes!$G$3:$H$100,2,FALSE)</f>
        <v>QEL</v>
      </c>
      <c r="P377">
        <f>VLOOKUP(N377,ID!$G$3:$H$100,2,FALSE)</f>
        <v>152</v>
      </c>
      <c r="Q377" t="s">
        <v>154</v>
      </c>
      <c r="R377" t="str">
        <f>VLOOKUP(Q377,Localizacoes!$I$3:$J$100,2,FALSE)</f>
        <v>QEA</v>
      </c>
      <c r="S377" t="str">
        <f>VLOOKUP(Q377,ID!$I$3:$J$100,2,FALSE)</f>
        <v>QEA</v>
      </c>
      <c r="T377" s="4" t="s">
        <v>188</v>
      </c>
      <c r="U377" t="s">
        <v>265</v>
      </c>
      <c r="Y377" t="s">
        <v>270</v>
      </c>
      <c r="Z377" t="str">
        <f t="shared" si="73"/>
        <v>Quadros Eléctricos de Arranque 04</v>
      </c>
      <c r="AA377"/>
      <c r="AD377" s="13" t="s">
        <v>267</v>
      </c>
      <c r="AF377" t="str">
        <f t="shared" si="80"/>
        <v>Quadro EléctricoQuadros Eléctricos de Arranque</v>
      </c>
      <c r="AG377" s="28" t="str">
        <f>VLOOKUP(AF377,Imagens!$C$2:$D$42,2,FALSE)</f>
        <v>65e8d2fa35c12</v>
      </c>
      <c r="AH377" t="str">
        <f>_xlfn.CONCAT(Imagens!$H$2,'registo_ativo-CDs (1)'!AG377)</f>
        <v>assets/imagens/products/65e8d2fa35c12</v>
      </c>
      <c r="AI377" s="67">
        <v>45365</v>
      </c>
      <c r="AK377" s="32"/>
    </row>
    <row r="378" spans="1:37" ht="16.8" customHeight="1" x14ac:dyDescent="0.3">
      <c r="A378">
        <f t="shared" si="72"/>
        <v>15</v>
      </c>
      <c r="B378" t="str">
        <f t="shared" si="78"/>
        <v>CD46BBG131VSU04</v>
      </c>
      <c r="C378" t="str">
        <f t="shared" si="79"/>
        <v>CD-MAC-BBG-EBC-VSU-04</v>
      </c>
      <c r="E378" t="s">
        <v>37</v>
      </c>
      <c r="F378" t="s">
        <v>46</v>
      </c>
      <c r="G378" t="s">
        <v>46</v>
      </c>
      <c r="H378" s="20" t="s">
        <v>30</v>
      </c>
      <c r="I378" t="s">
        <v>87</v>
      </c>
      <c r="J378">
        <f>VLOOKUP(H378,ID!$C$3:$D$100,2,FALSE)</f>
        <v>46</v>
      </c>
      <c r="K378" t="s">
        <v>274</v>
      </c>
      <c r="L378" t="str">
        <f>VLOOKUP(K378,Localizacoes!$E$3:$F$100,2,FALSE)</f>
        <v>BBG</v>
      </c>
      <c r="M378" t="str">
        <f>VLOOKUP(K378,ID!$E$3:$F$100,2,FALSE)</f>
        <v>BBG</v>
      </c>
      <c r="N378" t="s">
        <v>704</v>
      </c>
      <c r="O378" t="str">
        <f>VLOOKUP(N378,Localizacoes!$G$3:$H$100,2,FALSE)</f>
        <v>EBC</v>
      </c>
      <c r="P378">
        <f>VLOOKUP(N378,ID!$G$3:$H$100,2,FALSE)</f>
        <v>131</v>
      </c>
      <c r="Q378" t="s">
        <v>276</v>
      </c>
      <c r="R378" t="str">
        <f>VLOOKUP(Q378,Localizacoes!$I$3:$J$100,2,FALSE)</f>
        <v>VSU</v>
      </c>
      <c r="S378" t="str">
        <f>VLOOKUP(Q378,ID!$I$3:$J$100,2,FALSE)</f>
        <v>VSU</v>
      </c>
      <c r="T378" s="4" t="s">
        <v>188</v>
      </c>
      <c r="U378" t="s">
        <v>264</v>
      </c>
      <c r="Y378" t="s">
        <v>270</v>
      </c>
      <c r="Z378" t="str">
        <f t="shared" si="73"/>
        <v>Válvula Sucção 04</v>
      </c>
      <c r="AA378"/>
      <c r="AD378" s="13" t="s">
        <v>267</v>
      </c>
      <c r="AF378" t="str">
        <f t="shared" si="80"/>
        <v>Electrobomba centrífugaVálvula Sucção</v>
      </c>
      <c r="AG378" s="28" t="str">
        <f>VLOOKUP(AF378,Imagens!$C$2:$D$42,2,FALSE)</f>
        <v>65e8cda0676b7</v>
      </c>
      <c r="AH378" t="str">
        <f>_xlfn.CONCAT(Imagens!$H$2,'registo_ativo-CDs (1)'!AG378)</f>
        <v>assets/imagens/products/65e8cda0676b7</v>
      </c>
      <c r="AI378" s="67">
        <v>45365</v>
      </c>
      <c r="AK378" s="32"/>
    </row>
    <row r="379" spans="1:37" ht="16.8" customHeight="1" x14ac:dyDescent="0.3">
      <c r="A379">
        <f t="shared" si="72"/>
        <v>15</v>
      </c>
      <c r="B379" t="str">
        <f t="shared" si="78"/>
        <v>CD46BBG131VDE04</v>
      </c>
      <c r="C379" t="str">
        <f t="shared" si="79"/>
        <v>CD-MAC-BBG-EBC-VDE-04</v>
      </c>
      <c r="E379" t="s">
        <v>37</v>
      </c>
      <c r="F379" t="s">
        <v>46</v>
      </c>
      <c r="G379" t="s">
        <v>46</v>
      </c>
      <c r="H379" s="20" t="s">
        <v>30</v>
      </c>
      <c r="I379" t="s">
        <v>87</v>
      </c>
      <c r="J379">
        <f>VLOOKUP(H379,ID!$C$3:$D$100,2,FALSE)</f>
        <v>46</v>
      </c>
      <c r="K379" t="s">
        <v>274</v>
      </c>
      <c r="L379" t="str">
        <f>VLOOKUP(K379,Localizacoes!$E$3:$F$100,2,FALSE)</f>
        <v>BBG</v>
      </c>
      <c r="M379" t="str">
        <f>VLOOKUP(K379,ID!$E$3:$F$100,2,FALSE)</f>
        <v>BBG</v>
      </c>
      <c r="N379" t="s">
        <v>704</v>
      </c>
      <c r="O379" t="str">
        <f>VLOOKUP(N379,Localizacoes!$G$3:$H$100,2,FALSE)</f>
        <v>EBC</v>
      </c>
      <c r="P379">
        <f>VLOOKUP(N379,ID!$G$3:$H$100,2,FALSE)</f>
        <v>131</v>
      </c>
      <c r="Q379" t="s">
        <v>279</v>
      </c>
      <c r="R379" t="str">
        <f>VLOOKUP(Q379,Localizacoes!$I$3:$J$100,2,FALSE)</f>
        <v>VDE</v>
      </c>
      <c r="S379" t="str">
        <f>VLOOKUP(Q379,ID!$I$3:$J$100,2,FALSE)</f>
        <v>VDE</v>
      </c>
      <c r="T379" s="4" t="s">
        <v>188</v>
      </c>
      <c r="U379" t="s">
        <v>264</v>
      </c>
      <c r="Y379" t="s">
        <v>270</v>
      </c>
      <c r="Z379" t="str">
        <f t="shared" si="73"/>
        <v>Válvula Descarga 04</v>
      </c>
      <c r="AA379"/>
      <c r="AD379" s="13" t="s">
        <v>267</v>
      </c>
      <c r="AF379" t="str">
        <f t="shared" si="80"/>
        <v>Electrobomba centrífugaVálvula Descarga</v>
      </c>
      <c r="AG379" s="28" t="str">
        <f>VLOOKUP(AF379,Imagens!$C$2:$D$42,2,FALSE)</f>
        <v>65e8cda0676b7</v>
      </c>
      <c r="AH379" t="str">
        <f>_xlfn.CONCAT(Imagens!$H$2,'registo_ativo-CDs (1)'!AG379)</f>
        <v>assets/imagens/products/65e8cda0676b7</v>
      </c>
      <c r="AI379" s="67">
        <v>45365</v>
      </c>
      <c r="AK379" s="32"/>
    </row>
    <row r="380" spans="1:37" ht="16.8" customHeight="1" x14ac:dyDescent="0.3">
      <c r="A380">
        <f t="shared" si="72"/>
        <v>15</v>
      </c>
      <c r="B380" t="str">
        <f t="shared" si="78"/>
        <v>CD46HTH133BOM01</v>
      </c>
      <c r="C380" t="str">
        <f t="shared" si="79"/>
        <v>CD-MAC-HTH-EBD-BOM-01</v>
      </c>
      <c r="E380" t="s">
        <v>37</v>
      </c>
      <c r="F380" t="s">
        <v>46</v>
      </c>
      <c r="G380" t="s">
        <v>46</v>
      </c>
      <c r="H380" s="20" t="s">
        <v>30</v>
      </c>
      <c r="I380" t="s">
        <v>87</v>
      </c>
      <c r="J380">
        <f>VLOOKUP(H380,ID!$C$3:$D$100,2,FALSE)</f>
        <v>46</v>
      </c>
      <c r="K380" t="s">
        <v>138</v>
      </c>
      <c r="L380" t="str">
        <f>VLOOKUP(K380,Localizacoes!$E$3:$F$100,2,FALSE)</f>
        <v>HTH</v>
      </c>
      <c r="M380" t="str">
        <f>VLOOKUP(K380,ID!$E$3:$F$100,2,FALSE)</f>
        <v>HTH</v>
      </c>
      <c r="N380" t="s">
        <v>662</v>
      </c>
      <c r="O380" t="str">
        <f>VLOOKUP(N380,Localizacoes!$G$3:$H$100,2,FALSE)</f>
        <v>EBD</v>
      </c>
      <c r="P380">
        <f>VLOOKUP(N380,ID!$G$3:$H$100,2,FALSE)</f>
        <v>133</v>
      </c>
      <c r="Q380" t="s">
        <v>150</v>
      </c>
      <c r="R380" t="str">
        <f>VLOOKUP(Q380,Localizacoes!$I$3:$J$100,2,FALSE)</f>
        <v>BOM</v>
      </c>
      <c r="S380" t="str">
        <f>VLOOKUP(Q380,ID!$I$3:$J$100,2,FALSE)</f>
        <v>BOM</v>
      </c>
      <c r="T380" s="4" t="s">
        <v>182</v>
      </c>
      <c r="U380" t="s">
        <v>264</v>
      </c>
      <c r="Y380" t="s">
        <v>270</v>
      </c>
      <c r="Z380" t="str">
        <f t="shared" si="73"/>
        <v>Bomba 01</v>
      </c>
      <c r="AA380"/>
      <c r="AD380" s="13" t="s">
        <v>7</v>
      </c>
      <c r="AF380" t="str">
        <f t="shared" si="80"/>
        <v>Electrobomba Doseadora de DiafragmaBomba</v>
      </c>
      <c r="AG380" s="28" t="str">
        <f>VLOOKUP(AF380,Imagens!$C$2:$D$42,2,FALSE)</f>
        <v>65e8d1ea50af1</v>
      </c>
      <c r="AH380" t="str">
        <f>_xlfn.CONCAT(Imagens!$H$2,'registo_ativo-CDs (1)'!AG380)</f>
        <v>assets/imagens/products/65e8d1ea50af1</v>
      </c>
      <c r="AI380" s="67">
        <v>45309</v>
      </c>
      <c r="AK380" s="32"/>
    </row>
    <row r="381" spans="1:37" ht="16.8" customHeight="1" x14ac:dyDescent="0.3">
      <c r="A381">
        <f t="shared" ref="A381" si="81">LEN(B381)</f>
        <v>15</v>
      </c>
      <c r="B381" t="str">
        <f t="shared" si="78"/>
        <v>CD46HTH133MOT01</v>
      </c>
      <c r="C381" t="str">
        <f t="shared" si="79"/>
        <v>CD-MAC-HTH-EBD-MOT-01</v>
      </c>
      <c r="E381" t="s">
        <v>37</v>
      </c>
      <c r="F381" t="str">
        <f>VLOOKUP(E381,Localizacoes!$A$3:$B$100,2,FALSE)</f>
        <v>CD</v>
      </c>
      <c r="G381" t="str">
        <f>VLOOKUP(E381,ID!$A$3:$B$100,2,FALSE)</f>
        <v>CD</v>
      </c>
      <c r="H381" s="14" t="s">
        <v>30</v>
      </c>
      <c r="I381" t="str">
        <f>VLOOKUP(H381,Localizacoes!$C$3:$D$100,2,FALSE)</f>
        <v>MAC</v>
      </c>
      <c r="J381">
        <f>VLOOKUP(H381,ID!$C$3:$D$100,2,FALSE)</f>
        <v>46</v>
      </c>
      <c r="K381" t="s">
        <v>138</v>
      </c>
      <c r="L381" t="str">
        <f>VLOOKUP(K381,Localizacoes!$E$3:$F$100,2,FALSE)</f>
        <v>HTH</v>
      </c>
      <c r="M381" t="str">
        <f>VLOOKUP(K381,ID!$E$3:$F$100,2,FALSE)</f>
        <v>HTH</v>
      </c>
      <c r="N381" t="s">
        <v>662</v>
      </c>
      <c r="O381" t="str">
        <f>VLOOKUP(N381,Localizacoes!$G$3:$H$100,2,FALSE)</f>
        <v>EBD</v>
      </c>
      <c r="P381">
        <f>VLOOKUP(N381,ID!$G$3:$H$100,2,FALSE)</f>
        <v>133</v>
      </c>
      <c r="Q381" t="s">
        <v>21</v>
      </c>
      <c r="R381" t="str">
        <f>VLOOKUP(Q381,Localizacoes!$I$3:$J$100,2,FALSE)</f>
        <v>MOT</v>
      </c>
      <c r="S381" t="str">
        <f>VLOOKUP(Q381,ID!$I$3:$J$100,2,FALSE)</f>
        <v>MOT</v>
      </c>
      <c r="T381" s="4" t="s">
        <v>182</v>
      </c>
      <c r="U381" t="s">
        <v>265</v>
      </c>
      <c r="X381" t="s">
        <v>6</v>
      </c>
      <c r="Y381" t="s">
        <v>270</v>
      </c>
      <c r="Z381" t="str">
        <f t="shared" ref="Z381" si="82">Q381&amp;" "&amp; T381</f>
        <v>Motor 01</v>
      </c>
      <c r="AA381"/>
      <c r="AD381" s="13" t="s">
        <v>7</v>
      </c>
      <c r="AF381" t="str">
        <f t="shared" si="80"/>
        <v>Electrobomba Doseadora de DiafragmaMotor</v>
      </c>
      <c r="AG381" s="28" t="str">
        <f>VLOOKUP(AF381,Imagens!$C$2:$D$42,2,FALSE)</f>
        <v>65e8d1ea50af1</v>
      </c>
      <c r="AH381" t="str">
        <f>_xlfn.CONCAT(Imagens!$H$2,'registo_ativo-CDs (1)'!AG381)</f>
        <v>assets/imagens/products/65e8d1ea50af1</v>
      </c>
      <c r="AI381" s="67">
        <v>45309</v>
      </c>
      <c r="AK381" s="32"/>
    </row>
    <row r="382" spans="1:37" ht="16.8" customHeight="1" x14ac:dyDescent="0.3">
      <c r="A382">
        <f t="shared" si="72"/>
        <v>15</v>
      </c>
      <c r="B382" t="str">
        <f t="shared" si="78"/>
        <v>CD46HTH103MOT01</v>
      </c>
      <c r="C382" t="str">
        <f t="shared" si="79"/>
        <v>CD-MAC-HTH-AGI-MOT-01</v>
      </c>
      <c r="E382" t="s">
        <v>37</v>
      </c>
      <c r="F382" t="s">
        <v>46</v>
      </c>
      <c r="G382" t="s">
        <v>46</v>
      </c>
      <c r="H382" s="20" t="s">
        <v>30</v>
      </c>
      <c r="I382" t="s">
        <v>87</v>
      </c>
      <c r="J382">
        <f>VLOOKUP(H382,ID!$C$3:$D$100,2,FALSE)</f>
        <v>46</v>
      </c>
      <c r="K382" t="s">
        <v>138</v>
      </c>
      <c r="L382" t="str">
        <f>VLOOKUP(K382,Localizacoes!$E$3:$F$100,2,FALSE)</f>
        <v>HTH</v>
      </c>
      <c r="M382" t="str">
        <f>VLOOKUP(K382,ID!$E$3:$F$100,2,FALSE)</f>
        <v>HTH</v>
      </c>
      <c r="N382" t="s">
        <v>131</v>
      </c>
      <c r="O382" t="str">
        <f>VLOOKUP(N382,Localizacoes!$G$3:$H$100,2,FALSE)</f>
        <v>AGI</v>
      </c>
      <c r="P382">
        <f>VLOOKUP(N382,ID!$G$3:$H$100,2,FALSE)</f>
        <v>103</v>
      </c>
      <c r="Q382" t="s">
        <v>21</v>
      </c>
      <c r="R382" t="str">
        <f>VLOOKUP(Q382,Localizacoes!$I$3:$J$100,2,FALSE)</f>
        <v>MOT</v>
      </c>
      <c r="S382" t="str">
        <f>VLOOKUP(Q382,ID!$I$3:$J$100,2,FALSE)</f>
        <v>MOT</v>
      </c>
      <c r="T382" s="4" t="s">
        <v>182</v>
      </c>
      <c r="U382" t="s">
        <v>265</v>
      </c>
      <c r="Y382" t="s">
        <v>270</v>
      </c>
      <c r="Z382" t="str">
        <f t="shared" si="73"/>
        <v>Motor 01</v>
      </c>
      <c r="AA382"/>
      <c r="AD382" s="13" t="s">
        <v>7</v>
      </c>
      <c r="AF382" t="str">
        <f t="shared" si="80"/>
        <v>Agitador  Motor</v>
      </c>
      <c r="AG382" s="28" t="str">
        <f>VLOOKUP(AF382,Imagens!$C$2:$D$42,2,FALSE)</f>
        <v>65e8e1a7e4bd4</v>
      </c>
      <c r="AH382" t="str">
        <f>_xlfn.CONCAT(Imagens!$H$2,'registo_ativo-CDs (1)'!AG382)</f>
        <v>assets/imagens/products/65e8e1a7e4bd4</v>
      </c>
      <c r="AI382" s="67">
        <v>45309</v>
      </c>
      <c r="AK382" s="32"/>
    </row>
    <row r="383" spans="1:37" ht="16.8" customHeight="1" x14ac:dyDescent="0.3">
      <c r="A383">
        <f t="shared" ref="A383:A437" si="83">LEN(B383)</f>
        <v>15</v>
      </c>
      <c r="B383" t="str">
        <f t="shared" si="78"/>
        <v>CD46HTH103CEN01</v>
      </c>
      <c r="C383" t="str">
        <f t="shared" si="79"/>
        <v>CD-MAC-HTH-AGI-CEN-01</v>
      </c>
      <c r="E383" t="s">
        <v>37</v>
      </c>
      <c r="F383" t="s">
        <v>46</v>
      </c>
      <c r="G383" t="s">
        <v>46</v>
      </c>
      <c r="H383" s="20" t="s">
        <v>30</v>
      </c>
      <c r="I383" t="s">
        <v>87</v>
      </c>
      <c r="J383">
        <f>VLOOKUP(H383,ID!$C$3:$D$100,2,FALSE)</f>
        <v>46</v>
      </c>
      <c r="K383" t="s">
        <v>138</v>
      </c>
      <c r="L383" t="str">
        <f>VLOOKUP(K383,Localizacoes!$E$3:$F$100,2,FALSE)</f>
        <v>HTH</v>
      </c>
      <c r="M383" t="str">
        <f>VLOOKUP(K383,ID!$E$3:$F$100,2,FALSE)</f>
        <v>HTH</v>
      </c>
      <c r="N383" t="s">
        <v>131</v>
      </c>
      <c r="O383" t="str">
        <f>VLOOKUP(N383,Localizacoes!$G$3:$H$100,2,FALSE)</f>
        <v>AGI</v>
      </c>
      <c r="P383">
        <f>VLOOKUP(N383,ID!$G$3:$H$100,2,FALSE)</f>
        <v>103</v>
      </c>
      <c r="Q383" t="s">
        <v>333</v>
      </c>
      <c r="R383" t="str">
        <f>VLOOKUP(Q383,Localizacoes!$I$3:$J$100,2,FALSE)</f>
        <v>CEN</v>
      </c>
      <c r="S383" t="str">
        <f>VLOOKUP(Q383,ID!$I$3:$J$100,2,FALSE)</f>
        <v>CEN</v>
      </c>
      <c r="T383" s="4" t="s">
        <v>182</v>
      </c>
      <c r="U383" t="s">
        <v>265</v>
      </c>
      <c r="Y383" t="s">
        <v>270</v>
      </c>
      <c r="Z383" t="str">
        <f t="shared" si="73"/>
        <v>Caixa de Engrenagem 01</v>
      </c>
      <c r="AA383"/>
      <c r="AD383" s="13" t="s">
        <v>7</v>
      </c>
      <c r="AF383" t="str">
        <f t="shared" si="80"/>
        <v>Agitador  Caixa de Engrenagem</v>
      </c>
      <c r="AG383" s="28" t="str">
        <f>VLOOKUP(AF383,Imagens!$C$2:$D$42,2,FALSE)</f>
        <v>65e8e1a7e4bd4</v>
      </c>
      <c r="AH383" t="str">
        <f>_xlfn.CONCAT(Imagens!$H$2,'registo_ativo-CDs (1)'!AG383)</f>
        <v>assets/imagens/products/65e8e1a7e4bd4</v>
      </c>
      <c r="AI383" s="67">
        <v>45309</v>
      </c>
      <c r="AK383" s="32"/>
    </row>
    <row r="384" spans="1:37" ht="16.8" customHeight="1" x14ac:dyDescent="0.3">
      <c r="A384">
        <f t="shared" si="83"/>
        <v>15</v>
      </c>
      <c r="B384" t="str">
        <f t="shared" si="78"/>
        <v>CD46SQE152QEA01</v>
      </c>
      <c r="C384" t="str">
        <f t="shared" si="79"/>
        <v>CD-MAC-SQE-QEL-QEA-01</v>
      </c>
      <c r="E384" t="s">
        <v>37</v>
      </c>
      <c r="F384" t="s">
        <v>46</v>
      </c>
      <c r="G384" t="s">
        <v>46</v>
      </c>
      <c r="H384" s="20" t="s">
        <v>30</v>
      </c>
      <c r="I384" t="s">
        <v>87</v>
      </c>
      <c r="J384">
        <f>VLOOKUP(H384,ID!$C$3:$D$100,2,FALSE)</f>
        <v>46</v>
      </c>
      <c r="K384" t="s">
        <v>494</v>
      </c>
      <c r="L384" t="str">
        <f>VLOOKUP(K384,Localizacoes!$E$3:$F$100,2,FALSE)</f>
        <v>SQE</v>
      </c>
      <c r="M384" t="str">
        <f>VLOOKUP(K384,ID!$E$3:$F$100,2,FALSE)</f>
        <v>SQE</v>
      </c>
      <c r="N384" t="s">
        <v>286</v>
      </c>
      <c r="O384" t="str">
        <f>VLOOKUP(N384,Localizacoes!$G$3:$H$100,2,FALSE)</f>
        <v>QEL</v>
      </c>
      <c r="P384">
        <f>VLOOKUP(N384,ID!$G$3:$H$100,2,FALSE)</f>
        <v>152</v>
      </c>
      <c r="Q384" t="s">
        <v>154</v>
      </c>
      <c r="R384" t="str">
        <f>VLOOKUP(Q384,Localizacoes!$I$3:$J$100,2,FALSE)</f>
        <v>QEA</v>
      </c>
      <c r="S384" t="str">
        <f>VLOOKUP(Q384,ID!$I$3:$J$100,2,FALSE)</f>
        <v>QEA</v>
      </c>
      <c r="T384" s="4" t="s">
        <v>182</v>
      </c>
      <c r="U384" t="s">
        <v>265</v>
      </c>
      <c r="Y384" t="s">
        <v>270</v>
      </c>
      <c r="Z384" t="str">
        <f t="shared" si="73"/>
        <v>Quadros Eléctricos de Arranque 01</v>
      </c>
      <c r="AA384"/>
      <c r="AD384" s="13" t="s">
        <v>267</v>
      </c>
      <c r="AF384" t="str">
        <f t="shared" si="80"/>
        <v>Quadro EléctricoQuadros Eléctricos de Arranque</v>
      </c>
      <c r="AG384" s="28" t="str">
        <f>VLOOKUP(AF384,Imagens!$C$2:$D$42,2,FALSE)</f>
        <v>65e8d2fa35c12</v>
      </c>
      <c r="AH384" t="str">
        <f>_xlfn.CONCAT(Imagens!$H$2,'registo_ativo-CDs (1)'!AG384)</f>
        <v>assets/imagens/products/65e8d2fa35c12</v>
      </c>
      <c r="AI384" s="67">
        <v>45365</v>
      </c>
      <c r="AK384" s="32"/>
    </row>
    <row r="385" spans="1:37" ht="16.8" customHeight="1" x14ac:dyDescent="0.3">
      <c r="A385">
        <f t="shared" si="83"/>
        <v>15</v>
      </c>
      <c r="B385" t="str">
        <f t="shared" si="78"/>
        <v>CD46SQE152QMT01</v>
      </c>
      <c r="C385" t="str">
        <f t="shared" si="79"/>
        <v>CD-MAC-SQE-QEL-QMT-01</v>
      </c>
      <c r="E385" t="s">
        <v>37</v>
      </c>
      <c r="F385" t="s">
        <v>46</v>
      </c>
      <c r="G385" t="s">
        <v>46</v>
      </c>
      <c r="H385" s="20" t="s">
        <v>30</v>
      </c>
      <c r="I385" t="s">
        <v>87</v>
      </c>
      <c r="J385">
        <f>VLOOKUP(H385,ID!$C$3:$D$100,2,FALSE)</f>
        <v>46</v>
      </c>
      <c r="K385" t="s">
        <v>494</v>
      </c>
      <c r="L385" t="str">
        <f>VLOOKUP(K385,Localizacoes!$E$3:$F$100,2,FALSE)</f>
        <v>SQE</v>
      </c>
      <c r="M385" t="str">
        <f>VLOOKUP(K385,ID!$E$3:$F$100,2,FALSE)</f>
        <v>SQE</v>
      </c>
      <c r="N385" t="s">
        <v>286</v>
      </c>
      <c r="O385" t="str">
        <f>VLOOKUP(N385,Localizacoes!$G$3:$H$100,2,FALSE)</f>
        <v>QEL</v>
      </c>
      <c r="P385">
        <f>VLOOKUP(N385,ID!$G$3:$H$100,2,FALSE)</f>
        <v>152</v>
      </c>
      <c r="Q385" t="s">
        <v>445</v>
      </c>
      <c r="R385" t="str">
        <f>VLOOKUP(Q385,Localizacoes!$I$3:$J$100,2,FALSE)</f>
        <v>QMT</v>
      </c>
      <c r="S385" t="str">
        <f>VLOOKUP(Q385,ID!$I$3:$J$100,2,FALSE)</f>
        <v>QMT</v>
      </c>
      <c r="T385" s="4" t="s">
        <v>182</v>
      </c>
      <c r="U385" t="s">
        <v>265</v>
      </c>
      <c r="Y385" t="s">
        <v>270</v>
      </c>
      <c r="Z385" t="str">
        <f t="shared" si="73"/>
        <v>Quadro de Media Tensão 01</v>
      </c>
      <c r="AA385"/>
      <c r="AD385" s="9" t="s">
        <v>267</v>
      </c>
      <c r="AF385" t="str">
        <f t="shared" si="80"/>
        <v>Quadro EléctricoQuadro de Media Tensão</v>
      </c>
      <c r="AG385" s="28" t="str">
        <f>VLOOKUP(AF385,Imagens!$C$2:$D$42,2,FALSE)</f>
        <v>65d1346bf3835</v>
      </c>
      <c r="AH385" t="str">
        <f>_xlfn.CONCAT(Imagens!$H$2,'registo_ativo-CDs (1)'!AG385)</f>
        <v>assets/imagens/products/65d1346bf3835</v>
      </c>
      <c r="AI385" s="67">
        <v>45365</v>
      </c>
      <c r="AK385" s="32"/>
    </row>
    <row r="386" spans="1:37" ht="16.8" customHeight="1" x14ac:dyDescent="0.3">
      <c r="A386">
        <f t="shared" si="83"/>
        <v>15</v>
      </c>
      <c r="B386" t="str">
        <f t="shared" si="78"/>
        <v>CD46SQE152QBT02</v>
      </c>
      <c r="C386" t="str">
        <f t="shared" si="79"/>
        <v>CD-MAC-SQE-QEL-QBT-02</v>
      </c>
      <c r="E386" t="s">
        <v>37</v>
      </c>
      <c r="F386" t="s">
        <v>46</v>
      </c>
      <c r="G386" t="s">
        <v>46</v>
      </c>
      <c r="H386" s="20" t="s">
        <v>30</v>
      </c>
      <c r="I386" t="s">
        <v>87</v>
      </c>
      <c r="J386">
        <f>VLOOKUP(H386,ID!$C$3:$D$100,2,FALSE)</f>
        <v>46</v>
      </c>
      <c r="K386" t="s">
        <v>494</v>
      </c>
      <c r="L386" t="str">
        <f>VLOOKUP(K386,Localizacoes!$E$3:$F$100,2,FALSE)</f>
        <v>SQE</v>
      </c>
      <c r="M386" t="str">
        <f>VLOOKUP(K386,ID!$E$3:$F$100,2,FALSE)</f>
        <v>SQE</v>
      </c>
      <c r="N386" t="s">
        <v>286</v>
      </c>
      <c r="O386" t="str">
        <f>VLOOKUP(N386,Localizacoes!$G$3:$H$100,2,FALSE)</f>
        <v>QEL</v>
      </c>
      <c r="P386">
        <f>VLOOKUP(N386,ID!$G$3:$H$100,2,FALSE)</f>
        <v>152</v>
      </c>
      <c r="Q386" t="s">
        <v>443</v>
      </c>
      <c r="R386" t="str">
        <f>VLOOKUP(Q386,Localizacoes!$I$3:$J$100,2,FALSE)</f>
        <v>QBT</v>
      </c>
      <c r="S386" t="str">
        <f>VLOOKUP(Q386,ID!$I$3:$J$100,2,FALSE)</f>
        <v>QBT</v>
      </c>
      <c r="T386" s="4" t="s">
        <v>186</v>
      </c>
      <c r="U386" t="s">
        <v>265</v>
      </c>
      <c r="X386" t="s">
        <v>6</v>
      </c>
      <c r="Y386" t="s">
        <v>270</v>
      </c>
      <c r="Z386" t="str">
        <f t="shared" ref="Z386:Z455" si="84">Q386&amp;" "&amp; T386</f>
        <v>Quadro de Baixa Tensão 02</v>
      </c>
      <c r="AA386"/>
      <c r="AD386" s="9" t="s">
        <v>267</v>
      </c>
      <c r="AF386" t="str">
        <f t="shared" si="80"/>
        <v>Quadro EléctricoQuadro de Baixa Tensão</v>
      </c>
      <c r="AG386" s="28" t="str">
        <f>VLOOKUP(AF386,Imagens!$C$2:$D$42,2,FALSE)</f>
        <v>65d1346bf3835</v>
      </c>
      <c r="AH386" t="str">
        <f>_xlfn.CONCAT(Imagens!$H$2,'registo_ativo-CDs (1)'!AG386)</f>
        <v>assets/imagens/products/65d1346bf3835</v>
      </c>
      <c r="AI386" s="67">
        <v>45365</v>
      </c>
      <c r="AK386" s="32"/>
    </row>
    <row r="387" spans="1:37" ht="16.8" customHeight="1" x14ac:dyDescent="0.3">
      <c r="A387">
        <f t="shared" si="83"/>
        <v>15</v>
      </c>
      <c r="B387" t="str">
        <f t="shared" si="78"/>
        <v>CD46SQE152QBT03</v>
      </c>
      <c r="C387" t="str">
        <f t="shared" si="79"/>
        <v>CD-MAC-SQE-QEL-QBT-03</v>
      </c>
      <c r="E387" t="s">
        <v>37</v>
      </c>
      <c r="F387" t="s">
        <v>46</v>
      </c>
      <c r="G387" t="s">
        <v>46</v>
      </c>
      <c r="H387" s="20" t="s">
        <v>30</v>
      </c>
      <c r="I387" t="s">
        <v>87</v>
      </c>
      <c r="J387">
        <f>VLOOKUP(H387,ID!$C$3:$D$100,2,FALSE)</f>
        <v>46</v>
      </c>
      <c r="K387" t="s">
        <v>494</v>
      </c>
      <c r="L387" t="str">
        <f>VLOOKUP(K387,Localizacoes!$E$3:$F$100,2,FALSE)</f>
        <v>SQE</v>
      </c>
      <c r="M387" t="str">
        <f>VLOOKUP(K387,ID!$E$3:$F$100,2,FALSE)</f>
        <v>SQE</v>
      </c>
      <c r="N387" t="s">
        <v>286</v>
      </c>
      <c r="O387" t="str">
        <f>VLOOKUP(N387,Localizacoes!$G$3:$H$100,2,FALSE)</f>
        <v>QEL</v>
      </c>
      <c r="P387">
        <f>VLOOKUP(N387,ID!$G$3:$H$100,2,FALSE)</f>
        <v>152</v>
      </c>
      <c r="Q387" t="s">
        <v>443</v>
      </c>
      <c r="R387" t="str">
        <f>VLOOKUP(Q387,Localizacoes!$I$3:$J$100,2,FALSE)</f>
        <v>QBT</v>
      </c>
      <c r="S387" t="str">
        <f>VLOOKUP(Q387,ID!$I$3:$J$100,2,FALSE)</f>
        <v>QBT</v>
      </c>
      <c r="T387" s="4" t="s">
        <v>187</v>
      </c>
      <c r="U387" t="s">
        <v>265</v>
      </c>
      <c r="Z387" t="str">
        <f t="shared" si="84"/>
        <v>Quadro de Baixa Tensão 03</v>
      </c>
      <c r="AA387"/>
      <c r="AD387" s="9" t="s">
        <v>267</v>
      </c>
      <c r="AF387" t="str">
        <f t="shared" si="80"/>
        <v>Quadro EléctricoQuadro de Baixa Tensão</v>
      </c>
      <c r="AG387" s="28" t="str">
        <f>VLOOKUP(AF387,Imagens!$C$2:$D$42,2,FALSE)</f>
        <v>65d1346bf3835</v>
      </c>
      <c r="AH387" t="str">
        <f>_xlfn.CONCAT(Imagens!$H$2,'registo_ativo-CDs (1)'!AG387)</f>
        <v>assets/imagens/products/65d1346bf3835</v>
      </c>
      <c r="AI387" s="67">
        <v>45365</v>
      </c>
      <c r="AK387" s="32"/>
    </row>
    <row r="388" spans="1:37" ht="16.8" customHeight="1" x14ac:dyDescent="0.3">
      <c r="A388">
        <f t="shared" si="83"/>
        <v>15</v>
      </c>
      <c r="B388" t="str">
        <f t="shared" si="78"/>
        <v>CD46ILU164ILL01</v>
      </c>
      <c r="C388" t="str">
        <f t="shared" si="79"/>
        <v>CD-MAC-ILU-SIL-ILL-01</v>
      </c>
      <c r="E388" t="s">
        <v>37</v>
      </c>
      <c r="F388" t="s">
        <v>46</v>
      </c>
      <c r="G388" t="s">
        <v>46</v>
      </c>
      <c r="H388" s="20" t="s">
        <v>30</v>
      </c>
      <c r="I388" t="s">
        <v>87</v>
      </c>
      <c r="J388">
        <f>VLOOKUP(H388,ID!$C$3:$D$100,2,FALSE)</f>
        <v>46</v>
      </c>
      <c r="K388" t="s">
        <v>141</v>
      </c>
      <c r="L388" t="str">
        <f>VLOOKUP(K388,Localizacoes!$E$3:$F$100,2,FALSE)</f>
        <v>ILU</v>
      </c>
      <c r="M388" t="str">
        <f>VLOOKUP(K388,ID!$E$3:$F$100,2,FALSE)</f>
        <v>ILU</v>
      </c>
      <c r="N388" t="s">
        <v>688</v>
      </c>
      <c r="O388" t="str">
        <f>VLOOKUP(N388,Localizacoes!$G$3:$H$100,2,FALSE)</f>
        <v>SIL</v>
      </c>
      <c r="P388">
        <f>VLOOKUP(N388,ID!$G$3:$H$100,2,FALSE)</f>
        <v>164</v>
      </c>
      <c r="Q388" t="s">
        <v>141</v>
      </c>
      <c r="R388" t="str">
        <f>VLOOKUP(Q388,Localizacoes!$I$3:$J$100,2,FALSE)</f>
        <v>ILL</v>
      </c>
      <c r="S388" t="str">
        <f>VLOOKUP(Q388,ID!$I$3:$J$100,2,FALSE)</f>
        <v>ILL</v>
      </c>
      <c r="T388" s="4" t="s">
        <v>182</v>
      </c>
      <c r="U388" t="s">
        <v>265</v>
      </c>
      <c r="Y388" t="s">
        <v>270</v>
      </c>
      <c r="Z388" t="str">
        <f t="shared" si="84"/>
        <v>Iluminação 01</v>
      </c>
      <c r="AA388"/>
      <c r="AD388" s="9" t="s">
        <v>267</v>
      </c>
      <c r="AF388" t="str">
        <f t="shared" si="80"/>
        <v>Sistema de IluminaçãoIluminação</v>
      </c>
      <c r="AG388" s="28" t="str">
        <f>VLOOKUP(AF388,Imagens!$C$2:$D$42,2,FALSE)</f>
        <v>65e8e579bfe6c</v>
      </c>
      <c r="AH388" t="str">
        <f>_xlfn.CONCAT(Imagens!$H$2,'registo_ativo-CDs (1)'!AG388)</f>
        <v>assets/imagens/products/65e8e579bfe6c</v>
      </c>
      <c r="AI388" s="67">
        <v>45309</v>
      </c>
      <c r="AK388" s="32"/>
    </row>
    <row r="389" spans="1:37" ht="16.8" customHeight="1" x14ac:dyDescent="0.3">
      <c r="A389">
        <f t="shared" si="83"/>
        <v>15</v>
      </c>
      <c r="B389" t="str">
        <f t="shared" si="78"/>
        <v>CD46CAN152CAN01</v>
      </c>
      <c r="C389" t="str">
        <f t="shared" si="79"/>
        <v>CD-MAC-CAN-QEL-CAN-01</v>
      </c>
      <c r="E389" t="s">
        <v>37</v>
      </c>
      <c r="F389" t="s">
        <v>46</v>
      </c>
      <c r="G389" t="s">
        <v>46</v>
      </c>
      <c r="H389" s="20" t="s">
        <v>30</v>
      </c>
      <c r="I389" t="s">
        <v>87</v>
      </c>
      <c r="J389">
        <f>VLOOKUP(H389,ID!$C$3:$D$100,2,FALSE)</f>
        <v>46</v>
      </c>
      <c r="K389" t="s">
        <v>101</v>
      </c>
      <c r="L389" t="str">
        <f>VLOOKUP(K389,Localizacoes!$E$3:$F$100,2,FALSE)</f>
        <v>CAN</v>
      </c>
      <c r="M389" t="str">
        <f>VLOOKUP(K389,ID!$E$3:$F$100,2,FALSE)</f>
        <v>CAN</v>
      </c>
      <c r="N389" t="s">
        <v>286</v>
      </c>
      <c r="O389" t="str">
        <f>VLOOKUP(N389,Localizacoes!$G$3:$H$100,2,FALSE)</f>
        <v>QEL</v>
      </c>
      <c r="P389">
        <f>VLOOKUP(N389,ID!$G$3:$H$100,2,FALSE)</f>
        <v>152</v>
      </c>
      <c r="Q389" t="s">
        <v>101</v>
      </c>
      <c r="R389" t="str">
        <f>VLOOKUP(Q389,Localizacoes!$I$3:$J$100,2,FALSE)</f>
        <v>CAN</v>
      </c>
      <c r="S389" t="str">
        <f>VLOOKUP(Q389,ID!$I$3:$J$100,2,FALSE)</f>
        <v>CAN</v>
      </c>
      <c r="T389" s="4" t="s">
        <v>182</v>
      </c>
      <c r="U389" t="s">
        <v>265</v>
      </c>
      <c r="Y389" t="s">
        <v>271</v>
      </c>
      <c r="Z389" t="str">
        <f t="shared" si="84"/>
        <v>Canalização Eléctrica 01</v>
      </c>
      <c r="AA389"/>
      <c r="AD389" s="13" t="s">
        <v>266</v>
      </c>
      <c r="AF389" t="str">
        <f t="shared" si="80"/>
        <v>Quadro EléctricoCanalização Eléctrica</v>
      </c>
      <c r="AG389" s="28" t="str">
        <f>VLOOKUP(AF389,Imagens!$C$2:$D$42,2,FALSE)</f>
        <v>65e8e4bb71249</v>
      </c>
      <c r="AH389" t="str">
        <f>_xlfn.CONCAT(Imagens!$H$2,'registo_ativo-CDs (1)'!AG389)</f>
        <v>assets/imagens/products/65e8e4bb71249</v>
      </c>
      <c r="AI389" s="67">
        <v>45449</v>
      </c>
      <c r="AK389" s="32"/>
    </row>
    <row r="390" spans="1:37" ht="16.8" customHeight="1" x14ac:dyDescent="0.3">
      <c r="A390">
        <f t="shared" si="83"/>
        <v>15</v>
      </c>
      <c r="B390" t="str">
        <f t="shared" si="78"/>
        <v>CD46SQE152QEI01</v>
      </c>
      <c r="C390" t="str">
        <f t="shared" si="79"/>
        <v>CD-MAC-SQE-QEL-QEI-01</v>
      </c>
      <c r="E390" t="s">
        <v>37</v>
      </c>
      <c r="F390" t="s">
        <v>46</v>
      </c>
      <c r="G390" t="s">
        <v>46</v>
      </c>
      <c r="H390" s="20" t="s">
        <v>30</v>
      </c>
      <c r="I390" t="s">
        <v>87</v>
      </c>
      <c r="J390">
        <f>VLOOKUP(H390,ID!$C$3:$D$100,2,FALSE)</f>
        <v>46</v>
      </c>
      <c r="K390" t="s">
        <v>494</v>
      </c>
      <c r="L390" t="str">
        <f>VLOOKUP(K390,Localizacoes!$E$3:$F$100,2,FALSE)</f>
        <v>SQE</v>
      </c>
      <c r="M390" t="str">
        <f>VLOOKUP(K390,ID!$E$3:$F$100,2,FALSE)</f>
        <v>SQE</v>
      </c>
      <c r="N390" t="s">
        <v>286</v>
      </c>
      <c r="O390" t="str">
        <f>VLOOKUP(N390,Localizacoes!$G$3:$H$100,2,FALSE)</f>
        <v>QEL</v>
      </c>
      <c r="P390">
        <f>VLOOKUP(N390,ID!$G$3:$H$100,2,FALSE)</f>
        <v>152</v>
      </c>
      <c r="Q390" t="s">
        <v>446</v>
      </c>
      <c r="R390" t="str">
        <f>VLOOKUP(Q390,Localizacoes!$I$3:$J$100,2,FALSE)</f>
        <v>QEI</v>
      </c>
      <c r="S390" t="str">
        <f>VLOOKUP(Q390,ID!$I$3:$J$100,2,FALSE)</f>
        <v>QEI</v>
      </c>
      <c r="T390" s="4" t="s">
        <v>182</v>
      </c>
      <c r="U390" t="s">
        <v>265</v>
      </c>
      <c r="Z390" t="str">
        <f t="shared" si="84"/>
        <v>Quadro Eléctrico de Instrumentação 01</v>
      </c>
      <c r="AA390"/>
      <c r="AD390" s="13" t="s">
        <v>267</v>
      </c>
      <c r="AF390" t="str">
        <f t="shared" si="80"/>
        <v>Quadro EléctricoQuadro Eléctrico de Instrumentação</v>
      </c>
      <c r="AG390" s="28" t="str">
        <f>VLOOKUP(AF390,Imagens!$C$2:$D$42,2,FALSE)</f>
        <v>65d1346bf3835</v>
      </c>
      <c r="AH390" t="str">
        <f>_xlfn.CONCAT(Imagens!$H$2,'registo_ativo-CDs (1)'!AG390)</f>
        <v>assets/imagens/products/65d1346bf3835</v>
      </c>
      <c r="AI390" s="67">
        <v>45365</v>
      </c>
      <c r="AK390" s="32"/>
    </row>
    <row r="391" spans="1:37" ht="16.8" customHeight="1" x14ac:dyDescent="0.3">
      <c r="A391">
        <f t="shared" si="83"/>
        <v>15</v>
      </c>
      <c r="B391" t="str">
        <f t="shared" si="78"/>
        <v>CD46SB1165TRA01</v>
      </c>
      <c r="C391" t="str">
        <f t="shared" si="79"/>
        <v>CD-MAC-SB1-SUB-TRA-01</v>
      </c>
      <c r="E391" t="s">
        <v>37</v>
      </c>
      <c r="F391" t="s">
        <v>46</v>
      </c>
      <c r="G391" t="s">
        <v>46</v>
      </c>
      <c r="H391" s="20" t="s">
        <v>30</v>
      </c>
      <c r="I391" t="s">
        <v>87</v>
      </c>
      <c r="J391">
        <f>VLOOKUP(H391,ID!$C$3:$D$100,2,FALSE)</f>
        <v>46</v>
      </c>
      <c r="K391" t="s">
        <v>127</v>
      </c>
      <c r="L391" t="str">
        <f>VLOOKUP(K391,Localizacoes!$E$3:$F$100,2,FALSE)</f>
        <v>SB1</v>
      </c>
      <c r="M391" t="str">
        <f>VLOOKUP(K391,ID!$E$3:$F$100,2,FALSE)</f>
        <v>SB1</v>
      </c>
      <c r="N391" t="s">
        <v>112</v>
      </c>
      <c r="O391" t="str">
        <f>VLOOKUP(N391,Localizacoes!$G$3:$H$100,2,FALSE)</f>
        <v>SUB</v>
      </c>
      <c r="P391">
        <f>VLOOKUP(N391,ID!$G$3:$H$100,2,FALSE)</f>
        <v>165</v>
      </c>
      <c r="Q391" t="s">
        <v>176</v>
      </c>
      <c r="R391" t="str">
        <f>VLOOKUP(Q391,Localizacoes!$I$3:$J$100,2,FALSE)</f>
        <v>TRA</v>
      </c>
      <c r="S391" t="str">
        <f>VLOOKUP(Q391,ID!$I$3:$J$100,2,FALSE)</f>
        <v>TRA</v>
      </c>
      <c r="T391" s="4" t="s">
        <v>182</v>
      </c>
      <c r="U391" t="s">
        <v>265</v>
      </c>
      <c r="Z391" t="str">
        <f t="shared" si="84"/>
        <v>Transformador 01</v>
      </c>
      <c r="AA391"/>
      <c r="AD391" s="13" t="s">
        <v>267</v>
      </c>
      <c r="AF391" t="str">
        <f t="shared" si="80"/>
        <v>SubestaçãoTransformador</v>
      </c>
      <c r="AG391" s="28" t="str">
        <f>VLOOKUP(AF391,Imagens!$C$2:$D$42,2,FALSE)</f>
        <v>65e8d98d73a3d</v>
      </c>
      <c r="AH391" t="str">
        <f>_xlfn.CONCAT(Imagens!$H$2,'registo_ativo-CDs (1)'!AG391)</f>
        <v>assets/imagens/products/65e8d98d73a3d</v>
      </c>
      <c r="AI391" s="67">
        <v>45309</v>
      </c>
      <c r="AK391" s="32"/>
    </row>
    <row r="392" spans="1:37" ht="16.8" customHeight="1" x14ac:dyDescent="0.3">
      <c r="A392">
        <f t="shared" si="83"/>
        <v>15</v>
      </c>
      <c r="B392" t="str">
        <f t="shared" si="78"/>
        <v>CD47BBG131BOM01</v>
      </c>
      <c r="C392" t="str">
        <f t="shared" si="79"/>
        <v>CD-MACT-BBG-EBC-BOM-01</v>
      </c>
      <c r="E392" t="s">
        <v>37</v>
      </c>
      <c r="F392" t="s">
        <v>46</v>
      </c>
      <c r="G392" t="s">
        <v>46</v>
      </c>
      <c r="H392" s="20" t="s">
        <v>250</v>
      </c>
      <c r="I392" t="s">
        <v>88</v>
      </c>
      <c r="J392">
        <f>VLOOKUP(H392,ID!$C$3:$D$100,2,FALSE)</f>
        <v>47</v>
      </c>
      <c r="K392" t="s">
        <v>274</v>
      </c>
      <c r="L392" t="str">
        <f>VLOOKUP(K392,Localizacoes!$E$3:$F$100,2,FALSE)</f>
        <v>BBG</v>
      </c>
      <c r="M392" t="str">
        <f>VLOOKUP(K392,ID!$E$3:$F$100,2,FALSE)</f>
        <v>BBG</v>
      </c>
      <c r="N392" t="s">
        <v>704</v>
      </c>
      <c r="O392" t="str">
        <f>VLOOKUP(N392,Localizacoes!$G$3:$H$100,2,FALSE)</f>
        <v>EBC</v>
      </c>
      <c r="P392">
        <f>VLOOKUP(N392,ID!$G$3:$H$100,2,FALSE)</f>
        <v>131</v>
      </c>
      <c r="Q392" t="s">
        <v>150</v>
      </c>
      <c r="R392" t="str">
        <f>VLOOKUP(Q392,Localizacoes!$I$3:$J$100,2,FALSE)</f>
        <v>BOM</v>
      </c>
      <c r="S392" t="str">
        <f>VLOOKUP(Q392,ID!$I$3:$J$100,2,FALSE)</f>
        <v>BOM</v>
      </c>
      <c r="T392" s="4" t="s">
        <v>182</v>
      </c>
      <c r="U392" t="s">
        <v>264</v>
      </c>
      <c r="Y392" t="s">
        <v>270</v>
      </c>
      <c r="Z392" t="str">
        <f t="shared" si="84"/>
        <v>Bomba 01</v>
      </c>
      <c r="AA392"/>
      <c r="AD392" s="13" t="s">
        <v>7</v>
      </c>
      <c r="AF392" t="str">
        <f t="shared" si="80"/>
        <v>Electrobomba centrífugaBomba</v>
      </c>
      <c r="AG392" s="28" t="str">
        <f>VLOOKUP(AF392,Imagens!$C$2:$D$42,2,FALSE)</f>
        <v>65e96125c1d11</v>
      </c>
      <c r="AH392" t="str">
        <f>_xlfn.CONCAT(Imagens!$H$2,'registo_ativo-CDs (1)'!AG392)</f>
        <v>assets/imagens/products/65e96125c1d11</v>
      </c>
      <c r="AI392" s="67">
        <v>45323</v>
      </c>
      <c r="AK392" s="32"/>
    </row>
    <row r="393" spans="1:37" ht="16.8" customHeight="1" x14ac:dyDescent="0.3">
      <c r="A393">
        <f t="shared" si="83"/>
        <v>15</v>
      </c>
      <c r="B393" t="str">
        <f t="shared" si="78"/>
        <v>CD47BBG131MOT01</v>
      </c>
      <c r="C393" t="str">
        <f t="shared" si="79"/>
        <v>CD-MACT-BBG-EBC-MOT-01</v>
      </c>
      <c r="E393" t="s">
        <v>37</v>
      </c>
      <c r="F393" t="s">
        <v>46</v>
      </c>
      <c r="G393" t="s">
        <v>46</v>
      </c>
      <c r="H393" s="20" t="s">
        <v>250</v>
      </c>
      <c r="I393" t="s">
        <v>88</v>
      </c>
      <c r="J393">
        <f>VLOOKUP(H393,ID!$C$3:$D$100,2,FALSE)</f>
        <v>47</v>
      </c>
      <c r="K393" t="s">
        <v>274</v>
      </c>
      <c r="L393" t="str">
        <f>VLOOKUP(K393,Localizacoes!$E$3:$F$100,2,FALSE)</f>
        <v>BBG</v>
      </c>
      <c r="M393" t="str">
        <f>VLOOKUP(K393,ID!$E$3:$F$100,2,FALSE)</f>
        <v>BBG</v>
      </c>
      <c r="N393" t="s">
        <v>704</v>
      </c>
      <c r="O393" t="str">
        <f>VLOOKUP(N393,Localizacoes!$G$3:$H$100,2,FALSE)</f>
        <v>EBC</v>
      </c>
      <c r="P393">
        <f>VLOOKUP(N393,ID!$G$3:$H$100,2,FALSE)</f>
        <v>131</v>
      </c>
      <c r="Q393" t="s">
        <v>21</v>
      </c>
      <c r="R393" t="str">
        <f>VLOOKUP(Q393,Localizacoes!$I$3:$J$100,2,FALSE)</f>
        <v>MOT</v>
      </c>
      <c r="S393" t="str">
        <f>VLOOKUP(Q393,ID!$I$3:$J$100,2,FALSE)</f>
        <v>MOT</v>
      </c>
      <c r="T393" s="4" t="s">
        <v>182</v>
      </c>
      <c r="U393" t="s">
        <v>265</v>
      </c>
      <c r="X393" t="s">
        <v>6</v>
      </c>
      <c r="Y393" t="s">
        <v>270</v>
      </c>
      <c r="Z393" t="str">
        <f t="shared" si="84"/>
        <v>Motor 01</v>
      </c>
      <c r="AA393"/>
      <c r="AD393" s="13" t="s">
        <v>7</v>
      </c>
      <c r="AF393" t="str">
        <f t="shared" si="80"/>
        <v>Electrobomba centrífugaMotor</v>
      </c>
      <c r="AG393" s="28" t="str">
        <f>VLOOKUP(AF393,Imagens!$C$2:$D$42,2,FALSE)</f>
        <v>65d04210323a4</v>
      </c>
      <c r="AH393" t="str">
        <f>_xlfn.CONCAT(Imagens!$H$2,'registo_ativo-CDs (1)'!AG393)</f>
        <v>assets/imagens/products/65d04210323a4</v>
      </c>
      <c r="AI393" s="67">
        <v>45323</v>
      </c>
      <c r="AK393" s="32"/>
    </row>
    <row r="394" spans="1:37" ht="16.8" customHeight="1" x14ac:dyDescent="0.3">
      <c r="A394">
        <f t="shared" si="83"/>
        <v>15</v>
      </c>
      <c r="B394" t="str">
        <f t="shared" si="78"/>
        <v>CD47BBG152QEA01</v>
      </c>
      <c r="C394" t="str">
        <f t="shared" si="79"/>
        <v>CD-MACT-BBG-QEL-QEA-01</v>
      </c>
      <c r="E394" t="s">
        <v>37</v>
      </c>
      <c r="F394" t="s">
        <v>46</v>
      </c>
      <c r="G394" t="s">
        <v>46</v>
      </c>
      <c r="H394" s="20" t="s">
        <v>250</v>
      </c>
      <c r="I394" t="s">
        <v>88</v>
      </c>
      <c r="J394">
        <f>VLOOKUP(H394,ID!$C$3:$D$100,2,FALSE)</f>
        <v>47</v>
      </c>
      <c r="K394" t="s">
        <v>274</v>
      </c>
      <c r="L394" t="str">
        <f>VLOOKUP(K394,Localizacoes!$E$3:$F$100,2,FALSE)</f>
        <v>BBG</v>
      </c>
      <c r="M394" t="str">
        <f>VLOOKUP(K394,ID!$E$3:$F$100,2,FALSE)</f>
        <v>BBG</v>
      </c>
      <c r="N394" t="s">
        <v>286</v>
      </c>
      <c r="O394" t="str">
        <f>VLOOKUP(N394,Localizacoes!$G$3:$H$100,2,FALSE)</f>
        <v>QEL</v>
      </c>
      <c r="P394">
        <f>VLOOKUP(N394,ID!$G$3:$H$100,2,FALSE)</f>
        <v>152</v>
      </c>
      <c r="Q394" t="s">
        <v>154</v>
      </c>
      <c r="R394" t="str">
        <f>VLOOKUP(Q394,Localizacoes!$I$3:$J$100,2,FALSE)</f>
        <v>QEA</v>
      </c>
      <c r="S394" t="str">
        <f>VLOOKUP(Q394,ID!$I$3:$J$100,2,FALSE)</f>
        <v>QEA</v>
      </c>
      <c r="T394" s="4" t="s">
        <v>182</v>
      </c>
      <c r="U394" t="s">
        <v>265</v>
      </c>
      <c r="Z394" t="str">
        <f t="shared" si="84"/>
        <v>Quadros Eléctricos de Arranque 01</v>
      </c>
      <c r="AA394"/>
      <c r="AD394" s="13" t="s">
        <v>267</v>
      </c>
      <c r="AF394" t="str">
        <f t="shared" si="80"/>
        <v>Quadro EléctricoQuadros Eléctricos de Arranque</v>
      </c>
      <c r="AG394" s="28" t="str">
        <f>VLOOKUP(AF394,Imagens!$C$2:$D$42,2,FALSE)</f>
        <v>65e8d2fa35c12</v>
      </c>
      <c r="AH394" t="str">
        <f>_xlfn.CONCAT(Imagens!$H$2,'registo_ativo-CDs (1)'!AG394)</f>
        <v>assets/imagens/products/65e8d2fa35c12</v>
      </c>
      <c r="AI394" s="67">
        <v>45379</v>
      </c>
      <c r="AK394" s="32"/>
    </row>
    <row r="395" spans="1:37" ht="16.8" customHeight="1" x14ac:dyDescent="0.3">
      <c r="A395">
        <f t="shared" si="83"/>
        <v>15</v>
      </c>
      <c r="B395" t="str">
        <f t="shared" si="78"/>
        <v>CD47BBG131VSU01</v>
      </c>
      <c r="C395" t="str">
        <f t="shared" si="79"/>
        <v>CD-MACT-BBG-EBC-VSU-01</v>
      </c>
      <c r="E395" t="s">
        <v>37</v>
      </c>
      <c r="F395" t="s">
        <v>46</v>
      </c>
      <c r="G395" t="s">
        <v>46</v>
      </c>
      <c r="H395" s="20" t="s">
        <v>250</v>
      </c>
      <c r="I395" t="s">
        <v>88</v>
      </c>
      <c r="J395">
        <f>VLOOKUP(H395,ID!$C$3:$D$100,2,FALSE)</f>
        <v>47</v>
      </c>
      <c r="K395" t="s">
        <v>274</v>
      </c>
      <c r="L395" t="str">
        <f>VLOOKUP(K395,Localizacoes!$E$3:$F$100,2,FALSE)</f>
        <v>BBG</v>
      </c>
      <c r="M395" t="str">
        <f>VLOOKUP(K395,ID!$E$3:$F$100,2,FALSE)</f>
        <v>BBG</v>
      </c>
      <c r="N395" t="s">
        <v>704</v>
      </c>
      <c r="O395" t="str">
        <f>VLOOKUP(N395,Localizacoes!$G$3:$H$100,2,FALSE)</f>
        <v>EBC</v>
      </c>
      <c r="P395">
        <f>VLOOKUP(N395,ID!$G$3:$H$100,2,FALSE)</f>
        <v>131</v>
      </c>
      <c r="Q395" t="s">
        <v>276</v>
      </c>
      <c r="R395" t="str">
        <f>VLOOKUP(Q395,Localizacoes!$I$3:$J$100,2,FALSE)</f>
        <v>VSU</v>
      </c>
      <c r="S395" t="str">
        <f>VLOOKUP(Q395,ID!$I$3:$J$100,2,FALSE)</f>
        <v>VSU</v>
      </c>
      <c r="T395" s="4" t="s">
        <v>182</v>
      </c>
      <c r="U395" t="s">
        <v>264</v>
      </c>
      <c r="Z395" t="str">
        <f t="shared" si="84"/>
        <v>Válvula Sucção 01</v>
      </c>
      <c r="AA395"/>
      <c r="AD395" s="13" t="s">
        <v>267</v>
      </c>
      <c r="AF395" t="str">
        <f t="shared" si="80"/>
        <v>Electrobomba centrífugaVálvula Sucção</v>
      </c>
      <c r="AG395" s="28" t="str">
        <f>VLOOKUP(AF395,Imagens!$C$2:$D$42,2,FALSE)</f>
        <v>65e8cda0676b7</v>
      </c>
      <c r="AH395" t="str">
        <f>_xlfn.CONCAT(Imagens!$H$2,'registo_ativo-CDs (1)'!AG395)</f>
        <v>assets/imagens/products/65e8cda0676b7</v>
      </c>
      <c r="AI395" s="67">
        <v>45379</v>
      </c>
      <c r="AK395" s="32"/>
    </row>
    <row r="396" spans="1:37" ht="16.8" customHeight="1" x14ac:dyDescent="0.3">
      <c r="A396">
        <f t="shared" si="83"/>
        <v>15</v>
      </c>
      <c r="B396" t="str">
        <f t="shared" si="78"/>
        <v>CD47BBG131VDE01</v>
      </c>
      <c r="C396" t="str">
        <f t="shared" si="79"/>
        <v>CD-MACT-BBG-EBC-VDE-01</v>
      </c>
      <c r="E396" t="s">
        <v>37</v>
      </c>
      <c r="F396" t="s">
        <v>46</v>
      </c>
      <c r="G396" t="s">
        <v>46</v>
      </c>
      <c r="H396" s="20" t="s">
        <v>250</v>
      </c>
      <c r="I396" t="s">
        <v>88</v>
      </c>
      <c r="J396">
        <f>VLOOKUP(H396,ID!$C$3:$D$100,2,FALSE)</f>
        <v>47</v>
      </c>
      <c r="K396" t="s">
        <v>274</v>
      </c>
      <c r="L396" t="str">
        <f>VLOOKUP(K396,Localizacoes!$E$3:$F$100,2,FALSE)</f>
        <v>BBG</v>
      </c>
      <c r="M396" t="str">
        <f>VLOOKUP(K396,ID!$E$3:$F$100,2,FALSE)</f>
        <v>BBG</v>
      </c>
      <c r="N396" t="s">
        <v>704</v>
      </c>
      <c r="O396" t="str">
        <f>VLOOKUP(N396,Localizacoes!$G$3:$H$100,2,FALSE)</f>
        <v>EBC</v>
      </c>
      <c r="P396">
        <f>VLOOKUP(N396,ID!$G$3:$H$100,2,FALSE)</f>
        <v>131</v>
      </c>
      <c r="Q396" t="s">
        <v>279</v>
      </c>
      <c r="R396" t="str">
        <f>VLOOKUP(Q396,Localizacoes!$I$3:$J$100,2,FALSE)</f>
        <v>VDE</v>
      </c>
      <c r="S396" t="str">
        <f>VLOOKUP(Q396,ID!$I$3:$J$100,2,FALSE)</f>
        <v>VDE</v>
      </c>
      <c r="T396" s="4" t="s">
        <v>182</v>
      </c>
      <c r="U396" t="s">
        <v>264</v>
      </c>
      <c r="X396" t="s">
        <v>273</v>
      </c>
      <c r="Y396" t="s">
        <v>270</v>
      </c>
      <c r="Z396" t="str">
        <f t="shared" si="84"/>
        <v>Válvula Descarga 01</v>
      </c>
      <c r="AA396"/>
      <c r="AD396" s="13" t="s">
        <v>267</v>
      </c>
      <c r="AF396" t="str">
        <f t="shared" si="80"/>
        <v>Electrobomba centrífugaVálvula Descarga</v>
      </c>
      <c r="AG396" s="28" t="str">
        <f>VLOOKUP(AF396,Imagens!$C$2:$D$42,2,FALSE)</f>
        <v>65e8cda0676b7</v>
      </c>
      <c r="AH396" t="str">
        <f>_xlfn.CONCAT(Imagens!$H$2,'registo_ativo-CDs (1)'!AG396)</f>
        <v>assets/imagens/products/65e8cda0676b7</v>
      </c>
      <c r="AI396" s="67">
        <v>45379</v>
      </c>
      <c r="AK396" s="32"/>
    </row>
    <row r="397" spans="1:37" ht="16.8" customHeight="1" x14ac:dyDescent="0.3">
      <c r="A397">
        <f t="shared" si="83"/>
        <v>15</v>
      </c>
      <c r="B397" t="str">
        <f t="shared" si="78"/>
        <v>CD47BBG131BOM02</v>
      </c>
      <c r="C397" t="str">
        <f t="shared" si="79"/>
        <v>CD-MACT-BBG-EBC-BOM-02</v>
      </c>
      <c r="E397" t="s">
        <v>37</v>
      </c>
      <c r="F397" t="s">
        <v>46</v>
      </c>
      <c r="G397" t="s">
        <v>46</v>
      </c>
      <c r="H397" s="20" t="s">
        <v>250</v>
      </c>
      <c r="I397" t="s">
        <v>88</v>
      </c>
      <c r="J397">
        <f>VLOOKUP(H397,ID!$C$3:$D$100,2,FALSE)</f>
        <v>47</v>
      </c>
      <c r="K397" t="s">
        <v>274</v>
      </c>
      <c r="L397" t="str">
        <f>VLOOKUP(K397,Localizacoes!$E$3:$F$100,2,FALSE)</f>
        <v>BBG</v>
      </c>
      <c r="M397" t="str">
        <f>VLOOKUP(K397,ID!$E$3:$F$100,2,FALSE)</f>
        <v>BBG</v>
      </c>
      <c r="N397" t="s">
        <v>704</v>
      </c>
      <c r="O397" t="str">
        <f>VLOOKUP(N397,Localizacoes!$G$3:$H$100,2,FALSE)</f>
        <v>EBC</v>
      </c>
      <c r="P397">
        <f>VLOOKUP(N397,ID!$G$3:$H$100,2,FALSE)</f>
        <v>131</v>
      </c>
      <c r="Q397" t="s">
        <v>150</v>
      </c>
      <c r="R397" t="str">
        <f>VLOOKUP(Q397,Localizacoes!$I$3:$J$100,2,FALSE)</f>
        <v>BOM</v>
      </c>
      <c r="S397" t="str">
        <f>VLOOKUP(Q397,ID!$I$3:$J$100,2,FALSE)</f>
        <v>BOM</v>
      </c>
      <c r="T397" s="4" t="s">
        <v>186</v>
      </c>
      <c r="U397" t="s">
        <v>264</v>
      </c>
      <c r="Y397" t="s">
        <v>270</v>
      </c>
      <c r="Z397" t="str">
        <f t="shared" si="84"/>
        <v>Bomba 02</v>
      </c>
      <c r="AA397"/>
      <c r="AD397" s="13" t="s">
        <v>7</v>
      </c>
      <c r="AF397" t="str">
        <f t="shared" si="80"/>
        <v>Electrobomba centrífugaBomba</v>
      </c>
      <c r="AG397" s="28" t="str">
        <f>VLOOKUP(AF397,Imagens!$C$2:$D$42,2,FALSE)</f>
        <v>65e96125c1d11</v>
      </c>
      <c r="AH397" t="str">
        <f>_xlfn.CONCAT(Imagens!$H$2,'registo_ativo-CDs (1)'!AG397)</f>
        <v>assets/imagens/products/65e96125c1d11</v>
      </c>
      <c r="AI397" s="67">
        <v>45323</v>
      </c>
      <c r="AK397" s="32"/>
    </row>
    <row r="398" spans="1:37" ht="16.8" customHeight="1" x14ac:dyDescent="0.3">
      <c r="A398">
        <f t="shared" si="83"/>
        <v>15</v>
      </c>
      <c r="B398" t="str">
        <f t="shared" si="78"/>
        <v>CD47BBG131MOT02</v>
      </c>
      <c r="C398" t="str">
        <f t="shared" si="79"/>
        <v>CD-MACT-BBG-EBC-MOT-02</v>
      </c>
      <c r="E398" t="s">
        <v>37</v>
      </c>
      <c r="F398" t="s">
        <v>46</v>
      </c>
      <c r="G398" t="s">
        <v>46</v>
      </c>
      <c r="H398" s="20" t="s">
        <v>250</v>
      </c>
      <c r="I398" t="s">
        <v>88</v>
      </c>
      <c r="J398">
        <f>VLOOKUP(H398,ID!$C$3:$D$100,2,FALSE)</f>
        <v>47</v>
      </c>
      <c r="K398" t="s">
        <v>274</v>
      </c>
      <c r="L398" t="str">
        <f>VLOOKUP(K398,Localizacoes!$E$3:$F$100,2,FALSE)</f>
        <v>BBG</v>
      </c>
      <c r="M398" t="str">
        <f>VLOOKUP(K398,ID!$E$3:$F$100,2,FALSE)</f>
        <v>BBG</v>
      </c>
      <c r="N398" t="s">
        <v>704</v>
      </c>
      <c r="O398" t="str">
        <f>VLOOKUP(N398,Localizacoes!$G$3:$H$100,2,FALSE)</f>
        <v>EBC</v>
      </c>
      <c r="P398">
        <f>VLOOKUP(N398,ID!$G$3:$H$100,2,FALSE)</f>
        <v>131</v>
      </c>
      <c r="Q398" t="s">
        <v>21</v>
      </c>
      <c r="R398" t="str">
        <f>VLOOKUP(Q398,Localizacoes!$I$3:$J$100,2,FALSE)</f>
        <v>MOT</v>
      </c>
      <c r="S398" t="str">
        <f>VLOOKUP(Q398,ID!$I$3:$J$100,2,FALSE)</f>
        <v>MOT</v>
      </c>
      <c r="T398" s="4" t="s">
        <v>186</v>
      </c>
      <c r="U398" t="s">
        <v>265</v>
      </c>
      <c r="Y398" t="s">
        <v>270</v>
      </c>
      <c r="Z398" t="str">
        <f t="shared" si="84"/>
        <v>Motor 02</v>
      </c>
      <c r="AA398"/>
      <c r="AD398" s="13" t="s">
        <v>7</v>
      </c>
      <c r="AF398" t="str">
        <f t="shared" si="80"/>
        <v>Electrobomba centrífugaMotor</v>
      </c>
      <c r="AG398" s="28" t="str">
        <f>VLOOKUP(AF398,Imagens!$C$2:$D$42,2,FALSE)</f>
        <v>65d04210323a4</v>
      </c>
      <c r="AH398" t="str">
        <f>_xlfn.CONCAT(Imagens!$H$2,'registo_ativo-CDs (1)'!AG398)</f>
        <v>assets/imagens/products/65d04210323a4</v>
      </c>
      <c r="AI398" s="67">
        <v>45323</v>
      </c>
      <c r="AK398" s="32"/>
    </row>
    <row r="399" spans="1:37" ht="16.8" customHeight="1" x14ac:dyDescent="0.3">
      <c r="A399">
        <f t="shared" si="83"/>
        <v>15</v>
      </c>
      <c r="B399" t="str">
        <f t="shared" si="78"/>
        <v>CD47BBG152QEA02</v>
      </c>
      <c r="C399" t="str">
        <f t="shared" si="79"/>
        <v>CD-MACT-BBG-QEL-QEA-02</v>
      </c>
      <c r="E399" t="s">
        <v>37</v>
      </c>
      <c r="F399" t="s">
        <v>46</v>
      </c>
      <c r="G399" t="s">
        <v>46</v>
      </c>
      <c r="H399" s="20" t="s">
        <v>250</v>
      </c>
      <c r="I399" t="s">
        <v>88</v>
      </c>
      <c r="J399">
        <f>VLOOKUP(H399,ID!$C$3:$D$100,2,FALSE)</f>
        <v>47</v>
      </c>
      <c r="K399" t="s">
        <v>274</v>
      </c>
      <c r="L399" t="str">
        <f>VLOOKUP(K399,Localizacoes!$E$3:$F$100,2,FALSE)</f>
        <v>BBG</v>
      </c>
      <c r="M399" t="str">
        <f>VLOOKUP(K399,ID!$E$3:$F$100,2,FALSE)</f>
        <v>BBG</v>
      </c>
      <c r="N399" t="s">
        <v>286</v>
      </c>
      <c r="O399" t="str">
        <f>VLOOKUP(N399,Localizacoes!$G$3:$H$100,2,FALSE)</f>
        <v>QEL</v>
      </c>
      <c r="P399">
        <f>VLOOKUP(N399,ID!$G$3:$H$100,2,FALSE)</f>
        <v>152</v>
      </c>
      <c r="Q399" t="s">
        <v>154</v>
      </c>
      <c r="R399" t="str">
        <f>VLOOKUP(Q399,Localizacoes!$I$3:$J$100,2,FALSE)</f>
        <v>QEA</v>
      </c>
      <c r="S399" t="str">
        <f>VLOOKUP(Q399,ID!$I$3:$J$100,2,FALSE)</f>
        <v>QEA</v>
      </c>
      <c r="T399" s="4" t="s">
        <v>186</v>
      </c>
      <c r="U399" t="s">
        <v>265</v>
      </c>
      <c r="Y399" t="s">
        <v>270</v>
      </c>
      <c r="Z399" t="str">
        <f t="shared" si="84"/>
        <v>Quadros Eléctricos de Arranque 02</v>
      </c>
      <c r="AA399"/>
      <c r="AD399" s="13" t="s">
        <v>267</v>
      </c>
      <c r="AF399" t="str">
        <f t="shared" si="80"/>
        <v>Quadro EléctricoQuadros Eléctricos de Arranque</v>
      </c>
      <c r="AG399" s="28" t="str">
        <f>VLOOKUP(AF399,Imagens!$C$2:$D$42,2,FALSE)</f>
        <v>65e8d2fa35c12</v>
      </c>
      <c r="AH399" t="str">
        <f>_xlfn.CONCAT(Imagens!$H$2,'registo_ativo-CDs (1)'!AG399)</f>
        <v>assets/imagens/products/65e8d2fa35c12</v>
      </c>
      <c r="AI399" s="67">
        <v>45379</v>
      </c>
      <c r="AK399" s="32"/>
    </row>
    <row r="400" spans="1:37" ht="16.8" customHeight="1" x14ac:dyDescent="0.3">
      <c r="A400">
        <f t="shared" si="83"/>
        <v>15</v>
      </c>
      <c r="B400" t="str">
        <f t="shared" si="78"/>
        <v>CD47BBG131VSU02</v>
      </c>
      <c r="C400" t="str">
        <f t="shared" si="79"/>
        <v>CD-MACT-BBG-EBC-VSU-02</v>
      </c>
      <c r="E400" t="s">
        <v>37</v>
      </c>
      <c r="F400" t="s">
        <v>46</v>
      </c>
      <c r="G400" t="s">
        <v>46</v>
      </c>
      <c r="H400" s="20" t="s">
        <v>250</v>
      </c>
      <c r="I400" t="s">
        <v>88</v>
      </c>
      <c r="J400">
        <f>VLOOKUP(H400,ID!$C$3:$D$100,2,FALSE)</f>
        <v>47</v>
      </c>
      <c r="K400" t="s">
        <v>274</v>
      </c>
      <c r="L400" t="str">
        <f>VLOOKUP(K400,Localizacoes!$E$3:$F$100,2,FALSE)</f>
        <v>BBG</v>
      </c>
      <c r="M400" t="str">
        <f>VLOOKUP(K400,ID!$E$3:$F$100,2,FALSE)</f>
        <v>BBG</v>
      </c>
      <c r="N400" t="s">
        <v>704</v>
      </c>
      <c r="O400" t="str">
        <f>VLOOKUP(N400,Localizacoes!$G$3:$H$100,2,FALSE)</f>
        <v>EBC</v>
      </c>
      <c r="P400">
        <f>VLOOKUP(N400,ID!$G$3:$H$100,2,FALSE)</f>
        <v>131</v>
      </c>
      <c r="Q400" t="s">
        <v>276</v>
      </c>
      <c r="R400" t="str">
        <f>VLOOKUP(Q400,Localizacoes!$I$3:$J$100,2,FALSE)</f>
        <v>VSU</v>
      </c>
      <c r="S400" t="str">
        <f>VLOOKUP(Q400,ID!$I$3:$J$100,2,FALSE)</f>
        <v>VSU</v>
      </c>
      <c r="T400" s="4" t="s">
        <v>186</v>
      </c>
      <c r="U400" t="s">
        <v>264</v>
      </c>
      <c r="Y400" t="s">
        <v>270</v>
      </c>
      <c r="Z400" t="str">
        <f t="shared" si="84"/>
        <v>Válvula Sucção 02</v>
      </c>
      <c r="AA400"/>
      <c r="AD400" s="13" t="s">
        <v>266</v>
      </c>
      <c r="AF400" t="str">
        <f t="shared" si="80"/>
        <v>Electrobomba centrífugaVálvula Sucção</v>
      </c>
      <c r="AG400" s="28" t="str">
        <f>VLOOKUP(AF400,Imagens!$C$2:$D$42,2,FALSE)</f>
        <v>65e8cda0676b7</v>
      </c>
      <c r="AH400" t="str">
        <f>_xlfn.CONCAT(Imagens!$H$2,'registo_ativo-CDs (1)'!AG400)</f>
        <v>assets/imagens/products/65e8cda0676b7</v>
      </c>
      <c r="AI400" s="67">
        <v>45379</v>
      </c>
      <c r="AK400" s="32"/>
    </row>
    <row r="401" spans="1:37" ht="16.8" customHeight="1" x14ac:dyDescent="0.3">
      <c r="A401">
        <f t="shared" si="83"/>
        <v>15</v>
      </c>
      <c r="B401" t="str">
        <f t="shared" si="78"/>
        <v>CD47BBG131VDE02</v>
      </c>
      <c r="C401" t="str">
        <f t="shared" si="79"/>
        <v>CD-MACT-BBG-EBC-VDE-02</v>
      </c>
      <c r="E401" t="s">
        <v>37</v>
      </c>
      <c r="F401" t="s">
        <v>46</v>
      </c>
      <c r="G401" t="s">
        <v>46</v>
      </c>
      <c r="H401" s="20" t="s">
        <v>250</v>
      </c>
      <c r="I401" t="s">
        <v>88</v>
      </c>
      <c r="J401">
        <f>VLOOKUP(H401,ID!$C$3:$D$100,2,FALSE)</f>
        <v>47</v>
      </c>
      <c r="K401" t="s">
        <v>274</v>
      </c>
      <c r="L401" t="str">
        <f>VLOOKUP(K401,Localizacoes!$E$3:$F$100,2,FALSE)</f>
        <v>BBG</v>
      </c>
      <c r="M401" t="str">
        <f>VLOOKUP(K401,ID!$E$3:$F$100,2,FALSE)</f>
        <v>BBG</v>
      </c>
      <c r="N401" t="s">
        <v>704</v>
      </c>
      <c r="O401" t="str">
        <f>VLOOKUP(N401,Localizacoes!$G$3:$H$100,2,FALSE)</f>
        <v>EBC</v>
      </c>
      <c r="P401">
        <f>VLOOKUP(N401,ID!$G$3:$H$100,2,FALSE)</f>
        <v>131</v>
      </c>
      <c r="Q401" t="s">
        <v>279</v>
      </c>
      <c r="R401" t="str">
        <f>VLOOKUP(Q401,Localizacoes!$I$3:$J$100,2,FALSE)</f>
        <v>VDE</v>
      </c>
      <c r="S401" t="str">
        <f>VLOOKUP(Q401,ID!$I$3:$J$100,2,FALSE)</f>
        <v>VDE</v>
      </c>
      <c r="T401" s="4" t="s">
        <v>186</v>
      </c>
      <c r="U401" t="s">
        <v>264</v>
      </c>
      <c r="X401" t="s">
        <v>6</v>
      </c>
      <c r="Y401" t="s">
        <v>270</v>
      </c>
      <c r="Z401" t="str">
        <f t="shared" si="84"/>
        <v>Válvula Descarga 02</v>
      </c>
      <c r="AA401"/>
      <c r="AD401" s="13" t="s">
        <v>267</v>
      </c>
      <c r="AF401" t="str">
        <f t="shared" si="80"/>
        <v>Electrobomba centrífugaVálvula Descarga</v>
      </c>
      <c r="AG401" s="28" t="str">
        <f>VLOOKUP(AF401,Imagens!$C$2:$D$42,2,FALSE)</f>
        <v>65e8cda0676b7</v>
      </c>
      <c r="AH401" t="str">
        <f>_xlfn.CONCAT(Imagens!$H$2,'registo_ativo-CDs (1)'!AG401)</f>
        <v>assets/imagens/products/65e8cda0676b7</v>
      </c>
      <c r="AI401" s="67">
        <v>45379</v>
      </c>
      <c r="AK401" s="32"/>
    </row>
    <row r="402" spans="1:37" ht="16.8" customHeight="1" x14ac:dyDescent="0.3">
      <c r="A402">
        <f t="shared" si="83"/>
        <v>15</v>
      </c>
      <c r="B402" t="str">
        <f t="shared" si="78"/>
        <v>CD47BBG131BOM03</v>
      </c>
      <c r="C402" t="str">
        <f t="shared" si="79"/>
        <v>CD-MACT-BBG-EBC-BOM-03</v>
      </c>
      <c r="E402" t="s">
        <v>37</v>
      </c>
      <c r="F402" t="s">
        <v>46</v>
      </c>
      <c r="G402" t="s">
        <v>46</v>
      </c>
      <c r="H402" s="20" t="s">
        <v>250</v>
      </c>
      <c r="I402" t="s">
        <v>88</v>
      </c>
      <c r="J402">
        <f>VLOOKUP(H402,ID!$C$3:$D$100,2,FALSE)</f>
        <v>47</v>
      </c>
      <c r="K402" t="s">
        <v>274</v>
      </c>
      <c r="L402" t="str">
        <f>VLOOKUP(K402,Localizacoes!$E$3:$F$100,2,FALSE)</f>
        <v>BBG</v>
      </c>
      <c r="M402" t="str">
        <f>VLOOKUP(K402,ID!$E$3:$F$100,2,FALSE)</f>
        <v>BBG</v>
      </c>
      <c r="N402" t="s">
        <v>704</v>
      </c>
      <c r="O402" t="str">
        <f>VLOOKUP(N402,Localizacoes!$G$3:$H$100,2,FALSE)</f>
        <v>EBC</v>
      </c>
      <c r="P402">
        <f>VLOOKUP(N402,ID!$G$3:$H$100,2,FALSE)</f>
        <v>131</v>
      </c>
      <c r="Q402" t="s">
        <v>150</v>
      </c>
      <c r="R402" t="str">
        <f>VLOOKUP(Q402,Localizacoes!$I$3:$J$100,2,FALSE)</f>
        <v>BOM</v>
      </c>
      <c r="S402" t="str">
        <f>VLOOKUP(Q402,ID!$I$3:$J$100,2,FALSE)</f>
        <v>BOM</v>
      </c>
      <c r="T402" s="4" t="s">
        <v>187</v>
      </c>
      <c r="U402" t="s">
        <v>264</v>
      </c>
      <c r="Y402" t="s">
        <v>270</v>
      </c>
      <c r="Z402" t="str">
        <f t="shared" si="84"/>
        <v>Bomba 03</v>
      </c>
      <c r="AA402"/>
      <c r="AD402" s="13" t="s">
        <v>7</v>
      </c>
      <c r="AF402" t="str">
        <f t="shared" si="80"/>
        <v>Electrobomba centrífugaBomba</v>
      </c>
      <c r="AG402" s="28" t="str">
        <f>VLOOKUP(AF402,Imagens!$C$2:$D$42,2,FALSE)</f>
        <v>65e96125c1d11</v>
      </c>
      <c r="AH402" t="str">
        <f>_xlfn.CONCAT(Imagens!$H$2,'registo_ativo-CDs (1)'!AG402)</f>
        <v>assets/imagens/products/65e96125c1d11</v>
      </c>
      <c r="AI402" s="67">
        <v>45323</v>
      </c>
      <c r="AK402" s="32"/>
    </row>
    <row r="403" spans="1:37" ht="16.8" customHeight="1" x14ac:dyDescent="0.3">
      <c r="A403">
        <f t="shared" si="83"/>
        <v>15</v>
      </c>
      <c r="B403" t="str">
        <f t="shared" si="78"/>
        <v>CD47BBG131MOT03</v>
      </c>
      <c r="C403" t="str">
        <f t="shared" si="79"/>
        <v>CD-MACT-BBG-EBC-MOT-03</v>
      </c>
      <c r="E403" t="s">
        <v>37</v>
      </c>
      <c r="F403" t="s">
        <v>46</v>
      </c>
      <c r="G403" t="s">
        <v>46</v>
      </c>
      <c r="H403" s="20" t="s">
        <v>250</v>
      </c>
      <c r="I403" t="s">
        <v>88</v>
      </c>
      <c r="J403">
        <f>VLOOKUP(H403,ID!$C$3:$D$100,2,FALSE)</f>
        <v>47</v>
      </c>
      <c r="K403" t="s">
        <v>274</v>
      </c>
      <c r="L403" t="str">
        <f>VLOOKUP(K403,Localizacoes!$E$3:$F$100,2,FALSE)</f>
        <v>BBG</v>
      </c>
      <c r="M403" t="str">
        <f>VLOOKUP(K403,ID!$E$3:$F$100,2,FALSE)</f>
        <v>BBG</v>
      </c>
      <c r="N403" t="s">
        <v>704</v>
      </c>
      <c r="O403" t="str">
        <f>VLOOKUP(N403,Localizacoes!$G$3:$H$100,2,FALSE)</f>
        <v>EBC</v>
      </c>
      <c r="P403">
        <f>VLOOKUP(N403,ID!$G$3:$H$100,2,FALSE)</f>
        <v>131</v>
      </c>
      <c r="Q403" t="s">
        <v>21</v>
      </c>
      <c r="R403" t="str">
        <f>VLOOKUP(Q403,Localizacoes!$I$3:$J$100,2,FALSE)</f>
        <v>MOT</v>
      </c>
      <c r="S403" t="str">
        <f>VLOOKUP(Q403,ID!$I$3:$J$100,2,FALSE)</f>
        <v>MOT</v>
      </c>
      <c r="T403" s="4" t="s">
        <v>187</v>
      </c>
      <c r="U403" t="s">
        <v>265</v>
      </c>
      <c r="Y403" t="s">
        <v>270</v>
      </c>
      <c r="Z403" t="str">
        <f t="shared" si="84"/>
        <v>Motor 03</v>
      </c>
      <c r="AA403"/>
      <c r="AD403" s="13" t="s">
        <v>7</v>
      </c>
      <c r="AF403" t="str">
        <f t="shared" si="80"/>
        <v>Electrobomba centrífugaMotor</v>
      </c>
      <c r="AG403" s="28" t="str">
        <f>VLOOKUP(AF403,Imagens!$C$2:$D$42,2,FALSE)</f>
        <v>65d04210323a4</v>
      </c>
      <c r="AH403" t="str">
        <f>_xlfn.CONCAT(Imagens!$H$2,'registo_ativo-CDs (1)'!AG403)</f>
        <v>assets/imagens/products/65d04210323a4</v>
      </c>
      <c r="AI403" s="67">
        <v>45323</v>
      </c>
      <c r="AK403" s="32"/>
    </row>
    <row r="404" spans="1:37" ht="16.8" customHeight="1" x14ac:dyDescent="0.3">
      <c r="A404">
        <f t="shared" si="83"/>
        <v>15</v>
      </c>
      <c r="B404" t="str">
        <f t="shared" si="78"/>
        <v>CD47BBG152QEA03</v>
      </c>
      <c r="C404" t="str">
        <f t="shared" si="79"/>
        <v>CD-MACT-BBG-QEL-QEA-03</v>
      </c>
      <c r="E404" t="s">
        <v>37</v>
      </c>
      <c r="F404" t="s">
        <v>46</v>
      </c>
      <c r="G404" t="s">
        <v>46</v>
      </c>
      <c r="H404" s="20" t="s">
        <v>250</v>
      </c>
      <c r="I404" t="s">
        <v>88</v>
      </c>
      <c r="J404">
        <f>VLOOKUP(H404,ID!$C$3:$D$100,2,FALSE)</f>
        <v>47</v>
      </c>
      <c r="K404" t="s">
        <v>274</v>
      </c>
      <c r="L404" t="str">
        <f>VLOOKUP(K404,Localizacoes!$E$3:$F$100,2,FALSE)</f>
        <v>BBG</v>
      </c>
      <c r="M404" t="str">
        <f>VLOOKUP(K404,ID!$E$3:$F$100,2,FALSE)</f>
        <v>BBG</v>
      </c>
      <c r="N404" t="s">
        <v>286</v>
      </c>
      <c r="O404" t="str">
        <f>VLOOKUP(N404,Localizacoes!$G$3:$H$100,2,FALSE)</f>
        <v>QEL</v>
      </c>
      <c r="P404">
        <f>VLOOKUP(N404,ID!$G$3:$H$100,2,FALSE)</f>
        <v>152</v>
      </c>
      <c r="Q404" t="s">
        <v>154</v>
      </c>
      <c r="R404" t="str">
        <f>VLOOKUP(Q404,Localizacoes!$I$3:$J$100,2,FALSE)</f>
        <v>QEA</v>
      </c>
      <c r="S404" t="str">
        <f>VLOOKUP(Q404,ID!$I$3:$J$100,2,FALSE)</f>
        <v>QEA</v>
      </c>
      <c r="T404" s="4" t="s">
        <v>187</v>
      </c>
      <c r="U404" t="s">
        <v>265</v>
      </c>
      <c r="X404" t="s">
        <v>6</v>
      </c>
      <c r="Y404" t="s">
        <v>270</v>
      </c>
      <c r="Z404" t="str">
        <f t="shared" si="84"/>
        <v>Quadros Eléctricos de Arranque 03</v>
      </c>
      <c r="AA404"/>
      <c r="AD404" s="13" t="s">
        <v>267</v>
      </c>
      <c r="AF404" t="str">
        <f t="shared" si="80"/>
        <v>Quadro EléctricoQuadros Eléctricos de Arranque</v>
      </c>
      <c r="AG404" s="28" t="str">
        <f>VLOOKUP(AF404,Imagens!$C$2:$D$42,2,FALSE)</f>
        <v>65e8d2fa35c12</v>
      </c>
      <c r="AH404" t="str">
        <f>_xlfn.CONCAT(Imagens!$H$2,'registo_ativo-CDs (1)'!AG404)</f>
        <v>assets/imagens/products/65e8d2fa35c12</v>
      </c>
      <c r="AI404" s="67">
        <v>45379</v>
      </c>
      <c r="AK404" s="32"/>
    </row>
    <row r="405" spans="1:37" ht="16.8" customHeight="1" x14ac:dyDescent="0.3">
      <c r="A405">
        <f t="shared" si="83"/>
        <v>15</v>
      </c>
      <c r="B405" t="str">
        <f t="shared" si="78"/>
        <v>CD47BBG131VSU03</v>
      </c>
      <c r="C405" t="str">
        <f t="shared" si="79"/>
        <v>CD-MACT-BBG-EBC-VSU-03</v>
      </c>
      <c r="E405" t="s">
        <v>37</v>
      </c>
      <c r="F405" t="s">
        <v>46</v>
      </c>
      <c r="G405" t="s">
        <v>46</v>
      </c>
      <c r="H405" s="20" t="s">
        <v>250</v>
      </c>
      <c r="I405" t="s">
        <v>88</v>
      </c>
      <c r="J405">
        <f>VLOOKUP(H405,ID!$C$3:$D$100,2,FALSE)</f>
        <v>47</v>
      </c>
      <c r="K405" t="s">
        <v>274</v>
      </c>
      <c r="L405" t="str">
        <f>VLOOKUP(K405,Localizacoes!$E$3:$F$100,2,FALSE)</f>
        <v>BBG</v>
      </c>
      <c r="M405" t="str">
        <f>VLOOKUP(K405,ID!$E$3:$F$100,2,FALSE)</f>
        <v>BBG</v>
      </c>
      <c r="N405" t="s">
        <v>704</v>
      </c>
      <c r="O405" t="str">
        <f>VLOOKUP(N405,Localizacoes!$G$3:$H$100,2,FALSE)</f>
        <v>EBC</v>
      </c>
      <c r="P405">
        <f>VLOOKUP(N405,ID!$G$3:$H$100,2,FALSE)</f>
        <v>131</v>
      </c>
      <c r="Q405" t="s">
        <v>276</v>
      </c>
      <c r="R405" t="str">
        <f>VLOOKUP(Q405,Localizacoes!$I$3:$J$100,2,FALSE)</f>
        <v>VSU</v>
      </c>
      <c r="S405" t="str">
        <f>VLOOKUP(Q405,ID!$I$3:$J$100,2,FALSE)</f>
        <v>VSU</v>
      </c>
      <c r="T405" s="4" t="s">
        <v>187</v>
      </c>
      <c r="U405" t="s">
        <v>264</v>
      </c>
      <c r="Y405" t="s">
        <v>270</v>
      </c>
      <c r="Z405" t="str">
        <f t="shared" si="84"/>
        <v>Válvula Sucção 03</v>
      </c>
      <c r="AA405"/>
      <c r="AD405" s="13" t="s">
        <v>267</v>
      </c>
      <c r="AF405" t="str">
        <f t="shared" si="80"/>
        <v>Electrobomba centrífugaVálvula Sucção</v>
      </c>
      <c r="AG405" s="28" t="str">
        <f>VLOOKUP(AF405,Imagens!$C$2:$D$42,2,FALSE)</f>
        <v>65e8cda0676b7</v>
      </c>
      <c r="AH405" t="str">
        <f>_xlfn.CONCAT(Imagens!$H$2,'registo_ativo-CDs (1)'!AG405)</f>
        <v>assets/imagens/products/65e8cda0676b7</v>
      </c>
      <c r="AI405" s="67">
        <v>45379</v>
      </c>
      <c r="AK405" s="32"/>
    </row>
    <row r="406" spans="1:37" ht="16.8" customHeight="1" x14ac:dyDescent="0.3">
      <c r="A406">
        <f t="shared" si="83"/>
        <v>15</v>
      </c>
      <c r="B406" t="str">
        <f t="shared" si="78"/>
        <v>CD47BBG131VDE03</v>
      </c>
      <c r="C406" t="str">
        <f t="shared" si="79"/>
        <v>CD-MACT-BBG-EBC-VDE-03</v>
      </c>
      <c r="E406" t="s">
        <v>37</v>
      </c>
      <c r="F406" t="s">
        <v>46</v>
      </c>
      <c r="G406" t="s">
        <v>46</v>
      </c>
      <c r="H406" s="20" t="s">
        <v>250</v>
      </c>
      <c r="I406" t="s">
        <v>88</v>
      </c>
      <c r="J406">
        <f>VLOOKUP(H406,ID!$C$3:$D$100,2,FALSE)</f>
        <v>47</v>
      </c>
      <c r="K406" t="s">
        <v>274</v>
      </c>
      <c r="L406" t="str">
        <f>VLOOKUP(K406,Localizacoes!$E$3:$F$100,2,FALSE)</f>
        <v>BBG</v>
      </c>
      <c r="M406" t="str">
        <f>VLOOKUP(K406,ID!$E$3:$F$100,2,FALSE)</f>
        <v>BBG</v>
      </c>
      <c r="N406" t="s">
        <v>704</v>
      </c>
      <c r="O406" t="str">
        <f>VLOOKUP(N406,Localizacoes!$G$3:$H$100,2,FALSE)</f>
        <v>EBC</v>
      </c>
      <c r="P406">
        <f>VLOOKUP(N406,ID!$G$3:$H$100,2,FALSE)</f>
        <v>131</v>
      </c>
      <c r="Q406" t="s">
        <v>279</v>
      </c>
      <c r="R406" t="str">
        <f>VLOOKUP(Q406,Localizacoes!$I$3:$J$100,2,FALSE)</f>
        <v>VDE</v>
      </c>
      <c r="S406" t="str">
        <f>VLOOKUP(Q406,ID!$I$3:$J$100,2,FALSE)</f>
        <v>VDE</v>
      </c>
      <c r="T406" s="4" t="s">
        <v>187</v>
      </c>
      <c r="U406" t="s">
        <v>264</v>
      </c>
      <c r="Y406" t="s">
        <v>270</v>
      </c>
      <c r="Z406" t="str">
        <f t="shared" si="84"/>
        <v>Válvula Descarga 03</v>
      </c>
      <c r="AA406"/>
      <c r="AD406" s="15" t="s">
        <v>267</v>
      </c>
      <c r="AF406" t="str">
        <f t="shared" si="80"/>
        <v>Electrobomba centrífugaVálvula Descarga</v>
      </c>
      <c r="AG406" s="28" t="str">
        <f>VLOOKUP(AF406,Imagens!$C$2:$D$42,2,FALSE)</f>
        <v>65e8cda0676b7</v>
      </c>
      <c r="AH406" t="str">
        <f>_xlfn.CONCAT(Imagens!$H$2,'registo_ativo-CDs (1)'!AG406)</f>
        <v>assets/imagens/products/65e8cda0676b7</v>
      </c>
      <c r="AI406" s="67">
        <v>45379</v>
      </c>
      <c r="AK406" s="32"/>
    </row>
    <row r="407" spans="1:37" ht="16.8" customHeight="1" x14ac:dyDescent="0.3">
      <c r="A407">
        <f t="shared" si="83"/>
        <v>15</v>
      </c>
      <c r="B407" t="str">
        <f t="shared" si="78"/>
        <v>CD47BBG131VLV03</v>
      </c>
      <c r="C407" t="str">
        <f t="shared" si="79"/>
        <v>CD-MACT-BBG-EBC-VLV-03</v>
      </c>
      <c r="E407" t="s">
        <v>37</v>
      </c>
      <c r="F407" t="s">
        <v>46</v>
      </c>
      <c r="G407" t="s">
        <v>46</v>
      </c>
      <c r="H407" s="20" t="s">
        <v>250</v>
      </c>
      <c r="I407" t="s">
        <v>88</v>
      </c>
      <c r="J407">
        <f>VLOOKUP(H407,ID!$C$3:$D$100,2,FALSE)</f>
        <v>47</v>
      </c>
      <c r="K407" t="s">
        <v>274</v>
      </c>
      <c r="L407" t="str">
        <f>VLOOKUP(K407,Localizacoes!$E$3:$F$100,2,FALSE)</f>
        <v>BBG</v>
      </c>
      <c r="M407" t="str">
        <f>VLOOKUP(K407,ID!$E$3:$F$100,2,FALSE)</f>
        <v>BBG</v>
      </c>
      <c r="N407" t="s">
        <v>704</v>
      </c>
      <c r="O407" t="str">
        <f>VLOOKUP(N407,Localizacoes!$G$3:$H$100,2,FALSE)</f>
        <v>EBC</v>
      </c>
      <c r="P407">
        <f>VLOOKUP(N407,ID!$G$3:$H$100,2,FALSE)</f>
        <v>131</v>
      </c>
      <c r="Q407" t="s">
        <v>25</v>
      </c>
      <c r="R407" t="str">
        <f>VLOOKUP(Q407,Localizacoes!$I$3:$J$100,2,FALSE)</f>
        <v>VLV</v>
      </c>
      <c r="S407" t="str">
        <f>VLOOKUP(Q407,ID!$I$3:$J$100,2,FALSE)</f>
        <v>VLV</v>
      </c>
      <c r="T407" s="4" t="s">
        <v>187</v>
      </c>
      <c r="U407" t="s">
        <v>264</v>
      </c>
      <c r="X407" t="s">
        <v>6</v>
      </c>
      <c r="Y407" t="s">
        <v>270</v>
      </c>
      <c r="Z407" t="str">
        <f t="shared" si="84"/>
        <v>Válvula 03</v>
      </c>
      <c r="AA407"/>
      <c r="AD407" s="13" t="s">
        <v>267</v>
      </c>
      <c r="AF407" t="str">
        <f t="shared" si="80"/>
        <v>Electrobomba centrífugaVálvula</v>
      </c>
      <c r="AG407" s="28" t="str">
        <f>VLOOKUP(AF407,Imagens!$C$2:$D$42,2,FALSE)</f>
        <v>65e8cda0676b7</v>
      </c>
      <c r="AH407" t="str">
        <f>_xlfn.CONCAT(Imagens!$H$2,'registo_ativo-CDs (1)'!AG407)</f>
        <v>assets/imagens/products/65e8cda0676b7</v>
      </c>
      <c r="AI407" s="67">
        <v>45379</v>
      </c>
      <c r="AK407" s="32"/>
    </row>
    <row r="408" spans="1:37" ht="16.8" customHeight="1" x14ac:dyDescent="0.3">
      <c r="A408">
        <f t="shared" si="83"/>
        <v>15</v>
      </c>
      <c r="B408" t="str">
        <f t="shared" si="78"/>
        <v>CD47BBG131BOM04</v>
      </c>
      <c r="C408" t="str">
        <f t="shared" si="79"/>
        <v>CD-MACT-BBG-EBC-BOM-04</v>
      </c>
      <c r="E408" t="s">
        <v>37</v>
      </c>
      <c r="F408" t="s">
        <v>46</v>
      </c>
      <c r="G408" t="s">
        <v>46</v>
      </c>
      <c r="H408" s="20" t="s">
        <v>250</v>
      </c>
      <c r="I408" t="s">
        <v>88</v>
      </c>
      <c r="J408">
        <f>VLOOKUP(H408,ID!$C$3:$D$100,2,FALSE)</f>
        <v>47</v>
      </c>
      <c r="K408" t="s">
        <v>274</v>
      </c>
      <c r="L408" t="str">
        <f>VLOOKUP(K408,Localizacoes!$E$3:$F$100,2,FALSE)</f>
        <v>BBG</v>
      </c>
      <c r="M408" t="str">
        <f>VLOOKUP(K408,ID!$E$3:$F$100,2,FALSE)</f>
        <v>BBG</v>
      </c>
      <c r="N408" t="s">
        <v>704</v>
      </c>
      <c r="O408" t="str">
        <f>VLOOKUP(N408,Localizacoes!$G$3:$H$100,2,FALSE)</f>
        <v>EBC</v>
      </c>
      <c r="P408">
        <f>VLOOKUP(N408,ID!$G$3:$H$100,2,FALSE)</f>
        <v>131</v>
      </c>
      <c r="Q408" t="s">
        <v>150</v>
      </c>
      <c r="R408" t="str">
        <f>VLOOKUP(Q408,Localizacoes!$I$3:$J$100,2,FALSE)</f>
        <v>BOM</v>
      </c>
      <c r="S408" t="str">
        <f>VLOOKUP(Q408,ID!$I$3:$J$100,2,FALSE)</f>
        <v>BOM</v>
      </c>
      <c r="T408" s="4" t="s">
        <v>188</v>
      </c>
      <c r="U408" t="s">
        <v>264</v>
      </c>
      <c r="Y408" t="s">
        <v>270</v>
      </c>
      <c r="Z408" t="str">
        <f t="shared" si="84"/>
        <v>Bomba 04</v>
      </c>
      <c r="AA408"/>
      <c r="AD408" s="13" t="s">
        <v>7</v>
      </c>
      <c r="AF408" t="str">
        <f t="shared" si="80"/>
        <v>Electrobomba centrífugaBomba</v>
      </c>
      <c r="AG408" s="28" t="str">
        <f>VLOOKUP(AF408,Imagens!$C$2:$D$42,2,FALSE)</f>
        <v>65e96125c1d11</v>
      </c>
      <c r="AH408" t="str">
        <f>_xlfn.CONCAT(Imagens!$H$2,'registo_ativo-CDs (1)'!AG408)</f>
        <v>assets/imagens/products/65e96125c1d11</v>
      </c>
      <c r="AI408" s="67">
        <v>45323</v>
      </c>
      <c r="AK408" s="32"/>
    </row>
    <row r="409" spans="1:37" ht="16.8" customHeight="1" x14ac:dyDescent="0.3">
      <c r="A409">
        <f t="shared" si="83"/>
        <v>15</v>
      </c>
      <c r="B409" t="str">
        <f t="shared" si="78"/>
        <v>CD47BBG131MOT04</v>
      </c>
      <c r="C409" t="str">
        <f t="shared" si="79"/>
        <v>CD-MACT-BBG-EBC-MOT-04</v>
      </c>
      <c r="E409" t="s">
        <v>37</v>
      </c>
      <c r="F409" t="s">
        <v>46</v>
      </c>
      <c r="G409" t="s">
        <v>46</v>
      </c>
      <c r="H409" s="20" t="s">
        <v>250</v>
      </c>
      <c r="I409" t="s">
        <v>88</v>
      </c>
      <c r="J409">
        <f>VLOOKUP(H409,ID!$C$3:$D$100,2,FALSE)</f>
        <v>47</v>
      </c>
      <c r="K409" t="s">
        <v>274</v>
      </c>
      <c r="L409" t="str">
        <f>VLOOKUP(K409,Localizacoes!$E$3:$F$100,2,FALSE)</f>
        <v>BBG</v>
      </c>
      <c r="M409" t="str">
        <f>VLOOKUP(K409,ID!$E$3:$F$100,2,FALSE)</f>
        <v>BBG</v>
      </c>
      <c r="N409" t="s">
        <v>704</v>
      </c>
      <c r="O409" t="str">
        <f>VLOOKUP(N409,Localizacoes!$G$3:$H$100,2,FALSE)</f>
        <v>EBC</v>
      </c>
      <c r="P409">
        <f>VLOOKUP(N409,ID!$G$3:$H$100,2,FALSE)</f>
        <v>131</v>
      </c>
      <c r="Q409" t="s">
        <v>21</v>
      </c>
      <c r="R409" t="str">
        <f>VLOOKUP(Q409,Localizacoes!$I$3:$J$100,2,FALSE)</f>
        <v>MOT</v>
      </c>
      <c r="S409" t="str">
        <f>VLOOKUP(Q409,ID!$I$3:$J$100,2,FALSE)</f>
        <v>MOT</v>
      </c>
      <c r="T409" s="4" t="s">
        <v>188</v>
      </c>
      <c r="U409" t="s">
        <v>265</v>
      </c>
      <c r="Y409" t="s">
        <v>270</v>
      </c>
      <c r="Z409" t="str">
        <f t="shared" si="84"/>
        <v>Motor 04</v>
      </c>
      <c r="AA409"/>
      <c r="AD409" s="13" t="s">
        <v>7</v>
      </c>
      <c r="AF409" t="str">
        <f t="shared" si="80"/>
        <v>Electrobomba centrífugaMotor</v>
      </c>
      <c r="AG409" s="28" t="str">
        <f>VLOOKUP(AF409,Imagens!$C$2:$D$42,2,FALSE)</f>
        <v>65d04210323a4</v>
      </c>
      <c r="AH409" t="str">
        <f>_xlfn.CONCAT(Imagens!$H$2,'registo_ativo-CDs (1)'!AG409)</f>
        <v>assets/imagens/products/65d04210323a4</v>
      </c>
      <c r="AI409" s="67">
        <v>45323</v>
      </c>
      <c r="AK409" s="32"/>
    </row>
    <row r="410" spans="1:37" ht="16.8" customHeight="1" x14ac:dyDescent="0.3">
      <c r="A410">
        <f t="shared" si="83"/>
        <v>15</v>
      </c>
      <c r="B410" t="str">
        <f t="shared" si="78"/>
        <v>CD47BBG152QEA04</v>
      </c>
      <c r="C410" t="str">
        <f t="shared" si="79"/>
        <v>CD-MACT-BBG-QEL-QEA-04</v>
      </c>
      <c r="E410" t="s">
        <v>37</v>
      </c>
      <c r="F410" t="s">
        <v>46</v>
      </c>
      <c r="G410" t="s">
        <v>46</v>
      </c>
      <c r="H410" s="20" t="s">
        <v>250</v>
      </c>
      <c r="I410" t="s">
        <v>88</v>
      </c>
      <c r="J410">
        <f>VLOOKUP(H410,ID!$C$3:$D$100,2,FALSE)</f>
        <v>47</v>
      </c>
      <c r="K410" t="s">
        <v>274</v>
      </c>
      <c r="L410" t="str">
        <f>VLOOKUP(K410,Localizacoes!$E$3:$F$100,2,FALSE)</f>
        <v>BBG</v>
      </c>
      <c r="M410" t="str">
        <f>VLOOKUP(K410,ID!$E$3:$F$100,2,FALSE)</f>
        <v>BBG</v>
      </c>
      <c r="N410" t="s">
        <v>286</v>
      </c>
      <c r="O410" t="str">
        <f>VLOOKUP(N410,Localizacoes!$G$3:$H$100,2,FALSE)</f>
        <v>QEL</v>
      </c>
      <c r="P410">
        <f>VLOOKUP(N410,ID!$G$3:$H$100,2,FALSE)</f>
        <v>152</v>
      </c>
      <c r="Q410" t="s">
        <v>154</v>
      </c>
      <c r="R410" t="str">
        <f>VLOOKUP(Q410,Localizacoes!$I$3:$J$100,2,FALSE)</f>
        <v>QEA</v>
      </c>
      <c r="S410" t="str">
        <f>VLOOKUP(Q410,ID!$I$3:$J$100,2,FALSE)</f>
        <v>QEA</v>
      </c>
      <c r="T410" s="4" t="s">
        <v>188</v>
      </c>
      <c r="U410" t="s">
        <v>265</v>
      </c>
      <c r="X410" t="s">
        <v>272</v>
      </c>
      <c r="Y410" t="s">
        <v>270</v>
      </c>
      <c r="Z410" t="str">
        <f t="shared" si="84"/>
        <v>Quadros Eléctricos de Arranque 04</v>
      </c>
      <c r="AA410"/>
      <c r="AD410" s="13" t="s">
        <v>267</v>
      </c>
      <c r="AF410" t="str">
        <f t="shared" si="80"/>
        <v>Quadro EléctricoQuadros Eléctricos de Arranque</v>
      </c>
      <c r="AG410" s="28" t="str">
        <f>VLOOKUP(AF410,Imagens!$C$2:$D$42,2,FALSE)</f>
        <v>65e8d2fa35c12</v>
      </c>
      <c r="AH410" t="str">
        <f>_xlfn.CONCAT(Imagens!$H$2,'registo_ativo-CDs (1)'!AG410)</f>
        <v>assets/imagens/products/65e8d2fa35c12</v>
      </c>
      <c r="AI410" s="67">
        <v>45379</v>
      </c>
      <c r="AK410" s="32"/>
    </row>
    <row r="411" spans="1:37" ht="16.8" customHeight="1" x14ac:dyDescent="0.3">
      <c r="A411">
        <f t="shared" si="83"/>
        <v>15</v>
      </c>
      <c r="B411" t="str">
        <f t="shared" si="78"/>
        <v>CD47BBG131VSU04</v>
      </c>
      <c r="C411" t="str">
        <f t="shared" si="79"/>
        <v>CD-MACT-BBG-EBC-VSU-04</v>
      </c>
      <c r="E411" t="s">
        <v>37</v>
      </c>
      <c r="F411" t="s">
        <v>46</v>
      </c>
      <c r="G411" t="s">
        <v>46</v>
      </c>
      <c r="H411" s="20" t="s">
        <v>250</v>
      </c>
      <c r="I411" t="s">
        <v>88</v>
      </c>
      <c r="J411">
        <f>VLOOKUP(H411,ID!$C$3:$D$100,2,FALSE)</f>
        <v>47</v>
      </c>
      <c r="K411" t="s">
        <v>274</v>
      </c>
      <c r="L411" t="str">
        <f>VLOOKUP(K411,Localizacoes!$E$3:$F$100,2,FALSE)</f>
        <v>BBG</v>
      </c>
      <c r="M411" t="str">
        <f>VLOOKUP(K411,ID!$E$3:$F$100,2,FALSE)</f>
        <v>BBG</v>
      </c>
      <c r="N411" t="s">
        <v>704</v>
      </c>
      <c r="O411" t="str">
        <f>VLOOKUP(N411,Localizacoes!$G$3:$H$100,2,FALSE)</f>
        <v>EBC</v>
      </c>
      <c r="P411">
        <f>VLOOKUP(N411,ID!$G$3:$H$100,2,FALSE)</f>
        <v>131</v>
      </c>
      <c r="Q411" t="s">
        <v>276</v>
      </c>
      <c r="R411" t="str">
        <f>VLOOKUP(Q411,Localizacoes!$I$3:$J$100,2,FALSE)</f>
        <v>VSU</v>
      </c>
      <c r="S411" t="str">
        <f>VLOOKUP(Q411,ID!$I$3:$J$100,2,FALSE)</f>
        <v>VSU</v>
      </c>
      <c r="T411" s="4" t="s">
        <v>188</v>
      </c>
      <c r="U411" t="s">
        <v>264</v>
      </c>
      <c r="Y411" t="s">
        <v>271</v>
      </c>
      <c r="Z411" t="str">
        <f t="shared" si="84"/>
        <v>Válvula Sucção 04</v>
      </c>
      <c r="AA411"/>
      <c r="AD411" s="13" t="s">
        <v>267</v>
      </c>
      <c r="AF411" t="str">
        <f t="shared" si="80"/>
        <v>Electrobomba centrífugaVálvula Sucção</v>
      </c>
      <c r="AG411" s="28" t="str">
        <f>VLOOKUP(AF411,Imagens!$C$2:$D$42,2,FALSE)</f>
        <v>65e8cda0676b7</v>
      </c>
      <c r="AH411" t="str">
        <f>_xlfn.CONCAT(Imagens!$H$2,'registo_ativo-CDs (1)'!AG411)</f>
        <v>assets/imagens/products/65e8cda0676b7</v>
      </c>
      <c r="AI411" s="67">
        <v>45379</v>
      </c>
      <c r="AK411" s="32"/>
    </row>
    <row r="412" spans="1:37" ht="16.8" customHeight="1" x14ac:dyDescent="0.3">
      <c r="A412">
        <f t="shared" si="83"/>
        <v>15</v>
      </c>
      <c r="B412" t="str">
        <f t="shared" si="78"/>
        <v>CD47BBG131VDE04</v>
      </c>
      <c r="C412" t="str">
        <f t="shared" si="79"/>
        <v>CD-MACT-BBG-EBC-VDE-04</v>
      </c>
      <c r="E412" t="s">
        <v>37</v>
      </c>
      <c r="F412" t="s">
        <v>46</v>
      </c>
      <c r="G412" t="s">
        <v>46</v>
      </c>
      <c r="H412" s="20" t="s">
        <v>250</v>
      </c>
      <c r="I412" t="s">
        <v>88</v>
      </c>
      <c r="J412">
        <f>VLOOKUP(H412,ID!$C$3:$D$100,2,FALSE)</f>
        <v>47</v>
      </c>
      <c r="K412" t="s">
        <v>274</v>
      </c>
      <c r="L412" t="str">
        <f>VLOOKUP(K412,Localizacoes!$E$3:$F$100,2,FALSE)</f>
        <v>BBG</v>
      </c>
      <c r="M412" t="str">
        <f>VLOOKUP(K412,ID!$E$3:$F$100,2,FALSE)</f>
        <v>BBG</v>
      </c>
      <c r="N412" t="s">
        <v>704</v>
      </c>
      <c r="O412" t="str">
        <f>VLOOKUP(N412,Localizacoes!$G$3:$H$100,2,FALSE)</f>
        <v>EBC</v>
      </c>
      <c r="P412">
        <f>VLOOKUP(N412,ID!$G$3:$H$100,2,FALSE)</f>
        <v>131</v>
      </c>
      <c r="Q412" t="s">
        <v>279</v>
      </c>
      <c r="R412" t="str">
        <f>VLOOKUP(Q412,Localizacoes!$I$3:$J$100,2,FALSE)</f>
        <v>VDE</v>
      </c>
      <c r="S412" t="str">
        <f>VLOOKUP(Q412,ID!$I$3:$J$100,2,FALSE)</f>
        <v>VDE</v>
      </c>
      <c r="T412" s="4" t="s">
        <v>188</v>
      </c>
      <c r="U412" t="s">
        <v>264</v>
      </c>
      <c r="Y412" t="s">
        <v>270</v>
      </c>
      <c r="Z412" t="str">
        <f t="shared" si="84"/>
        <v>Válvula Descarga 04</v>
      </c>
      <c r="AA412"/>
      <c r="AD412" s="13" t="s">
        <v>267</v>
      </c>
      <c r="AF412" t="str">
        <f t="shared" si="80"/>
        <v>Electrobomba centrífugaVálvula Descarga</v>
      </c>
      <c r="AG412" s="28" t="str">
        <f>VLOOKUP(AF412,Imagens!$C$2:$D$42,2,FALSE)</f>
        <v>65e8cda0676b7</v>
      </c>
      <c r="AH412" t="str">
        <f>_xlfn.CONCAT(Imagens!$H$2,'registo_ativo-CDs (1)'!AG412)</f>
        <v>assets/imagens/products/65e8cda0676b7</v>
      </c>
      <c r="AI412" s="67">
        <v>45379</v>
      </c>
      <c r="AK412" s="32"/>
    </row>
    <row r="413" spans="1:37" ht="16.8" customHeight="1" x14ac:dyDescent="0.3">
      <c r="A413">
        <f t="shared" si="83"/>
        <v>15</v>
      </c>
      <c r="B413" t="str">
        <f t="shared" si="78"/>
        <v>CD47SQE152QBT01</v>
      </c>
      <c r="C413" t="str">
        <f t="shared" si="79"/>
        <v>CD-MACT-SQE-QEL-QBT-01</v>
      </c>
      <c r="E413" t="s">
        <v>37</v>
      </c>
      <c r="F413" t="s">
        <v>46</v>
      </c>
      <c r="G413" t="s">
        <v>46</v>
      </c>
      <c r="H413" s="20" t="s">
        <v>250</v>
      </c>
      <c r="I413" t="s">
        <v>88</v>
      </c>
      <c r="J413">
        <f>VLOOKUP(H413,ID!$C$3:$D$100,2,FALSE)</f>
        <v>47</v>
      </c>
      <c r="K413" t="s">
        <v>494</v>
      </c>
      <c r="L413" t="str">
        <f>VLOOKUP(K413,Localizacoes!$E$3:$F$100,2,FALSE)</f>
        <v>SQE</v>
      </c>
      <c r="M413" t="str">
        <f>VLOOKUP(K413,ID!$E$3:$F$100,2,FALSE)</f>
        <v>SQE</v>
      </c>
      <c r="N413" t="s">
        <v>286</v>
      </c>
      <c r="O413" t="str">
        <f>VLOOKUP(N413,Localizacoes!$G$3:$H$100,2,FALSE)</f>
        <v>QEL</v>
      </c>
      <c r="P413">
        <f>VLOOKUP(N413,ID!$G$3:$H$100,2,FALSE)</f>
        <v>152</v>
      </c>
      <c r="Q413" t="s">
        <v>443</v>
      </c>
      <c r="R413" t="str">
        <f>VLOOKUP(Q413,Localizacoes!$I$3:$J$100,2,FALSE)</f>
        <v>QBT</v>
      </c>
      <c r="S413" t="str">
        <f>VLOOKUP(Q413,ID!$I$3:$J$100,2,FALSE)</f>
        <v>QBT</v>
      </c>
      <c r="T413" s="4" t="s">
        <v>182</v>
      </c>
      <c r="U413" t="s">
        <v>265</v>
      </c>
      <c r="Y413" t="s">
        <v>270</v>
      </c>
      <c r="Z413" t="str">
        <f t="shared" si="84"/>
        <v>Quadro de Baixa Tensão 01</v>
      </c>
      <c r="AA413"/>
      <c r="AD413" s="13" t="s">
        <v>267</v>
      </c>
      <c r="AF413" t="str">
        <f t="shared" si="80"/>
        <v>Quadro EléctricoQuadro de Baixa Tensão</v>
      </c>
      <c r="AG413" s="28" t="str">
        <f>VLOOKUP(AF413,Imagens!$C$2:$D$42,2,FALSE)</f>
        <v>65d1346bf3835</v>
      </c>
      <c r="AH413" t="str">
        <f>_xlfn.CONCAT(Imagens!$H$2,'registo_ativo-CDs (1)'!AG413)</f>
        <v>assets/imagens/products/65d1346bf3835</v>
      </c>
      <c r="AI413" s="67">
        <v>45379</v>
      </c>
      <c r="AK413" s="32"/>
    </row>
    <row r="414" spans="1:37" ht="16.8" customHeight="1" x14ac:dyDescent="0.3">
      <c r="A414">
        <f t="shared" si="83"/>
        <v>15</v>
      </c>
      <c r="B414" t="str">
        <f t="shared" si="78"/>
        <v>CD47SQE152QBT02</v>
      </c>
      <c r="C414" t="str">
        <f t="shared" si="79"/>
        <v>CD-MACT-SQE-QEL-QBT-02</v>
      </c>
      <c r="E414" t="s">
        <v>37</v>
      </c>
      <c r="F414" t="s">
        <v>46</v>
      </c>
      <c r="G414" t="s">
        <v>46</v>
      </c>
      <c r="H414" s="20" t="s">
        <v>250</v>
      </c>
      <c r="I414" t="s">
        <v>88</v>
      </c>
      <c r="J414">
        <f>VLOOKUP(H414,ID!$C$3:$D$100,2,FALSE)</f>
        <v>47</v>
      </c>
      <c r="K414" t="s">
        <v>494</v>
      </c>
      <c r="L414" t="str">
        <f>VLOOKUP(K414,Localizacoes!$E$3:$F$100,2,FALSE)</f>
        <v>SQE</v>
      </c>
      <c r="M414" t="str">
        <f>VLOOKUP(K414,ID!$E$3:$F$100,2,FALSE)</f>
        <v>SQE</v>
      </c>
      <c r="N414" t="s">
        <v>286</v>
      </c>
      <c r="O414" t="str">
        <f>VLOOKUP(N414,Localizacoes!$G$3:$H$100,2,FALSE)</f>
        <v>QEL</v>
      </c>
      <c r="P414">
        <f>VLOOKUP(N414,ID!$G$3:$H$100,2,FALSE)</f>
        <v>152</v>
      </c>
      <c r="Q414" t="s">
        <v>443</v>
      </c>
      <c r="R414" t="str">
        <f>VLOOKUP(Q414,Localizacoes!$I$3:$J$100,2,FALSE)</f>
        <v>QBT</v>
      </c>
      <c r="S414" t="str">
        <f>VLOOKUP(Q414,ID!$I$3:$J$100,2,FALSE)</f>
        <v>QBT</v>
      </c>
      <c r="T414" s="4" t="s">
        <v>186</v>
      </c>
      <c r="U414" t="s">
        <v>265</v>
      </c>
      <c r="Y414" t="s">
        <v>270</v>
      </c>
      <c r="Z414" t="str">
        <f t="shared" si="84"/>
        <v>Quadro de Baixa Tensão 02</v>
      </c>
      <c r="AA414"/>
      <c r="AD414" s="13" t="s">
        <v>267</v>
      </c>
      <c r="AF414" t="str">
        <f t="shared" si="80"/>
        <v>Quadro EléctricoQuadro de Baixa Tensão</v>
      </c>
      <c r="AG414" s="28" t="str">
        <f>VLOOKUP(AF414,Imagens!$C$2:$D$42,2,FALSE)</f>
        <v>65d1346bf3835</v>
      </c>
      <c r="AH414" t="str">
        <f>_xlfn.CONCAT(Imagens!$H$2,'registo_ativo-CDs (1)'!AG414)</f>
        <v>assets/imagens/products/65d1346bf3835</v>
      </c>
      <c r="AI414" s="67">
        <v>45379</v>
      </c>
      <c r="AK414" s="32"/>
    </row>
    <row r="415" spans="1:37" ht="16.8" customHeight="1" x14ac:dyDescent="0.3">
      <c r="A415">
        <f t="shared" si="83"/>
        <v>15</v>
      </c>
      <c r="B415" t="str">
        <f t="shared" si="78"/>
        <v>CD47SQE152QBT03</v>
      </c>
      <c r="C415" t="str">
        <f t="shared" si="79"/>
        <v>CD-MACT-SQE-QEL-QBT-03</v>
      </c>
      <c r="E415" t="s">
        <v>37</v>
      </c>
      <c r="F415" t="s">
        <v>46</v>
      </c>
      <c r="G415" t="s">
        <v>46</v>
      </c>
      <c r="H415" s="20" t="s">
        <v>250</v>
      </c>
      <c r="I415" t="s">
        <v>88</v>
      </c>
      <c r="J415">
        <f>VLOOKUP(H415,ID!$C$3:$D$100,2,FALSE)</f>
        <v>47</v>
      </c>
      <c r="K415" t="s">
        <v>494</v>
      </c>
      <c r="L415" t="str">
        <f>VLOOKUP(K415,Localizacoes!$E$3:$F$100,2,FALSE)</f>
        <v>SQE</v>
      </c>
      <c r="M415" t="str">
        <f>VLOOKUP(K415,ID!$E$3:$F$100,2,FALSE)</f>
        <v>SQE</v>
      </c>
      <c r="N415" t="s">
        <v>286</v>
      </c>
      <c r="O415" t="str">
        <f>VLOOKUP(N415,Localizacoes!$G$3:$H$100,2,FALSE)</f>
        <v>QEL</v>
      </c>
      <c r="P415">
        <f>VLOOKUP(N415,ID!$G$3:$H$100,2,FALSE)</f>
        <v>152</v>
      </c>
      <c r="Q415" t="s">
        <v>443</v>
      </c>
      <c r="R415" t="str">
        <f>VLOOKUP(Q415,Localizacoes!$I$3:$J$100,2,FALSE)</f>
        <v>QBT</v>
      </c>
      <c r="S415" t="str">
        <f>VLOOKUP(Q415,ID!$I$3:$J$100,2,FALSE)</f>
        <v>QBT</v>
      </c>
      <c r="T415" s="4" t="s">
        <v>187</v>
      </c>
      <c r="U415" t="s">
        <v>265</v>
      </c>
      <c r="Y415" t="s">
        <v>270</v>
      </c>
      <c r="Z415" t="str">
        <f t="shared" si="84"/>
        <v>Quadro de Baixa Tensão 03</v>
      </c>
      <c r="AA415"/>
      <c r="AD415" s="13" t="s">
        <v>267</v>
      </c>
      <c r="AF415" t="str">
        <f t="shared" si="80"/>
        <v>Quadro EléctricoQuadro de Baixa Tensão</v>
      </c>
      <c r="AG415" s="28" t="str">
        <f>VLOOKUP(AF415,Imagens!$C$2:$D$42,2,FALSE)</f>
        <v>65d1346bf3835</v>
      </c>
      <c r="AH415" t="str">
        <f>_xlfn.CONCAT(Imagens!$H$2,'registo_ativo-CDs (1)'!AG415)</f>
        <v>assets/imagens/products/65d1346bf3835</v>
      </c>
      <c r="AI415" s="67">
        <v>45379</v>
      </c>
      <c r="AK415" s="32"/>
    </row>
    <row r="416" spans="1:37" ht="16.8" customHeight="1" x14ac:dyDescent="0.3">
      <c r="A416">
        <f t="shared" si="83"/>
        <v>15</v>
      </c>
      <c r="B416" t="str">
        <f t="shared" si="78"/>
        <v>CD47SQE152QBT04</v>
      </c>
      <c r="C416" t="str">
        <f t="shared" si="79"/>
        <v>CD-MACT-SQE-QEL-QBT-04</v>
      </c>
      <c r="E416" t="s">
        <v>37</v>
      </c>
      <c r="F416" t="s">
        <v>46</v>
      </c>
      <c r="G416" t="s">
        <v>46</v>
      </c>
      <c r="H416" s="20" t="s">
        <v>250</v>
      </c>
      <c r="I416" t="s">
        <v>88</v>
      </c>
      <c r="J416">
        <f>VLOOKUP(H416,ID!$C$3:$D$100,2,FALSE)</f>
        <v>47</v>
      </c>
      <c r="K416" t="s">
        <v>494</v>
      </c>
      <c r="L416" t="str">
        <f>VLOOKUP(K416,Localizacoes!$E$3:$F$100,2,FALSE)</f>
        <v>SQE</v>
      </c>
      <c r="M416" t="str">
        <f>VLOOKUP(K416,ID!$E$3:$F$100,2,FALSE)</f>
        <v>SQE</v>
      </c>
      <c r="N416" t="s">
        <v>286</v>
      </c>
      <c r="O416" t="str">
        <f>VLOOKUP(N416,Localizacoes!$G$3:$H$100,2,FALSE)</f>
        <v>QEL</v>
      </c>
      <c r="P416">
        <f>VLOOKUP(N416,ID!$G$3:$H$100,2,FALSE)</f>
        <v>152</v>
      </c>
      <c r="Q416" t="s">
        <v>443</v>
      </c>
      <c r="R416" t="str">
        <f>VLOOKUP(Q416,Localizacoes!$I$3:$J$100,2,FALSE)</f>
        <v>QBT</v>
      </c>
      <c r="S416" t="str">
        <f>VLOOKUP(Q416,ID!$I$3:$J$100,2,FALSE)</f>
        <v>QBT</v>
      </c>
      <c r="T416" s="4" t="s">
        <v>188</v>
      </c>
      <c r="U416" t="s">
        <v>265</v>
      </c>
      <c r="Y416" t="s">
        <v>270</v>
      </c>
      <c r="Z416" t="str">
        <f t="shared" si="84"/>
        <v>Quadro de Baixa Tensão 04</v>
      </c>
      <c r="AA416"/>
      <c r="AD416" s="13" t="s">
        <v>267</v>
      </c>
      <c r="AF416" t="str">
        <f t="shared" si="80"/>
        <v>Quadro EléctricoQuadro de Baixa Tensão</v>
      </c>
      <c r="AG416" s="28" t="str">
        <f>VLOOKUP(AF416,Imagens!$C$2:$D$42,2,FALSE)</f>
        <v>65d1346bf3835</v>
      </c>
      <c r="AH416" t="str">
        <f>_xlfn.CONCAT(Imagens!$H$2,'registo_ativo-CDs (1)'!AG416)</f>
        <v>assets/imagens/products/65d1346bf3835</v>
      </c>
      <c r="AI416" s="67">
        <v>45379</v>
      </c>
      <c r="AK416" s="32"/>
    </row>
    <row r="417" spans="1:37" ht="16.8" customHeight="1" x14ac:dyDescent="0.3">
      <c r="A417">
        <f t="shared" si="83"/>
        <v>15</v>
      </c>
      <c r="B417" t="str">
        <f t="shared" si="78"/>
        <v>CD47SB1165TRA01</v>
      </c>
      <c r="C417" t="str">
        <f t="shared" si="79"/>
        <v>CD-MACT-SB1-SUB-TRA-01</v>
      </c>
      <c r="E417" t="s">
        <v>37</v>
      </c>
      <c r="F417" t="s">
        <v>46</v>
      </c>
      <c r="G417" t="s">
        <v>46</v>
      </c>
      <c r="H417" s="20" t="s">
        <v>250</v>
      </c>
      <c r="I417" t="s">
        <v>88</v>
      </c>
      <c r="J417">
        <f>VLOOKUP(H417,ID!$C$3:$D$100,2,FALSE)</f>
        <v>47</v>
      </c>
      <c r="K417" t="s">
        <v>127</v>
      </c>
      <c r="L417" t="str">
        <f>VLOOKUP(K417,Localizacoes!$E$3:$F$100,2,FALSE)</f>
        <v>SB1</v>
      </c>
      <c r="M417" t="str">
        <f>VLOOKUP(K417,ID!$E$3:$F$100,2,FALSE)</f>
        <v>SB1</v>
      </c>
      <c r="N417" t="s">
        <v>112</v>
      </c>
      <c r="O417" t="str">
        <f>VLOOKUP(N417,Localizacoes!$G$3:$H$100,2,FALSE)</f>
        <v>SUB</v>
      </c>
      <c r="P417">
        <f>VLOOKUP(N417,ID!$G$3:$H$100,2,FALSE)</f>
        <v>165</v>
      </c>
      <c r="Q417" t="s">
        <v>176</v>
      </c>
      <c r="R417" t="str">
        <f>VLOOKUP(Q417,Localizacoes!$I$3:$J$100,2,FALSE)</f>
        <v>TRA</v>
      </c>
      <c r="S417" t="str">
        <f>VLOOKUP(Q417,ID!$I$3:$J$100,2,FALSE)</f>
        <v>TRA</v>
      </c>
      <c r="T417" s="4" t="s">
        <v>182</v>
      </c>
      <c r="U417" t="s">
        <v>265</v>
      </c>
      <c r="Y417" t="s">
        <v>270</v>
      </c>
      <c r="Z417" t="str">
        <f t="shared" si="84"/>
        <v>Transformador 01</v>
      </c>
      <c r="AA417"/>
      <c r="AD417" s="13" t="s">
        <v>267</v>
      </c>
      <c r="AF417" t="str">
        <f t="shared" si="80"/>
        <v>SubestaçãoTransformador</v>
      </c>
      <c r="AG417" s="28" t="str">
        <f>VLOOKUP(AF417,Imagens!$C$2:$D$42,2,FALSE)</f>
        <v>65e8d98d73a3d</v>
      </c>
      <c r="AH417" t="str">
        <f>_xlfn.CONCAT(Imagens!$H$2,'registo_ativo-CDs (1)'!AG417)</f>
        <v>assets/imagens/products/65e8d98d73a3d</v>
      </c>
      <c r="AI417" s="67">
        <v>45323</v>
      </c>
      <c r="AK417" s="32"/>
    </row>
    <row r="418" spans="1:37" ht="16.8" customHeight="1" x14ac:dyDescent="0.3">
      <c r="A418">
        <f t="shared" si="83"/>
        <v>15</v>
      </c>
      <c r="B418" t="str">
        <f t="shared" si="78"/>
        <v>CD47SQE152QEI01</v>
      </c>
      <c r="C418" t="str">
        <f t="shared" si="79"/>
        <v>CD-MACT-SQE-QEL-QEI-01</v>
      </c>
      <c r="E418" t="s">
        <v>37</v>
      </c>
      <c r="F418" t="s">
        <v>46</v>
      </c>
      <c r="G418" t="s">
        <v>46</v>
      </c>
      <c r="H418" s="20" t="s">
        <v>250</v>
      </c>
      <c r="I418" t="s">
        <v>88</v>
      </c>
      <c r="J418">
        <f>VLOOKUP(H418,ID!$C$3:$D$100,2,FALSE)</f>
        <v>47</v>
      </c>
      <c r="K418" t="s">
        <v>494</v>
      </c>
      <c r="L418" t="str">
        <f>VLOOKUP(K418,Localizacoes!$E$3:$F$100,2,FALSE)</f>
        <v>SQE</v>
      </c>
      <c r="M418" t="str">
        <f>VLOOKUP(K418,ID!$E$3:$F$100,2,FALSE)</f>
        <v>SQE</v>
      </c>
      <c r="N418" t="s">
        <v>286</v>
      </c>
      <c r="O418" t="str">
        <f>VLOOKUP(N418,Localizacoes!$G$3:$H$100,2,FALSE)</f>
        <v>QEL</v>
      </c>
      <c r="P418">
        <f>VLOOKUP(N418,ID!$G$3:$H$100,2,FALSE)</f>
        <v>152</v>
      </c>
      <c r="Q418" t="s">
        <v>446</v>
      </c>
      <c r="R418" t="str">
        <f>VLOOKUP(Q418,Localizacoes!$I$3:$J$100,2,FALSE)</f>
        <v>QEI</v>
      </c>
      <c r="S418" t="str">
        <f>VLOOKUP(Q418,ID!$I$3:$J$100,2,FALSE)</f>
        <v>QEI</v>
      </c>
      <c r="T418" s="4" t="s">
        <v>182</v>
      </c>
      <c r="U418" t="s">
        <v>265</v>
      </c>
      <c r="Y418" t="s">
        <v>270</v>
      </c>
      <c r="Z418" t="str">
        <f t="shared" si="84"/>
        <v>Quadro Eléctrico de Instrumentação 01</v>
      </c>
      <c r="AA418"/>
      <c r="AD418" s="13" t="s">
        <v>267</v>
      </c>
      <c r="AF418" t="str">
        <f t="shared" si="80"/>
        <v>Quadro EléctricoQuadro Eléctrico de Instrumentação</v>
      </c>
      <c r="AG418" s="28" t="str">
        <f>VLOOKUP(AF418,Imagens!$C$2:$D$42,2,FALSE)</f>
        <v>65d1346bf3835</v>
      </c>
      <c r="AH418" t="str">
        <f>_xlfn.CONCAT(Imagens!$H$2,'registo_ativo-CDs (1)'!AG418)</f>
        <v>assets/imagens/products/65d1346bf3835</v>
      </c>
      <c r="AI418" s="67">
        <v>45379</v>
      </c>
      <c r="AK418" s="32"/>
    </row>
    <row r="419" spans="1:37" ht="16.8" customHeight="1" x14ac:dyDescent="0.3">
      <c r="A419">
        <f t="shared" si="83"/>
        <v>15</v>
      </c>
      <c r="B419" t="str">
        <f t="shared" si="78"/>
        <v>CD84BBG131BOM01</v>
      </c>
      <c r="C419" t="str">
        <f t="shared" si="79"/>
        <v>CD-VOL-BBG-EBC-BOM-01</v>
      </c>
      <c r="E419" t="s">
        <v>37</v>
      </c>
      <c r="F419" t="s">
        <v>46</v>
      </c>
      <c r="G419" t="s">
        <v>46</v>
      </c>
      <c r="H419" s="14" t="s">
        <v>557</v>
      </c>
      <c r="I419" t="s">
        <v>558</v>
      </c>
      <c r="J419">
        <f>VLOOKUP(H419,ID!$C$3:$D$100,2,FALSE)</f>
        <v>84</v>
      </c>
      <c r="K419" t="s">
        <v>274</v>
      </c>
      <c r="L419" t="str">
        <f>VLOOKUP(K419,Localizacoes!$E$3:$F$100,2,FALSE)</f>
        <v>BBG</v>
      </c>
      <c r="M419" t="str">
        <f>VLOOKUP(K419,ID!$E$3:$F$100,2,FALSE)</f>
        <v>BBG</v>
      </c>
      <c r="N419" t="s">
        <v>704</v>
      </c>
      <c r="O419" t="str">
        <f>VLOOKUP(N419,Localizacoes!$G$3:$H$100,2,FALSE)</f>
        <v>EBC</v>
      </c>
      <c r="P419">
        <f>VLOOKUP(N419,ID!$G$3:$H$100,2,FALSE)</f>
        <v>131</v>
      </c>
      <c r="Q419" t="s">
        <v>150</v>
      </c>
      <c r="R419" t="str">
        <f>VLOOKUP(Q419,Localizacoes!$I$3:$J$100,2,FALSE)</f>
        <v>BOM</v>
      </c>
      <c r="S419" t="str">
        <f>VLOOKUP(Q419,ID!$I$3:$J$100,2,FALSE)</f>
        <v>BOM</v>
      </c>
      <c r="T419" s="4" t="s">
        <v>182</v>
      </c>
      <c r="U419" t="s">
        <v>264</v>
      </c>
      <c r="V419" t="s">
        <v>559</v>
      </c>
      <c r="W419" t="s">
        <v>560</v>
      </c>
      <c r="Y419" t="s">
        <v>270</v>
      </c>
      <c r="Z419" t="str">
        <f t="shared" si="84"/>
        <v>Bomba 01</v>
      </c>
      <c r="AA419"/>
      <c r="AD419" s="13" t="s">
        <v>7</v>
      </c>
      <c r="AF419" t="str">
        <f t="shared" si="80"/>
        <v>Electrobomba centrífugaBomba</v>
      </c>
      <c r="AG419" s="28" t="str">
        <f>VLOOKUP(AF419,Imagens!$C$2:$D$42,2,FALSE)</f>
        <v>65e96125c1d11</v>
      </c>
      <c r="AH419" t="str">
        <f>_xlfn.CONCAT(Imagens!$H$2,'registo_ativo-CDs (1)'!AG419)</f>
        <v>assets/imagens/products/65e96125c1d11</v>
      </c>
      <c r="AI419" s="67">
        <v>45299</v>
      </c>
      <c r="AK419" s="32"/>
    </row>
    <row r="420" spans="1:37" ht="16.8" customHeight="1" x14ac:dyDescent="0.3">
      <c r="A420">
        <f t="shared" si="83"/>
        <v>15</v>
      </c>
      <c r="B420" t="str">
        <f t="shared" si="78"/>
        <v>CD84BBG131MOT01</v>
      </c>
      <c r="C420" t="str">
        <f t="shared" si="79"/>
        <v>CD-VOL-BBG-EBC-MOT-01</v>
      </c>
      <c r="E420" t="s">
        <v>37</v>
      </c>
      <c r="F420" t="s">
        <v>46</v>
      </c>
      <c r="G420" t="s">
        <v>46</v>
      </c>
      <c r="H420" s="14" t="s">
        <v>557</v>
      </c>
      <c r="I420" t="s">
        <v>558</v>
      </c>
      <c r="J420">
        <f>VLOOKUP(H420,ID!$C$3:$D$100,2,FALSE)</f>
        <v>84</v>
      </c>
      <c r="K420" t="s">
        <v>274</v>
      </c>
      <c r="L420" t="str">
        <f>VLOOKUP(K420,Localizacoes!$E$3:$F$100,2,FALSE)</f>
        <v>BBG</v>
      </c>
      <c r="M420" t="str">
        <f>VLOOKUP(K420,ID!$E$3:$F$100,2,FALSE)</f>
        <v>BBG</v>
      </c>
      <c r="N420" t="s">
        <v>704</v>
      </c>
      <c r="O420" t="str">
        <f>VLOOKUP(N420,Localizacoes!$G$3:$H$100,2,FALSE)</f>
        <v>EBC</v>
      </c>
      <c r="P420">
        <f>VLOOKUP(N420,ID!$G$3:$H$100,2,FALSE)</f>
        <v>131</v>
      </c>
      <c r="Q420" t="s">
        <v>21</v>
      </c>
      <c r="R420" t="str">
        <f>VLOOKUP(Q420,Localizacoes!$I$3:$J$100,2,FALSE)</f>
        <v>MOT</v>
      </c>
      <c r="S420" t="str">
        <f>VLOOKUP(Q420,ID!$I$3:$J$100,2,FALSE)</f>
        <v>MOT</v>
      </c>
      <c r="T420" s="4" t="s">
        <v>182</v>
      </c>
      <c r="U420" t="s">
        <v>265</v>
      </c>
      <c r="V420" t="s">
        <v>411</v>
      </c>
      <c r="W420" t="s">
        <v>561</v>
      </c>
      <c r="Y420" t="s">
        <v>270</v>
      </c>
      <c r="Z420" t="str">
        <f t="shared" si="84"/>
        <v>Motor 01</v>
      </c>
      <c r="AA420"/>
      <c r="AD420" s="13" t="s">
        <v>7</v>
      </c>
      <c r="AF420" t="str">
        <f t="shared" si="80"/>
        <v>Electrobomba centrífugaMotor</v>
      </c>
      <c r="AG420" s="28" t="str">
        <f>VLOOKUP(AF420,Imagens!$C$2:$D$42,2,FALSE)</f>
        <v>65d04210323a4</v>
      </c>
      <c r="AH420" t="str">
        <f>_xlfn.CONCAT(Imagens!$H$2,'registo_ativo-CDs (1)'!AG420)</f>
        <v>assets/imagens/products/65d04210323a4</v>
      </c>
      <c r="AI420" s="67">
        <v>45299</v>
      </c>
      <c r="AK420" s="32"/>
    </row>
    <row r="421" spans="1:37" ht="16.8" customHeight="1" x14ac:dyDescent="0.3">
      <c r="A421">
        <f t="shared" si="83"/>
        <v>15</v>
      </c>
      <c r="B421" t="str">
        <f t="shared" si="78"/>
        <v>CD84BBG131QEA01</v>
      </c>
      <c r="C421" t="str">
        <f t="shared" si="79"/>
        <v>CD-VOL-BBG-EBC-QEA-01</v>
      </c>
      <c r="E421" t="s">
        <v>37</v>
      </c>
      <c r="F421" t="s">
        <v>46</v>
      </c>
      <c r="G421" t="s">
        <v>46</v>
      </c>
      <c r="H421" s="14" t="s">
        <v>557</v>
      </c>
      <c r="I421" t="s">
        <v>558</v>
      </c>
      <c r="J421">
        <f>VLOOKUP(H421,ID!$C$3:$D$100,2,FALSE)</f>
        <v>84</v>
      </c>
      <c r="K421" t="s">
        <v>274</v>
      </c>
      <c r="L421" t="str">
        <f>VLOOKUP(K421,Localizacoes!$E$3:$F$100,2,FALSE)</f>
        <v>BBG</v>
      </c>
      <c r="M421" t="str">
        <f>VLOOKUP(K421,ID!$E$3:$F$100,2,FALSE)</f>
        <v>BBG</v>
      </c>
      <c r="N421" t="s">
        <v>704</v>
      </c>
      <c r="O421" t="str">
        <f>VLOOKUP(N421,Localizacoes!$G$3:$H$100,2,FALSE)</f>
        <v>EBC</v>
      </c>
      <c r="P421">
        <f>VLOOKUP(N421,ID!$G$3:$H$100,2,FALSE)</f>
        <v>131</v>
      </c>
      <c r="Q421" t="s">
        <v>154</v>
      </c>
      <c r="R421" t="str">
        <f>VLOOKUP(Q421,Localizacoes!$I$3:$J$100,2,FALSE)</f>
        <v>QEA</v>
      </c>
      <c r="S421" t="str">
        <f>VLOOKUP(Q421,ID!$I$3:$J$100,2,FALSE)</f>
        <v>QEA</v>
      </c>
      <c r="T421" s="4" t="s">
        <v>182</v>
      </c>
      <c r="U421" t="s">
        <v>265</v>
      </c>
      <c r="V421" t="s">
        <v>562</v>
      </c>
      <c r="W421" t="s">
        <v>563</v>
      </c>
      <c r="Y421" t="s">
        <v>270</v>
      </c>
      <c r="Z421" t="str">
        <f t="shared" si="84"/>
        <v>Quadros Eléctricos de Arranque 01</v>
      </c>
      <c r="AA421"/>
      <c r="AD421" s="13" t="s">
        <v>267</v>
      </c>
      <c r="AF421" t="str">
        <f t="shared" si="80"/>
        <v>Electrobomba centrífugaQuadros Eléctricos de Arranque</v>
      </c>
      <c r="AG421" s="28" t="str">
        <f>VLOOKUP(AF421,Imagens!$C$2:$D$42,2,FALSE)</f>
        <v>65e8d2fa35c12</v>
      </c>
      <c r="AH421" t="str">
        <f>_xlfn.CONCAT(Imagens!$H$2,'registo_ativo-CDs (1)'!AG421)</f>
        <v>assets/imagens/products/65e8d2fa35c12</v>
      </c>
      <c r="AI421" s="67">
        <v>45355</v>
      </c>
      <c r="AK421" s="32"/>
    </row>
    <row r="422" spans="1:37" ht="16.8" customHeight="1" x14ac:dyDescent="0.3">
      <c r="A422">
        <f t="shared" si="83"/>
        <v>15</v>
      </c>
      <c r="B422" t="str">
        <f t="shared" si="78"/>
        <v>CD84BBG131VSU01</v>
      </c>
      <c r="C422" t="str">
        <f t="shared" si="79"/>
        <v>CD-VOL-BBG-EBC-VSU-01</v>
      </c>
      <c r="E422" t="s">
        <v>37</v>
      </c>
      <c r="F422" t="s">
        <v>46</v>
      </c>
      <c r="G422" t="s">
        <v>46</v>
      </c>
      <c r="H422" s="14" t="s">
        <v>557</v>
      </c>
      <c r="I422" t="s">
        <v>558</v>
      </c>
      <c r="J422">
        <f>VLOOKUP(H422,ID!$C$3:$D$100,2,FALSE)</f>
        <v>84</v>
      </c>
      <c r="K422" t="s">
        <v>274</v>
      </c>
      <c r="L422" t="str">
        <f>VLOOKUP(K422,Localizacoes!$E$3:$F$100,2,FALSE)</f>
        <v>BBG</v>
      </c>
      <c r="M422" t="str">
        <f>VLOOKUP(K422,ID!$E$3:$F$100,2,FALSE)</f>
        <v>BBG</v>
      </c>
      <c r="N422" t="s">
        <v>704</v>
      </c>
      <c r="O422" t="str">
        <f>VLOOKUP(N422,Localizacoes!$G$3:$H$100,2,FALSE)</f>
        <v>EBC</v>
      </c>
      <c r="P422">
        <f>VLOOKUP(N422,ID!$G$3:$H$100,2,FALSE)</f>
        <v>131</v>
      </c>
      <c r="Q422" t="s">
        <v>276</v>
      </c>
      <c r="R422" t="str">
        <f>VLOOKUP(Q422,Localizacoes!$I$3:$J$100,2,FALSE)</f>
        <v>VSU</v>
      </c>
      <c r="S422" t="str">
        <f>VLOOKUP(Q422,ID!$I$3:$J$100,2,FALSE)</f>
        <v>VSU</v>
      </c>
      <c r="T422" s="4" t="s">
        <v>182</v>
      </c>
      <c r="U422" t="s">
        <v>264</v>
      </c>
      <c r="W422" t="s">
        <v>564</v>
      </c>
      <c r="Y422" t="s">
        <v>270</v>
      </c>
      <c r="Z422" t="str">
        <f t="shared" si="84"/>
        <v>Válvula Sucção 01</v>
      </c>
      <c r="AA422"/>
      <c r="AD422" s="13" t="s">
        <v>267</v>
      </c>
      <c r="AF422" t="str">
        <f t="shared" si="80"/>
        <v>Electrobomba centrífugaVálvula Sucção</v>
      </c>
      <c r="AG422" s="28" t="str">
        <f>VLOOKUP(AF422,Imagens!$C$2:$D$42,2,FALSE)</f>
        <v>65e8cda0676b7</v>
      </c>
      <c r="AH422" t="str">
        <f>_xlfn.CONCAT(Imagens!$H$2,'registo_ativo-CDs (1)'!AG422)</f>
        <v>assets/imagens/products/65e8cda0676b7</v>
      </c>
      <c r="AI422" s="67">
        <v>45355</v>
      </c>
      <c r="AK422" s="32"/>
    </row>
    <row r="423" spans="1:37" ht="16.8" customHeight="1" x14ac:dyDescent="0.3">
      <c r="A423">
        <f t="shared" si="83"/>
        <v>15</v>
      </c>
      <c r="B423" t="str">
        <f t="shared" si="78"/>
        <v>CD84BBG131VDE01</v>
      </c>
      <c r="C423" t="str">
        <f t="shared" si="79"/>
        <v>CD-VOL-BBG-EBC-VDE-01</v>
      </c>
      <c r="E423" t="s">
        <v>37</v>
      </c>
      <c r="F423" t="s">
        <v>46</v>
      </c>
      <c r="G423" t="s">
        <v>46</v>
      </c>
      <c r="H423" s="14" t="s">
        <v>557</v>
      </c>
      <c r="I423" t="s">
        <v>558</v>
      </c>
      <c r="J423">
        <f>VLOOKUP(H423,ID!$C$3:$D$100,2,FALSE)</f>
        <v>84</v>
      </c>
      <c r="K423" t="s">
        <v>274</v>
      </c>
      <c r="L423" t="str">
        <f>VLOOKUP(K423,Localizacoes!$E$3:$F$100,2,FALSE)</f>
        <v>BBG</v>
      </c>
      <c r="M423" t="str">
        <f>VLOOKUP(K423,ID!$E$3:$F$100,2,FALSE)</f>
        <v>BBG</v>
      </c>
      <c r="N423" t="s">
        <v>704</v>
      </c>
      <c r="O423" t="str">
        <f>VLOOKUP(N423,Localizacoes!$G$3:$H$100,2,FALSE)</f>
        <v>EBC</v>
      </c>
      <c r="P423">
        <f>VLOOKUP(N423,ID!$G$3:$H$100,2,FALSE)</f>
        <v>131</v>
      </c>
      <c r="Q423" t="s">
        <v>279</v>
      </c>
      <c r="R423" t="str">
        <f>VLOOKUP(Q423,Localizacoes!$I$3:$J$100,2,FALSE)</f>
        <v>VDE</v>
      </c>
      <c r="S423" t="str">
        <f>VLOOKUP(Q423,ID!$I$3:$J$100,2,FALSE)</f>
        <v>VDE</v>
      </c>
      <c r="T423" s="4" t="s">
        <v>182</v>
      </c>
      <c r="U423" t="s">
        <v>264</v>
      </c>
      <c r="W423" t="s">
        <v>564</v>
      </c>
      <c r="Y423" t="s">
        <v>270</v>
      </c>
      <c r="Z423" t="str">
        <f t="shared" si="84"/>
        <v>Válvula Descarga 01</v>
      </c>
      <c r="AA423"/>
      <c r="AD423" s="13" t="s">
        <v>267</v>
      </c>
      <c r="AF423" t="str">
        <f t="shared" si="80"/>
        <v>Electrobomba centrífugaVálvula Descarga</v>
      </c>
      <c r="AG423" s="28" t="str">
        <f>VLOOKUP(AF423,Imagens!$C$2:$D$42,2,FALSE)</f>
        <v>65e8cda0676b7</v>
      </c>
      <c r="AH423" t="str">
        <f>_xlfn.CONCAT(Imagens!$H$2,'registo_ativo-CDs (1)'!AG423)</f>
        <v>assets/imagens/products/65e8cda0676b7</v>
      </c>
      <c r="AI423" s="67">
        <v>45355</v>
      </c>
      <c r="AK423" s="32"/>
    </row>
    <row r="424" spans="1:37" ht="16.8" customHeight="1" x14ac:dyDescent="0.3">
      <c r="A424">
        <f t="shared" si="83"/>
        <v>15</v>
      </c>
      <c r="B424" t="str">
        <f t="shared" si="78"/>
        <v>CD84BBG131BOM02</v>
      </c>
      <c r="C424" t="str">
        <f t="shared" si="79"/>
        <v>CD-VOL-BBG-EBC-BOM-02</v>
      </c>
      <c r="E424" t="s">
        <v>37</v>
      </c>
      <c r="F424" t="s">
        <v>46</v>
      </c>
      <c r="G424" t="s">
        <v>46</v>
      </c>
      <c r="H424" s="14" t="s">
        <v>557</v>
      </c>
      <c r="I424" t="s">
        <v>558</v>
      </c>
      <c r="J424">
        <f>VLOOKUP(H424,ID!$C$3:$D$100,2,FALSE)</f>
        <v>84</v>
      </c>
      <c r="K424" t="s">
        <v>274</v>
      </c>
      <c r="L424" t="str">
        <f>VLOOKUP(K424,Localizacoes!$E$3:$F$100,2,FALSE)</f>
        <v>BBG</v>
      </c>
      <c r="M424" t="str">
        <f>VLOOKUP(K424,ID!$E$3:$F$100,2,FALSE)</f>
        <v>BBG</v>
      </c>
      <c r="N424" t="s">
        <v>704</v>
      </c>
      <c r="O424" t="str">
        <f>VLOOKUP(N424,Localizacoes!$G$3:$H$100,2,FALSE)</f>
        <v>EBC</v>
      </c>
      <c r="P424">
        <f>VLOOKUP(N424,ID!$G$3:$H$100,2,FALSE)</f>
        <v>131</v>
      </c>
      <c r="Q424" t="s">
        <v>150</v>
      </c>
      <c r="R424" t="str">
        <f>VLOOKUP(Q424,Localizacoes!$I$3:$J$100,2,FALSE)</f>
        <v>BOM</v>
      </c>
      <c r="S424" t="str">
        <f>VLOOKUP(Q424,ID!$I$3:$J$100,2,FALSE)</f>
        <v>BOM</v>
      </c>
      <c r="T424" s="4" t="s">
        <v>186</v>
      </c>
      <c r="U424" t="s">
        <v>264</v>
      </c>
      <c r="V424" t="s">
        <v>559</v>
      </c>
      <c r="W424" t="s">
        <v>560</v>
      </c>
      <c r="Y424" t="s">
        <v>270</v>
      </c>
      <c r="Z424" t="str">
        <f t="shared" si="84"/>
        <v>Bomba 02</v>
      </c>
      <c r="AA424"/>
      <c r="AD424" s="13" t="s">
        <v>7</v>
      </c>
      <c r="AF424" t="str">
        <f t="shared" si="80"/>
        <v>Electrobomba centrífugaBomba</v>
      </c>
      <c r="AG424" s="28" t="str">
        <f>VLOOKUP(AF424,Imagens!$C$2:$D$42,2,FALSE)</f>
        <v>65e96125c1d11</v>
      </c>
      <c r="AH424" t="str">
        <f>_xlfn.CONCAT(Imagens!$H$2,'registo_ativo-CDs (1)'!AG424)</f>
        <v>assets/imagens/products/65e96125c1d11</v>
      </c>
      <c r="AI424" s="67">
        <v>45299</v>
      </c>
      <c r="AK424" s="32"/>
    </row>
    <row r="425" spans="1:37" ht="16.8" customHeight="1" x14ac:dyDescent="0.3">
      <c r="A425">
        <f t="shared" si="83"/>
        <v>15</v>
      </c>
      <c r="B425" t="str">
        <f t="shared" si="78"/>
        <v>CD84BBG131MOT02</v>
      </c>
      <c r="C425" t="str">
        <f t="shared" si="79"/>
        <v>CD-VOL-BBG-EBC-MOT-02</v>
      </c>
      <c r="E425" t="s">
        <v>37</v>
      </c>
      <c r="F425" t="s">
        <v>46</v>
      </c>
      <c r="G425" t="s">
        <v>46</v>
      </c>
      <c r="H425" s="14" t="s">
        <v>557</v>
      </c>
      <c r="I425" t="s">
        <v>558</v>
      </c>
      <c r="J425">
        <f>VLOOKUP(H425,ID!$C$3:$D$100,2,FALSE)</f>
        <v>84</v>
      </c>
      <c r="K425" t="s">
        <v>274</v>
      </c>
      <c r="L425" t="str">
        <f>VLOOKUP(K425,Localizacoes!$E$3:$F$100,2,FALSE)</f>
        <v>BBG</v>
      </c>
      <c r="M425" t="str">
        <f>VLOOKUP(K425,ID!$E$3:$F$100,2,FALSE)</f>
        <v>BBG</v>
      </c>
      <c r="N425" t="s">
        <v>704</v>
      </c>
      <c r="O425" t="str">
        <f>VLOOKUP(N425,Localizacoes!$G$3:$H$100,2,FALSE)</f>
        <v>EBC</v>
      </c>
      <c r="P425">
        <f>VLOOKUP(N425,ID!$G$3:$H$100,2,FALSE)</f>
        <v>131</v>
      </c>
      <c r="Q425" t="s">
        <v>21</v>
      </c>
      <c r="R425" t="str">
        <f>VLOOKUP(Q425,Localizacoes!$I$3:$J$100,2,FALSE)</f>
        <v>MOT</v>
      </c>
      <c r="S425" t="str">
        <f>VLOOKUP(Q425,ID!$I$3:$J$100,2,FALSE)</f>
        <v>MOT</v>
      </c>
      <c r="T425" s="4" t="s">
        <v>186</v>
      </c>
      <c r="U425" t="s">
        <v>265</v>
      </c>
      <c r="V425" t="s">
        <v>411</v>
      </c>
      <c r="W425" t="s">
        <v>561</v>
      </c>
      <c r="Y425" t="s">
        <v>270</v>
      </c>
      <c r="Z425" t="str">
        <f t="shared" si="84"/>
        <v>Motor 02</v>
      </c>
      <c r="AA425"/>
      <c r="AD425" s="13" t="s">
        <v>7</v>
      </c>
      <c r="AF425" t="str">
        <f t="shared" si="80"/>
        <v>Electrobomba centrífugaMotor</v>
      </c>
      <c r="AG425" s="28" t="str">
        <f>VLOOKUP(AF425,Imagens!$C$2:$D$42,2,FALSE)</f>
        <v>65d04210323a4</v>
      </c>
      <c r="AH425" t="str">
        <f>_xlfn.CONCAT(Imagens!$H$2,'registo_ativo-CDs (1)'!AG425)</f>
        <v>assets/imagens/products/65d04210323a4</v>
      </c>
      <c r="AI425" s="67">
        <v>45299</v>
      </c>
      <c r="AK425" s="32"/>
    </row>
    <row r="426" spans="1:37" ht="16.8" customHeight="1" x14ac:dyDescent="0.3">
      <c r="A426">
        <f t="shared" si="83"/>
        <v>15</v>
      </c>
      <c r="B426" t="str">
        <f t="shared" si="78"/>
        <v>CD84BBG131QEA02</v>
      </c>
      <c r="C426" t="str">
        <f t="shared" si="79"/>
        <v>CD-VOL-BBG-EBC-QEA-02</v>
      </c>
      <c r="E426" t="s">
        <v>37</v>
      </c>
      <c r="F426" t="s">
        <v>46</v>
      </c>
      <c r="G426" t="s">
        <v>46</v>
      </c>
      <c r="H426" s="14" t="s">
        <v>557</v>
      </c>
      <c r="I426" t="s">
        <v>558</v>
      </c>
      <c r="J426">
        <f>VLOOKUP(H426,ID!$C$3:$D$100,2,FALSE)</f>
        <v>84</v>
      </c>
      <c r="K426" t="s">
        <v>274</v>
      </c>
      <c r="L426" t="str">
        <f>VLOOKUP(K426,Localizacoes!$E$3:$F$100,2,FALSE)</f>
        <v>BBG</v>
      </c>
      <c r="M426" t="str">
        <f>VLOOKUP(K426,ID!$E$3:$F$100,2,FALSE)</f>
        <v>BBG</v>
      </c>
      <c r="N426" t="s">
        <v>704</v>
      </c>
      <c r="O426" t="str">
        <f>VLOOKUP(N426,Localizacoes!$G$3:$H$100,2,FALSE)</f>
        <v>EBC</v>
      </c>
      <c r="P426">
        <f>VLOOKUP(N426,ID!$G$3:$H$100,2,FALSE)</f>
        <v>131</v>
      </c>
      <c r="Q426" t="s">
        <v>154</v>
      </c>
      <c r="R426" t="str">
        <f>VLOOKUP(Q426,Localizacoes!$I$3:$J$100,2,FALSE)</f>
        <v>QEA</v>
      </c>
      <c r="S426" t="str">
        <f>VLOOKUP(Q426,ID!$I$3:$J$100,2,FALSE)</f>
        <v>QEA</v>
      </c>
      <c r="T426" s="4" t="s">
        <v>186</v>
      </c>
      <c r="U426" t="s">
        <v>265</v>
      </c>
      <c r="Y426" t="s">
        <v>270</v>
      </c>
      <c r="Z426" t="str">
        <f t="shared" si="84"/>
        <v>Quadros Eléctricos de Arranque 02</v>
      </c>
      <c r="AA426"/>
      <c r="AD426" s="13" t="s">
        <v>267</v>
      </c>
      <c r="AF426" t="str">
        <f t="shared" si="80"/>
        <v>Electrobomba centrífugaQuadros Eléctricos de Arranque</v>
      </c>
      <c r="AG426" s="28" t="str">
        <f>VLOOKUP(AF426,Imagens!$C$2:$D$42,2,FALSE)</f>
        <v>65e8d2fa35c12</v>
      </c>
      <c r="AH426" t="str">
        <f>_xlfn.CONCAT(Imagens!$H$2,'registo_ativo-CDs (1)'!AG426)</f>
        <v>assets/imagens/products/65e8d2fa35c12</v>
      </c>
      <c r="AI426" s="67">
        <v>45355</v>
      </c>
      <c r="AK426" s="32"/>
    </row>
    <row r="427" spans="1:37" ht="16.8" customHeight="1" x14ac:dyDescent="0.3">
      <c r="A427">
        <f t="shared" si="83"/>
        <v>15</v>
      </c>
      <c r="B427" t="str">
        <f t="shared" si="78"/>
        <v>CD84BBG131VSU02</v>
      </c>
      <c r="C427" t="str">
        <f t="shared" si="79"/>
        <v>CD-VOL-BBG-EBC-VSU-02</v>
      </c>
      <c r="E427" t="s">
        <v>37</v>
      </c>
      <c r="F427" t="s">
        <v>46</v>
      </c>
      <c r="G427" t="s">
        <v>46</v>
      </c>
      <c r="H427" s="14" t="s">
        <v>557</v>
      </c>
      <c r="I427" t="s">
        <v>558</v>
      </c>
      <c r="J427">
        <f>VLOOKUP(H427,ID!$C$3:$D$100,2,FALSE)</f>
        <v>84</v>
      </c>
      <c r="K427" t="s">
        <v>274</v>
      </c>
      <c r="L427" t="str">
        <f>VLOOKUP(K427,Localizacoes!$E$3:$F$100,2,FALSE)</f>
        <v>BBG</v>
      </c>
      <c r="M427" t="str">
        <f>VLOOKUP(K427,ID!$E$3:$F$100,2,FALSE)</f>
        <v>BBG</v>
      </c>
      <c r="N427" t="s">
        <v>704</v>
      </c>
      <c r="O427" t="str">
        <f>VLOOKUP(N427,Localizacoes!$G$3:$H$100,2,FALSE)</f>
        <v>EBC</v>
      </c>
      <c r="P427">
        <f>VLOOKUP(N427,ID!$G$3:$H$100,2,FALSE)</f>
        <v>131</v>
      </c>
      <c r="Q427" t="s">
        <v>276</v>
      </c>
      <c r="R427" t="str">
        <f>VLOOKUP(Q427,Localizacoes!$I$3:$J$100,2,FALSE)</f>
        <v>VSU</v>
      </c>
      <c r="S427" t="str">
        <f>VLOOKUP(Q427,ID!$I$3:$J$100,2,FALSE)</f>
        <v>VSU</v>
      </c>
      <c r="T427" s="4" t="s">
        <v>186</v>
      </c>
      <c r="U427" t="s">
        <v>264</v>
      </c>
      <c r="W427" t="s">
        <v>564</v>
      </c>
      <c r="Y427" t="s">
        <v>270</v>
      </c>
      <c r="Z427" t="str">
        <f t="shared" si="84"/>
        <v>Válvula Sucção 02</v>
      </c>
      <c r="AA427"/>
      <c r="AD427" s="13" t="s">
        <v>267</v>
      </c>
      <c r="AF427" t="str">
        <f t="shared" si="80"/>
        <v>Electrobomba centrífugaVálvula Sucção</v>
      </c>
      <c r="AG427" s="28" t="str">
        <f>VLOOKUP(AF427,Imagens!$C$2:$D$42,2,FALSE)</f>
        <v>65e8cda0676b7</v>
      </c>
      <c r="AH427" t="str">
        <f>_xlfn.CONCAT(Imagens!$H$2,'registo_ativo-CDs (1)'!AG427)</f>
        <v>assets/imagens/products/65e8cda0676b7</v>
      </c>
      <c r="AI427" s="67">
        <v>45355</v>
      </c>
      <c r="AK427" s="32"/>
    </row>
    <row r="428" spans="1:37" ht="16.8" customHeight="1" x14ac:dyDescent="0.3">
      <c r="A428">
        <f t="shared" si="83"/>
        <v>15</v>
      </c>
      <c r="B428" t="str">
        <f t="shared" si="78"/>
        <v>CD84BBG131VDE02</v>
      </c>
      <c r="C428" t="str">
        <f t="shared" si="79"/>
        <v>CD-VOL-BBG-EBC-VDE-02</v>
      </c>
      <c r="E428" t="s">
        <v>37</v>
      </c>
      <c r="F428" t="s">
        <v>46</v>
      </c>
      <c r="G428" t="s">
        <v>46</v>
      </c>
      <c r="H428" s="14" t="s">
        <v>557</v>
      </c>
      <c r="I428" t="s">
        <v>558</v>
      </c>
      <c r="J428">
        <f>VLOOKUP(H428,ID!$C$3:$D$100,2,FALSE)</f>
        <v>84</v>
      </c>
      <c r="K428" t="s">
        <v>274</v>
      </c>
      <c r="L428" t="str">
        <f>VLOOKUP(K428,Localizacoes!$E$3:$F$100,2,FALSE)</f>
        <v>BBG</v>
      </c>
      <c r="M428" t="str">
        <f>VLOOKUP(K428,ID!$E$3:$F$100,2,FALSE)</f>
        <v>BBG</v>
      </c>
      <c r="N428" t="s">
        <v>704</v>
      </c>
      <c r="O428" t="str">
        <f>VLOOKUP(N428,Localizacoes!$G$3:$H$100,2,FALSE)</f>
        <v>EBC</v>
      </c>
      <c r="P428">
        <f>VLOOKUP(N428,ID!$G$3:$H$100,2,FALSE)</f>
        <v>131</v>
      </c>
      <c r="Q428" t="s">
        <v>279</v>
      </c>
      <c r="R428" t="str">
        <f>VLOOKUP(Q428,Localizacoes!$I$3:$J$100,2,FALSE)</f>
        <v>VDE</v>
      </c>
      <c r="S428" t="str">
        <f>VLOOKUP(Q428,ID!$I$3:$J$100,2,FALSE)</f>
        <v>VDE</v>
      </c>
      <c r="T428" s="4" t="s">
        <v>186</v>
      </c>
      <c r="U428" t="s">
        <v>264</v>
      </c>
      <c r="W428" t="s">
        <v>564</v>
      </c>
      <c r="Y428" t="s">
        <v>270</v>
      </c>
      <c r="Z428" t="str">
        <f t="shared" si="84"/>
        <v>Válvula Descarga 02</v>
      </c>
      <c r="AA428"/>
      <c r="AD428" s="13" t="s">
        <v>267</v>
      </c>
      <c r="AF428" t="str">
        <f t="shared" si="80"/>
        <v>Electrobomba centrífugaVálvula Descarga</v>
      </c>
      <c r="AG428" s="28" t="str">
        <f>VLOOKUP(AF428,Imagens!$C$2:$D$42,2,FALSE)</f>
        <v>65e8cda0676b7</v>
      </c>
      <c r="AH428" t="str">
        <f>_xlfn.CONCAT(Imagens!$H$2,'registo_ativo-CDs (1)'!AG428)</f>
        <v>assets/imagens/products/65e8cda0676b7</v>
      </c>
      <c r="AI428" s="67">
        <v>45355</v>
      </c>
      <c r="AK428" s="32"/>
    </row>
    <row r="429" spans="1:37" ht="16.8" customHeight="1" x14ac:dyDescent="0.3">
      <c r="A429">
        <f t="shared" si="83"/>
        <v>15</v>
      </c>
      <c r="B429" t="str">
        <f t="shared" si="78"/>
        <v>CD84BBG131BOM03</v>
      </c>
      <c r="C429" t="str">
        <f t="shared" si="79"/>
        <v>CD-VOL-BBG-EBC-BOM-03</v>
      </c>
      <c r="E429" t="s">
        <v>37</v>
      </c>
      <c r="F429" t="s">
        <v>46</v>
      </c>
      <c r="G429" t="s">
        <v>46</v>
      </c>
      <c r="H429" s="14" t="s">
        <v>557</v>
      </c>
      <c r="I429" t="s">
        <v>558</v>
      </c>
      <c r="J429">
        <f>VLOOKUP(H429,ID!$C$3:$D$100,2,FALSE)</f>
        <v>84</v>
      </c>
      <c r="K429" t="s">
        <v>274</v>
      </c>
      <c r="L429" t="str">
        <f>VLOOKUP(K429,Localizacoes!$E$3:$F$100,2,FALSE)</f>
        <v>BBG</v>
      </c>
      <c r="M429" t="str">
        <f>VLOOKUP(K429,ID!$E$3:$F$100,2,FALSE)</f>
        <v>BBG</v>
      </c>
      <c r="N429" t="s">
        <v>704</v>
      </c>
      <c r="O429" t="str">
        <f>VLOOKUP(N429,Localizacoes!$G$3:$H$100,2,FALSE)</f>
        <v>EBC</v>
      </c>
      <c r="P429">
        <f>VLOOKUP(N429,ID!$G$3:$H$100,2,FALSE)</f>
        <v>131</v>
      </c>
      <c r="Q429" t="s">
        <v>150</v>
      </c>
      <c r="R429" t="str">
        <f>VLOOKUP(Q429,Localizacoes!$I$3:$J$100,2,FALSE)</f>
        <v>BOM</v>
      </c>
      <c r="S429" t="str">
        <f>VLOOKUP(Q429,ID!$I$3:$J$100,2,FALSE)</f>
        <v>BOM</v>
      </c>
      <c r="T429" s="4" t="s">
        <v>187</v>
      </c>
      <c r="U429" t="s">
        <v>264</v>
      </c>
      <c r="V429" t="s">
        <v>559</v>
      </c>
      <c r="W429" t="s">
        <v>560</v>
      </c>
      <c r="Y429" t="s">
        <v>270</v>
      </c>
      <c r="Z429" t="str">
        <f t="shared" si="84"/>
        <v>Bomba 03</v>
      </c>
      <c r="AA429"/>
      <c r="AD429" s="13" t="s">
        <v>7</v>
      </c>
      <c r="AF429" t="str">
        <f t="shared" si="80"/>
        <v>Electrobomba centrífugaBomba</v>
      </c>
      <c r="AG429" s="28" t="str">
        <f>VLOOKUP(AF429,Imagens!$C$2:$D$42,2,FALSE)</f>
        <v>65e96125c1d11</v>
      </c>
      <c r="AH429" t="str">
        <f>_xlfn.CONCAT(Imagens!$H$2,'registo_ativo-CDs (1)'!AG429)</f>
        <v>assets/imagens/products/65e96125c1d11</v>
      </c>
      <c r="AI429" s="67">
        <v>45299</v>
      </c>
      <c r="AK429" s="32"/>
    </row>
    <row r="430" spans="1:37" ht="16.8" customHeight="1" x14ac:dyDescent="0.3">
      <c r="A430">
        <f t="shared" si="83"/>
        <v>15</v>
      </c>
      <c r="B430" t="str">
        <f t="shared" si="78"/>
        <v>CD84BBG131MOT03</v>
      </c>
      <c r="C430" t="str">
        <f t="shared" si="79"/>
        <v>CD-VOL-BBG-EBC-MOT-03</v>
      </c>
      <c r="E430" t="s">
        <v>37</v>
      </c>
      <c r="F430" t="s">
        <v>46</v>
      </c>
      <c r="G430" t="s">
        <v>46</v>
      </c>
      <c r="H430" s="14" t="s">
        <v>557</v>
      </c>
      <c r="I430" t="s">
        <v>558</v>
      </c>
      <c r="J430">
        <f>VLOOKUP(H430,ID!$C$3:$D$100,2,FALSE)</f>
        <v>84</v>
      </c>
      <c r="K430" t="s">
        <v>274</v>
      </c>
      <c r="L430" t="str">
        <f>VLOOKUP(K430,Localizacoes!$E$3:$F$100,2,FALSE)</f>
        <v>BBG</v>
      </c>
      <c r="M430" t="str">
        <f>VLOOKUP(K430,ID!$E$3:$F$100,2,FALSE)</f>
        <v>BBG</v>
      </c>
      <c r="N430" t="s">
        <v>704</v>
      </c>
      <c r="O430" t="str">
        <f>VLOOKUP(N430,Localizacoes!$G$3:$H$100,2,FALSE)</f>
        <v>EBC</v>
      </c>
      <c r="P430">
        <f>VLOOKUP(N430,ID!$G$3:$H$100,2,FALSE)</f>
        <v>131</v>
      </c>
      <c r="Q430" t="s">
        <v>21</v>
      </c>
      <c r="R430" t="str">
        <f>VLOOKUP(Q430,Localizacoes!$I$3:$J$100,2,FALSE)</f>
        <v>MOT</v>
      </c>
      <c r="S430" t="str">
        <f>VLOOKUP(Q430,ID!$I$3:$J$100,2,FALSE)</f>
        <v>MOT</v>
      </c>
      <c r="T430" s="4" t="s">
        <v>187</v>
      </c>
      <c r="U430" t="s">
        <v>265</v>
      </c>
      <c r="V430" t="s">
        <v>411</v>
      </c>
      <c r="W430" t="s">
        <v>565</v>
      </c>
      <c r="Y430" t="s">
        <v>270</v>
      </c>
      <c r="Z430" t="str">
        <f t="shared" si="84"/>
        <v>Motor 03</v>
      </c>
      <c r="AA430"/>
      <c r="AD430" s="16" t="s">
        <v>7</v>
      </c>
      <c r="AF430" t="str">
        <f t="shared" si="80"/>
        <v>Electrobomba centrífugaMotor</v>
      </c>
      <c r="AG430" s="28" t="str">
        <f>VLOOKUP(AF430,Imagens!$C$2:$D$42,2,FALSE)</f>
        <v>65d04210323a4</v>
      </c>
      <c r="AH430" t="str">
        <f>_xlfn.CONCAT(Imagens!$H$2,'registo_ativo-CDs (1)'!AG430)</f>
        <v>assets/imagens/products/65d04210323a4</v>
      </c>
      <c r="AI430" s="67">
        <v>45299</v>
      </c>
      <c r="AK430" s="32"/>
    </row>
    <row r="431" spans="1:37" ht="16.8" customHeight="1" x14ac:dyDescent="0.3">
      <c r="A431">
        <f t="shared" si="83"/>
        <v>15</v>
      </c>
      <c r="B431" t="str">
        <f t="shared" si="78"/>
        <v>CD84BBG131QEA03</v>
      </c>
      <c r="C431" t="str">
        <f t="shared" si="79"/>
        <v>CD-VOL-BBG-EBC-QEA-03</v>
      </c>
      <c r="E431" t="s">
        <v>37</v>
      </c>
      <c r="F431" t="s">
        <v>46</v>
      </c>
      <c r="G431" t="s">
        <v>46</v>
      </c>
      <c r="H431" s="14" t="s">
        <v>557</v>
      </c>
      <c r="I431" t="s">
        <v>558</v>
      </c>
      <c r="J431">
        <f>VLOOKUP(H431,ID!$C$3:$D$100,2,FALSE)</f>
        <v>84</v>
      </c>
      <c r="K431" t="s">
        <v>274</v>
      </c>
      <c r="L431" t="str">
        <f>VLOOKUP(K431,Localizacoes!$E$3:$F$100,2,FALSE)</f>
        <v>BBG</v>
      </c>
      <c r="M431" t="str">
        <f>VLOOKUP(K431,ID!$E$3:$F$100,2,FALSE)</f>
        <v>BBG</v>
      </c>
      <c r="N431" t="s">
        <v>704</v>
      </c>
      <c r="O431" t="str">
        <f>VLOOKUP(N431,Localizacoes!$G$3:$H$100,2,FALSE)</f>
        <v>EBC</v>
      </c>
      <c r="P431">
        <f>VLOOKUP(N431,ID!$G$3:$H$100,2,FALSE)</f>
        <v>131</v>
      </c>
      <c r="Q431" t="s">
        <v>154</v>
      </c>
      <c r="R431" t="str">
        <f>VLOOKUP(Q431,Localizacoes!$I$3:$J$100,2,FALSE)</f>
        <v>QEA</v>
      </c>
      <c r="S431" t="str">
        <f>VLOOKUP(Q431,ID!$I$3:$J$100,2,FALSE)</f>
        <v>QEA</v>
      </c>
      <c r="T431" s="4" t="s">
        <v>187</v>
      </c>
      <c r="U431" t="s">
        <v>265</v>
      </c>
      <c r="Y431" t="s">
        <v>270</v>
      </c>
      <c r="Z431" t="str">
        <f t="shared" si="84"/>
        <v>Quadros Eléctricos de Arranque 03</v>
      </c>
      <c r="AA431"/>
      <c r="AD431" s="16" t="s">
        <v>267</v>
      </c>
      <c r="AF431" t="str">
        <f t="shared" si="80"/>
        <v>Electrobomba centrífugaQuadros Eléctricos de Arranque</v>
      </c>
      <c r="AG431" s="28" t="str">
        <f>VLOOKUP(AF431,Imagens!$C$2:$D$42,2,FALSE)</f>
        <v>65e8d2fa35c12</v>
      </c>
      <c r="AH431" t="str">
        <f>_xlfn.CONCAT(Imagens!$H$2,'registo_ativo-CDs (1)'!AG431)</f>
        <v>assets/imagens/products/65e8d2fa35c12</v>
      </c>
      <c r="AI431" s="67">
        <v>45355</v>
      </c>
      <c r="AK431" s="32"/>
    </row>
    <row r="432" spans="1:37" ht="16.8" customHeight="1" x14ac:dyDescent="0.3">
      <c r="A432">
        <f t="shared" si="83"/>
        <v>15</v>
      </c>
      <c r="B432" t="str">
        <f t="shared" si="78"/>
        <v>CD84BBG131VSU03</v>
      </c>
      <c r="C432" t="str">
        <f t="shared" si="79"/>
        <v>CD-VOL-BBG-EBC-VSU-03</v>
      </c>
      <c r="E432" t="s">
        <v>37</v>
      </c>
      <c r="F432" t="s">
        <v>46</v>
      </c>
      <c r="G432" t="s">
        <v>46</v>
      </c>
      <c r="H432" s="14" t="s">
        <v>557</v>
      </c>
      <c r="I432" t="s">
        <v>558</v>
      </c>
      <c r="J432">
        <f>VLOOKUP(H432,ID!$C$3:$D$100,2,FALSE)</f>
        <v>84</v>
      </c>
      <c r="K432" t="s">
        <v>274</v>
      </c>
      <c r="L432" t="str">
        <f>VLOOKUP(K432,Localizacoes!$E$3:$F$100,2,FALSE)</f>
        <v>BBG</v>
      </c>
      <c r="M432" t="str">
        <f>VLOOKUP(K432,ID!$E$3:$F$100,2,FALSE)</f>
        <v>BBG</v>
      </c>
      <c r="N432" t="s">
        <v>704</v>
      </c>
      <c r="O432" t="str">
        <f>VLOOKUP(N432,Localizacoes!$G$3:$H$100,2,FALSE)</f>
        <v>EBC</v>
      </c>
      <c r="P432">
        <f>VLOOKUP(N432,ID!$G$3:$H$100,2,FALSE)</f>
        <v>131</v>
      </c>
      <c r="Q432" t="s">
        <v>276</v>
      </c>
      <c r="R432" t="str">
        <f>VLOOKUP(Q432,Localizacoes!$I$3:$J$100,2,FALSE)</f>
        <v>VSU</v>
      </c>
      <c r="S432" t="str">
        <f>VLOOKUP(Q432,ID!$I$3:$J$100,2,FALSE)</f>
        <v>VSU</v>
      </c>
      <c r="T432" s="4" t="s">
        <v>187</v>
      </c>
      <c r="U432" t="s">
        <v>264</v>
      </c>
      <c r="W432" t="s">
        <v>564</v>
      </c>
      <c r="Y432" t="s">
        <v>270</v>
      </c>
      <c r="Z432" t="str">
        <f t="shared" si="84"/>
        <v>Válvula Sucção 03</v>
      </c>
      <c r="AA432"/>
      <c r="AD432" s="13" t="s">
        <v>267</v>
      </c>
      <c r="AF432" t="str">
        <f t="shared" si="80"/>
        <v>Electrobomba centrífugaVálvula Sucção</v>
      </c>
      <c r="AG432" s="28" t="str">
        <f>VLOOKUP(AF432,Imagens!$C$2:$D$42,2,FALSE)</f>
        <v>65e8cda0676b7</v>
      </c>
      <c r="AH432" t="str">
        <f>_xlfn.CONCAT(Imagens!$H$2,'registo_ativo-CDs (1)'!AG432)</f>
        <v>assets/imagens/products/65e8cda0676b7</v>
      </c>
      <c r="AI432" s="67">
        <v>45355</v>
      </c>
      <c r="AK432" s="32"/>
    </row>
    <row r="433" spans="1:37" ht="16.8" customHeight="1" x14ac:dyDescent="0.3">
      <c r="A433">
        <f t="shared" si="83"/>
        <v>15</v>
      </c>
      <c r="B433" t="str">
        <f t="shared" si="78"/>
        <v>CD84BBG131VDE03</v>
      </c>
      <c r="C433" t="str">
        <f t="shared" si="79"/>
        <v>CD-VOL-BBG-EBC-VDE-03</v>
      </c>
      <c r="E433" t="s">
        <v>37</v>
      </c>
      <c r="F433" t="s">
        <v>46</v>
      </c>
      <c r="G433" t="s">
        <v>46</v>
      </c>
      <c r="H433" s="14" t="s">
        <v>557</v>
      </c>
      <c r="I433" t="s">
        <v>558</v>
      </c>
      <c r="J433">
        <f>VLOOKUP(H433,ID!$C$3:$D$100,2,FALSE)</f>
        <v>84</v>
      </c>
      <c r="K433" t="s">
        <v>274</v>
      </c>
      <c r="L433" t="str">
        <f>VLOOKUP(K433,Localizacoes!$E$3:$F$100,2,FALSE)</f>
        <v>BBG</v>
      </c>
      <c r="M433" t="str">
        <f>VLOOKUP(K433,ID!$E$3:$F$100,2,FALSE)</f>
        <v>BBG</v>
      </c>
      <c r="N433" t="s">
        <v>704</v>
      </c>
      <c r="O433" t="str">
        <f>VLOOKUP(N433,Localizacoes!$G$3:$H$100,2,FALSE)</f>
        <v>EBC</v>
      </c>
      <c r="P433">
        <f>VLOOKUP(N433,ID!$G$3:$H$100,2,FALSE)</f>
        <v>131</v>
      </c>
      <c r="Q433" t="s">
        <v>279</v>
      </c>
      <c r="R433" t="str">
        <f>VLOOKUP(Q433,Localizacoes!$I$3:$J$100,2,FALSE)</f>
        <v>VDE</v>
      </c>
      <c r="S433" t="str">
        <f>VLOOKUP(Q433,ID!$I$3:$J$100,2,FALSE)</f>
        <v>VDE</v>
      </c>
      <c r="T433" s="4" t="s">
        <v>187</v>
      </c>
      <c r="U433" t="s">
        <v>264</v>
      </c>
      <c r="W433" t="s">
        <v>564</v>
      </c>
      <c r="Y433" t="s">
        <v>270</v>
      </c>
      <c r="Z433" t="str">
        <f t="shared" si="84"/>
        <v>Válvula Descarga 03</v>
      </c>
      <c r="AA433"/>
      <c r="AD433" s="13" t="s">
        <v>267</v>
      </c>
      <c r="AF433" t="str">
        <f t="shared" si="80"/>
        <v>Electrobomba centrífugaVálvula Descarga</v>
      </c>
      <c r="AG433" s="28" t="str">
        <f>VLOOKUP(AF433,Imagens!$C$2:$D$42,2,FALSE)</f>
        <v>65e8cda0676b7</v>
      </c>
      <c r="AH433" t="str">
        <f>_xlfn.CONCAT(Imagens!$H$2,'registo_ativo-CDs (1)'!AG433)</f>
        <v>assets/imagens/products/65e8cda0676b7</v>
      </c>
      <c r="AI433" s="67">
        <v>45355</v>
      </c>
      <c r="AK433" s="32"/>
    </row>
    <row r="434" spans="1:37" ht="16.8" customHeight="1" x14ac:dyDescent="0.3">
      <c r="A434">
        <f t="shared" si="83"/>
        <v>15</v>
      </c>
      <c r="B434" t="str">
        <f t="shared" ref="B434:B502" si="85">CONCATENATE(G434,J434,M434,P434,S434,T434)</f>
        <v>CD84BBG131BOM04</v>
      </c>
      <c r="C434" t="str">
        <f t="shared" ref="C434:C502" si="86">CONCATENATE(F434, "-", I434, "-", L434, "-", O434, "-", R434, "-", T434)</f>
        <v>CD-VOL-BBG-EBC-BOM-04</v>
      </c>
      <c r="E434" t="s">
        <v>37</v>
      </c>
      <c r="F434" t="s">
        <v>46</v>
      </c>
      <c r="G434" t="s">
        <v>46</v>
      </c>
      <c r="H434" s="14" t="s">
        <v>557</v>
      </c>
      <c r="I434" t="s">
        <v>558</v>
      </c>
      <c r="J434">
        <f>VLOOKUP(H434,ID!$C$3:$D$100,2,FALSE)</f>
        <v>84</v>
      </c>
      <c r="K434" t="s">
        <v>274</v>
      </c>
      <c r="L434" t="str">
        <f>VLOOKUP(K434,Localizacoes!$E$3:$F$100,2,FALSE)</f>
        <v>BBG</v>
      </c>
      <c r="M434" t="str">
        <f>VLOOKUP(K434,ID!$E$3:$F$100,2,FALSE)</f>
        <v>BBG</v>
      </c>
      <c r="N434" t="s">
        <v>704</v>
      </c>
      <c r="O434" t="str">
        <f>VLOOKUP(N434,Localizacoes!$G$3:$H$100,2,FALSE)</f>
        <v>EBC</v>
      </c>
      <c r="P434">
        <f>VLOOKUP(N434,ID!$G$3:$H$100,2,FALSE)</f>
        <v>131</v>
      </c>
      <c r="Q434" t="s">
        <v>150</v>
      </c>
      <c r="R434" t="str">
        <f>VLOOKUP(Q434,Localizacoes!$I$3:$J$100,2,FALSE)</f>
        <v>BOM</v>
      </c>
      <c r="S434" t="str">
        <f>VLOOKUP(Q434,ID!$I$3:$J$100,2,FALSE)</f>
        <v>BOM</v>
      </c>
      <c r="T434" s="4" t="s">
        <v>188</v>
      </c>
      <c r="U434" t="s">
        <v>264</v>
      </c>
      <c r="V434" t="s">
        <v>559</v>
      </c>
      <c r="W434" t="s">
        <v>560</v>
      </c>
      <c r="X434" t="s">
        <v>6</v>
      </c>
      <c r="Y434" t="s">
        <v>270</v>
      </c>
      <c r="Z434" t="str">
        <f t="shared" si="84"/>
        <v>Bomba 04</v>
      </c>
      <c r="AA434"/>
      <c r="AD434" s="13" t="s">
        <v>7</v>
      </c>
      <c r="AF434" t="str">
        <f t="shared" ref="AF434:AF502" si="87">_xlfn.CONCAT(N434,Q434)</f>
        <v>Electrobomba centrífugaBomba</v>
      </c>
      <c r="AG434" s="28" t="str">
        <f>VLOOKUP(AF434,Imagens!$C$2:$D$42,2,FALSE)</f>
        <v>65e96125c1d11</v>
      </c>
      <c r="AH434" t="str">
        <f>_xlfn.CONCAT(Imagens!$H$2,'registo_ativo-CDs (1)'!AG434)</f>
        <v>assets/imagens/products/65e96125c1d11</v>
      </c>
      <c r="AI434" s="67">
        <v>45299</v>
      </c>
      <c r="AK434" s="32"/>
    </row>
    <row r="435" spans="1:37" ht="16.8" customHeight="1" x14ac:dyDescent="0.3">
      <c r="A435">
        <f t="shared" si="83"/>
        <v>15</v>
      </c>
      <c r="B435" t="str">
        <f t="shared" si="85"/>
        <v>CD84BBG131MOT04</v>
      </c>
      <c r="C435" t="str">
        <f t="shared" si="86"/>
        <v>CD-VOL-BBG-EBC-MOT-04</v>
      </c>
      <c r="E435" t="s">
        <v>37</v>
      </c>
      <c r="F435" t="s">
        <v>46</v>
      </c>
      <c r="G435" t="s">
        <v>46</v>
      </c>
      <c r="H435" s="14" t="s">
        <v>557</v>
      </c>
      <c r="I435" t="s">
        <v>558</v>
      </c>
      <c r="J435">
        <f>VLOOKUP(H435,ID!$C$3:$D$100,2,FALSE)</f>
        <v>84</v>
      </c>
      <c r="K435" t="s">
        <v>274</v>
      </c>
      <c r="L435" t="str">
        <f>VLOOKUP(K435,Localizacoes!$E$3:$F$100,2,FALSE)</f>
        <v>BBG</v>
      </c>
      <c r="M435" t="str">
        <f>VLOOKUP(K435,ID!$E$3:$F$100,2,FALSE)</f>
        <v>BBG</v>
      </c>
      <c r="N435" t="s">
        <v>704</v>
      </c>
      <c r="O435" t="str">
        <f>VLOOKUP(N435,Localizacoes!$G$3:$H$100,2,FALSE)</f>
        <v>EBC</v>
      </c>
      <c r="P435">
        <f>VLOOKUP(N435,ID!$G$3:$H$100,2,FALSE)</f>
        <v>131</v>
      </c>
      <c r="Q435" t="s">
        <v>21</v>
      </c>
      <c r="R435" t="str">
        <f>VLOOKUP(Q435,Localizacoes!$I$3:$J$100,2,FALSE)</f>
        <v>MOT</v>
      </c>
      <c r="S435" t="str">
        <f>VLOOKUP(Q435,ID!$I$3:$J$100,2,FALSE)</f>
        <v>MOT</v>
      </c>
      <c r="T435" s="4" t="s">
        <v>188</v>
      </c>
      <c r="U435" t="s">
        <v>265</v>
      </c>
      <c r="V435" t="s">
        <v>411</v>
      </c>
      <c r="W435" t="s">
        <v>566</v>
      </c>
      <c r="Y435" t="s">
        <v>270</v>
      </c>
      <c r="Z435" t="str">
        <f t="shared" si="84"/>
        <v>Motor 04</v>
      </c>
      <c r="AA435"/>
      <c r="AD435" s="13" t="s">
        <v>7</v>
      </c>
      <c r="AF435" t="str">
        <f t="shared" si="87"/>
        <v>Electrobomba centrífugaMotor</v>
      </c>
      <c r="AG435" s="28" t="str">
        <f>VLOOKUP(AF435,Imagens!$C$2:$D$42,2,FALSE)</f>
        <v>65d04210323a4</v>
      </c>
      <c r="AH435" t="str">
        <f>_xlfn.CONCAT(Imagens!$H$2,'registo_ativo-CDs (1)'!AG435)</f>
        <v>assets/imagens/products/65d04210323a4</v>
      </c>
      <c r="AI435" s="67">
        <v>45299</v>
      </c>
      <c r="AK435" s="32"/>
    </row>
    <row r="436" spans="1:37" ht="16.8" customHeight="1" x14ac:dyDescent="0.3">
      <c r="A436">
        <f t="shared" si="83"/>
        <v>15</v>
      </c>
      <c r="B436" t="str">
        <f t="shared" si="85"/>
        <v>CD84BBG131QEA04</v>
      </c>
      <c r="C436" t="str">
        <f t="shared" si="86"/>
        <v>CD-VOL-BBG-EBC-QEA-04</v>
      </c>
      <c r="E436" t="s">
        <v>37</v>
      </c>
      <c r="F436" t="s">
        <v>46</v>
      </c>
      <c r="G436" t="s">
        <v>46</v>
      </c>
      <c r="H436" s="14" t="s">
        <v>557</v>
      </c>
      <c r="I436" t="s">
        <v>558</v>
      </c>
      <c r="J436">
        <f>VLOOKUP(H436,ID!$C$3:$D$100,2,FALSE)</f>
        <v>84</v>
      </c>
      <c r="K436" t="s">
        <v>274</v>
      </c>
      <c r="L436" t="str">
        <f>VLOOKUP(K436,Localizacoes!$E$3:$F$100,2,FALSE)</f>
        <v>BBG</v>
      </c>
      <c r="M436" t="str">
        <f>VLOOKUP(K436,ID!$E$3:$F$100,2,FALSE)</f>
        <v>BBG</v>
      </c>
      <c r="N436" t="s">
        <v>704</v>
      </c>
      <c r="O436" t="str">
        <f>VLOOKUP(N436,Localizacoes!$G$3:$H$100,2,FALSE)</f>
        <v>EBC</v>
      </c>
      <c r="P436">
        <f>VLOOKUP(N436,ID!$G$3:$H$100,2,FALSE)</f>
        <v>131</v>
      </c>
      <c r="Q436" t="s">
        <v>154</v>
      </c>
      <c r="R436" t="str">
        <f>VLOOKUP(Q436,Localizacoes!$I$3:$J$100,2,FALSE)</f>
        <v>QEA</v>
      </c>
      <c r="S436" t="str">
        <f>VLOOKUP(Q436,ID!$I$3:$J$100,2,FALSE)</f>
        <v>QEA</v>
      </c>
      <c r="T436" s="4" t="s">
        <v>188</v>
      </c>
      <c r="U436" t="s">
        <v>265</v>
      </c>
      <c r="Y436" t="s">
        <v>270</v>
      </c>
      <c r="Z436" t="str">
        <f t="shared" si="84"/>
        <v>Quadros Eléctricos de Arranque 04</v>
      </c>
      <c r="AA436"/>
      <c r="AD436" s="13" t="s">
        <v>267</v>
      </c>
      <c r="AF436" t="str">
        <f t="shared" si="87"/>
        <v>Electrobomba centrífugaQuadros Eléctricos de Arranque</v>
      </c>
      <c r="AG436" s="28" t="str">
        <f>VLOOKUP(AF436,Imagens!$C$2:$D$42,2,FALSE)</f>
        <v>65e8d2fa35c12</v>
      </c>
      <c r="AH436" t="str">
        <f>_xlfn.CONCAT(Imagens!$H$2,'registo_ativo-CDs (1)'!AG436)</f>
        <v>assets/imagens/products/65e8d2fa35c12</v>
      </c>
      <c r="AI436" s="67">
        <v>45355</v>
      </c>
      <c r="AK436" s="32"/>
    </row>
    <row r="437" spans="1:37" ht="16.8" customHeight="1" x14ac:dyDescent="0.3">
      <c r="A437">
        <f t="shared" si="83"/>
        <v>15</v>
      </c>
      <c r="B437" t="str">
        <f t="shared" si="85"/>
        <v>CD84BBG131VSU04</v>
      </c>
      <c r="C437" t="str">
        <f t="shared" si="86"/>
        <v>CD-VOL-BBG-EBC-VSU-04</v>
      </c>
      <c r="E437" t="s">
        <v>37</v>
      </c>
      <c r="F437" t="s">
        <v>46</v>
      </c>
      <c r="G437" t="s">
        <v>46</v>
      </c>
      <c r="H437" s="14" t="s">
        <v>557</v>
      </c>
      <c r="I437" t="s">
        <v>558</v>
      </c>
      <c r="J437">
        <f>VLOOKUP(H437,ID!$C$3:$D$100,2,FALSE)</f>
        <v>84</v>
      </c>
      <c r="K437" t="s">
        <v>274</v>
      </c>
      <c r="L437" t="str">
        <f>VLOOKUP(K437,Localizacoes!$E$3:$F$100,2,FALSE)</f>
        <v>BBG</v>
      </c>
      <c r="M437" t="str">
        <f>VLOOKUP(K437,ID!$E$3:$F$100,2,FALSE)</f>
        <v>BBG</v>
      </c>
      <c r="N437" t="s">
        <v>704</v>
      </c>
      <c r="O437" t="str">
        <f>VLOOKUP(N437,Localizacoes!$G$3:$H$100,2,FALSE)</f>
        <v>EBC</v>
      </c>
      <c r="P437">
        <f>VLOOKUP(N437,ID!$G$3:$H$100,2,FALSE)</f>
        <v>131</v>
      </c>
      <c r="Q437" t="s">
        <v>276</v>
      </c>
      <c r="R437" t="str">
        <f>VLOOKUP(Q437,Localizacoes!$I$3:$J$100,2,FALSE)</f>
        <v>VSU</v>
      </c>
      <c r="S437" t="str">
        <f>VLOOKUP(Q437,ID!$I$3:$J$100,2,FALSE)</f>
        <v>VSU</v>
      </c>
      <c r="T437" s="4" t="s">
        <v>188</v>
      </c>
      <c r="U437" t="s">
        <v>264</v>
      </c>
      <c r="X437" t="s">
        <v>272</v>
      </c>
      <c r="Y437" t="s">
        <v>270</v>
      </c>
      <c r="Z437" t="str">
        <f t="shared" si="84"/>
        <v>Válvula Sucção 04</v>
      </c>
      <c r="AA437"/>
      <c r="AD437" s="13" t="s">
        <v>267</v>
      </c>
      <c r="AF437" t="str">
        <f t="shared" si="87"/>
        <v>Electrobomba centrífugaVálvula Sucção</v>
      </c>
      <c r="AG437" s="28" t="str">
        <f>VLOOKUP(AF437,Imagens!$C$2:$D$42,2,FALSE)</f>
        <v>65e8cda0676b7</v>
      </c>
      <c r="AH437" t="str">
        <f>_xlfn.CONCAT(Imagens!$H$2,'registo_ativo-CDs (1)'!AG437)</f>
        <v>assets/imagens/products/65e8cda0676b7</v>
      </c>
      <c r="AI437" s="67">
        <v>45355</v>
      </c>
      <c r="AK437" s="32"/>
    </row>
    <row r="438" spans="1:37" ht="16.8" customHeight="1" x14ac:dyDescent="0.3">
      <c r="A438">
        <f t="shared" ref="A438:A445" si="88">LEN(B438)</f>
        <v>15</v>
      </c>
      <c r="B438" t="str">
        <f t="shared" si="85"/>
        <v>CD84BBG131VDE05</v>
      </c>
      <c r="C438" t="str">
        <f t="shared" si="86"/>
        <v>CD-VOL-BBG-EBC-VDE-05</v>
      </c>
      <c r="E438" t="s">
        <v>37</v>
      </c>
      <c r="F438" t="s">
        <v>46</v>
      </c>
      <c r="G438" t="s">
        <v>46</v>
      </c>
      <c r="H438" s="14" t="s">
        <v>557</v>
      </c>
      <c r="I438" t="s">
        <v>558</v>
      </c>
      <c r="J438">
        <f>VLOOKUP(H438,ID!$C$3:$D$100,2,FALSE)</f>
        <v>84</v>
      </c>
      <c r="K438" t="s">
        <v>274</v>
      </c>
      <c r="L438" t="str">
        <f>VLOOKUP(K438,Localizacoes!$E$3:$F$100,2,FALSE)</f>
        <v>BBG</v>
      </c>
      <c r="M438" t="str">
        <f>VLOOKUP(K438,ID!$E$3:$F$100,2,FALSE)</f>
        <v>BBG</v>
      </c>
      <c r="N438" t="s">
        <v>704</v>
      </c>
      <c r="O438" t="str">
        <f>VLOOKUP(N438,Localizacoes!$G$3:$H$100,2,FALSE)</f>
        <v>EBC</v>
      </c>
      <c r="P438">
        <f>VLOOKUP(N438,ID!$G$3:$H$100,2,FALSE)</f>
        <v>131</v>
      </c>
      <c r="Q438" t="s">
        <v>279</v>
      </c>
      <c r="R438" t="str">
        <f>VLOOKUP(Q438,Localizacoes!$I$3:$J$100,2,FALSE)</f>
        <v>VDE</v>
      </c>
      <c r="S438" t="str">
        <f>VLOOKUP(Q438,ID!$I$3:$J$100,2,FALSE)</f>
        <v>VDE</v>
      </c>
      <c r="T438" s="4" t="s">
        <v>189</v>
      </c>
      <c r="U438" t="s">
        <v>264</v>
      </c>
      <c r="Y438" t="s">
        <v>270</v>
      </c>
      <c r="Z438" t="str">
        <f t="shared" si="84"/>
        <v>Válvula Descarga 05</v>
      </c>
      <c r="AA438"/>
      <c r="AD438" s="13" t="s">
        <v>267</v>
      </c>
      <c r="AF438" t="str">
        <f t="shared" si="87"/>
        <v>Electrobomba centrífugaVálvula Descarga</v>
      </c>
      <c r="AG438" s="28" t="str">
        <f>VLOOKUP(AF438,Imagens!$C$2:$D$42,2,FALSE)</f>
        <v>65e8cda0676b7</v>
      </c>
      <c r="AH438" t="str">
        <f>_xlfn.CONCAT(Imagens!$H$2,'registo_ativo-CDs (1)'!AG438)</f>
        <v>assets/imagens/products/65e8cda0676b7</v>
      </c>
      <c r="AI438" s="67">
        <v>45355</v>
      </c>
      <c r="AK438" s="32"/>
    </row>
    <row r="439" spans="1:37" ht="16.8" customHeight="1" x14ac:dyDescent="0.3">
      <c r="A439">
        <f t="shared" si="88"/>
        <v>15</v>
      </c>
      <c r="B439" t="str">
        <f t="shared" si="85"/>
        <v>CD84BBG152QBT01</v>
      </c>
      <c r="C439" t="str">
        <f t="shared" si="86"/>
        <v>CD-VOL-BBG-QEL-QBT-01</v>
      </c>
      <c r="E439" t="s">
        <v>37</v>
      </c>
      <c r="F439" t="s">
        <v>46</v>
      </c>
      <c r="G439" t="s">
        <v>46</v>
      </c>
      <c r="H439" s="14" t="s">
        <v>557</v>
      </c>
      <c r="I439" t="s">
        <v>558</v>
      </c>
      <c r="J439">
        <f>VLOOKUP(H439,ID!$C$3:$D$100,2,FALSE)</f>
        <v>84</v>
      </c>
      <c r="K439" t="s">
        <v>274</v>
      </c>
      <c r="L439" t="str">
        <f>VLOOKUP(K439,Localizacoes!$E$3:$F$100,2,FALSE)</f>
        <v>BBG</v>
      </c>
      <c r="M439" t="str">
        <f>VLOOKUP(K439,ID!$E$3:$F$100,2,FALSE)</f>
        <v>BBG</v>
      </c>
      <c r="N439" t="s">
        <v>286</v>
      </c>
      <c r="O439" t="str">
        <f>VLOOKUP(N439,Localizacoes!$G$3:$H$100,2,FALSE)</f>
        <v>QEL</v>
      </c>
      <c r="P439">
        <f>VLOOKUP(N439,ID!$G$3:$H$100,2,FALSE)</f>
        <v>152</v>
      </c>
      <c r="Q439" t="s">
        <v>443</v>
      </c>
      <c r="R439" t="str">
        <f>VLOOKUP(Q439,Localizacoes!$I$3:$J$100,2,FALSE)</f>
        <v>QBT</v>
      </c>
      <c r="S439" t="str">
        <f>VLOOKUP(Q439,ID!$I$3:$J$100,2,FALSE)</f>
        <v>QBT</v>
      </c>
      <c r="T439" s="4" t="s">
        <v>182</v>
      </c>
      <c r="U439" t="s">
        <v>265</v>
      </c>
      <c r="Y439" t="s">
        <v>270</v>
      </c>
      <c r="Z439" t="str">
        <f t="shared" si="84"/>
        <v>Quadro de Baixa Tensão 01</v>
      </c>
      <c r="AA439"/>
      <c r="AD439" s="13" t="s">
        <v>267</v>
      </c>
      <c r="AF439" t="str">
        <f t="shared" si="87"/>
        <v>Quadro EléctricoQuadro de Baixa Tensão</v>
      </c>
      <c r="AG439" s="28" t="str">
        <f>VLOOKUP(AF439,Imagens!$C$2:$D$42,2,FALSE)</f>
        <v>65d1346bf3835</v>
      </c>
      <c r="AH439" t="str">
        <f>_xlfn.CONCAT(Imagens!$H$2,'registo_ativo-CDs (1)'!AG439)</f>
        <v>assets/imagens/products/65d1346bf3835</v>
      </c>
      <c r="AI439" s="67">
        <v>45355</v>
      </c>
      <c r="AK439" s="32"/>
    </row>
    <row r="440" spans="1:37" ht="16.8" customHeight="1" x14ac:dyDescent="0.3">
      <c r="A440">
        <f t="shared" si="88"/>
        <v>15</v>
      </c>
      <c r="B440" t="str">
        <f t="shared" si="85"/>
        <v>CD84BBG152QBT02</v>
      </c>
      <c r="C440" t="str">
        <f t="shared" si="86"/>
        <v>CD-VOL-BBG-QEL-QBT-02</v>
      </c>
      <c r="E440" t="s">
        <v>37</v>
      </c>
      <c r="F440" t="s">
        <v>46</v>
      </c>
      <c r="G440" t="s">
        <v>46</v>
      </c>
      <c r="H440" s="14" t="s">
        <v>557</v>
      </c>
      <c r="I440" t="s">
        <v>558</v>
      </c>
      <c r="J440">
        <f>VLOOKUP(H440,ID!$C$3:$D$100,2,FALSE)</f>
        <v>84</v>
      </c>
      <c r="K440" t="s">
        <v>274</v>
      </c>
      <c r="L440" t="str">
        <f>VLOOKUP(K440,Localizacoes!$E$3:$F$100,2,FALSE)</f>
        <v>BBG</v>
      </c>
      <c r="M440" t="str">
        <f>VLOOKUP(K440,ID!$E$3:$F$100,2,FALSE)</f>
        <v>BBG</v>
      </c>
      <c r="N440" t="s">
        <v>286</v>
      </c>
      <c r="O440" t="str">
        <f>VLOOKUP(N440,Localizacoes!$G$3:$H$100,2,FALSE)</f>
        <v>QEL</v>
      </c>
      <c r="P440">
        <f>VLOOKUP(N440,ID!$G$3:$H$100,2,FALSE)</f>
        <v>152</v>
      </c>
      <c r="Q440" t="s">
        <v>443</v>
      </c>
      <c r="R440" t="str">
        <f>VLOOKUP(Q440,Localizacoes!$I$3:$J$100,2,FALSE)</f>
        <v>QBT</v>
      </c>
      <c r="S440" t="str">
        <f>VLOOKUP(Q440,ID!$I$3:$J$100,2,FALSE)</f>
        <v>QBT</v>
      </c>
      <c r="T440" s="4" t="s">
        <v>186</v>
      </c>
      <c r="U440" t="s">
        <v>265</v>
      </c>
      <c r="Y440" t="s">
        <v>270</v>
      </c>
      <c r="Z440" t="str">
        <f t="shared" si="84"/>
        <v>Quadro de Baixa Tensão 02</v>
      </c>
      <c r="AA440"/>
      <c r="AD440" s="13" t="s">
        <v>267</v>
      </c>
      <c r="AF440" t="str">
        <f t="shared" si="87"/>
        <v>Quadro EléctricoQuadro de Baixa Tensão</v>
      </c>
      <c r="AG440" s="28" t="str">
        <f>VLOOKUP(AF440,Imagens!$C$2:$D$42,2,FALSE)</f>
        <v>65d1346bf3835</v>
      </c>
      <c r="AH440" t="str">
        <f>_xlfn.CONCAT(Imagens!$H$2,'registo_ativo-CDs (1)'!AG440)</f>
        <v>assets/imagens/products/65d1346bf3835</v>
      </c>
      <c r="AI440" s="67">
        <v>45355</v>
      </c>
      <c r="AK440" s="32"/>
    </row>
    <row r="441" spans="1:37" ht="16.8" customHeight="1" x14ac:dyDescent="0.3">
      <c r="A441">
        <f t="shared" si="88"/>
        <v>15</v>
      </c>
      <c r="B441" t="str">
        <f t="shared" si="85"/>
        <v>CD84BBG152QBT03</v>
      </c>
      <c r="C441" t="str">
        <f t="shared" si="86"/>
        <v>CD-VOL-BBG-QEL-QBT-03</v>
      </c>
      <c r="E441" t="s">
        <v>37</v>
      </c>
      <c r="F441" t="s">
        <v>46</v>
      </c>
      <c r="G441" t="s">
        <v>46</v>
      </c>
      <c r="H441" s="14" t="s">
        <v>557</v>
      </c>
      <c r="I441" t="s">
        <v>558</v>
      </c>
      <c r="J441">
        <f>VLOOKUP(H441,ID!$C$3:$D$100,2,FALSE)</f>
        <v>84</v>
      </c>
      <c r="K441" t="s">
        <v>274</v>
      </c>
      <c r="L441" t="str">
        <f>VLOOKUP(K441,Localizacoes!$E$3:$F$100,2,FALSE)</f>
        <v>BBG</v>
      </c>
      <c r="M441" t="str">
        <f>VLOOKUP(K441,ID!$E$3:$F$100,2,FALSE)</f>
        <v>BBG</v>
      </c>
      <c r="N441" t="s">
        <v>286</v>
      </c>
      <c r="O441" t="str">
        <f>VLOOKUP(N441,Localizacoes!$G$3:$H$100,2,FALSE)</f>
        <v>QEL</v>
      </c>
      <c r="P441">
        <f>VLOOKUP(N441,ID!$G$3:$H$100,2,FALSE)</f>
        <v>152</v>
      </c>
      <c r="Q441" t="s">
        <v>443</v>
      </c>
      <c r="R441" t="str">
        <f>VLOOKUP(Q441,Localizacoes!$I$3:$J$100,2,FALSE)</f>
        <v>QBT</v>
      </c>
      <c r="S441" t="str">
        <f>VLOOKUP(Q441,ID!$I$3:$J$100,2,FALSE)</f>
        <v>QBT</v>
      </c>
      <c r="T441" s="4" t="s">
        <v>187</v>
      </c>
      <c r="U441" t="s">
        <v>265</v>
      </c>
      <c r="Y441" t="s">
        <v>270</v>
      </c>
      <c r="Z441" t="str">
        <f t="shared" si="84"/>
        <v>Quadro de Baixa Tensão 03</v>
      </c>
      <c r="AA441"/>
      <c r="AD441" s="13" t="s">
        <v>267</v>
      </c>
      <c r="AF441" t="str">
        <f t="shared" si="87"/>
        <v>Quadro EléctricoQuadro de Baixa Tensão</v>
      </c>
      <c r="AG441" s="28" t="str">
        <f>VLOOKUP(AF441,Imagens!$C$2:$D$42,2,FALSE)</f>
        <v>65d1346bf3835</v>
      </c>
      <c r="AH441" t="str">
        <f>_xlfn.CONCAT(Imagens!$H$2,'registo_ativo-CDs (1)'!AG441)</f>
        <v>assets/imagens/products/65d1346bf3835</v>
      </c>
      <c r="AI441" s="67">
        <v>45355</v>
      </c>
      <c r="AK441" s="32"/>
    </row>
    <row r="442" spans="1:37" ht="16.8" customHeight="1" x14ac:dyDescent="0.3">
      <c r="A442">
        <f t="shared" si="88"/>
        <v>15</v>
      </c>
      <c r="B442" t="str">
        <f t="shared" si="85"/>
        <v>CD84BBG143PRO01</v>
      </c>
      <c r="C442" t="str">
        <f t="shared" si="86"/>
        <v>CD-VOL-BBG-GRU-PRO-01</v>
      </c>
      <c r="E442" t="s">
        <v>37</v>
      </c>
      <c r="F442" t="s">
        <v>46</v>
      </c>
      <c r="G442" t="s">
        <v>46</v>
      </c>
      <c r="H442" s="14" t="s">
        <v>557</v>
      </c>
      <c r="I442" t="s">
        <v>558</v>
      </c>
      <c r="J442">
        <f>VLOOKUP(H442,ID!$C$3:$D$100,2,FALSE)</f>
        <v>84</v>
      </c>
      <c r="K442" t="s">
        <v>274</v>
      </c>
      <c r="L442" t="str">
        <f>VLOOKUP(K442,Localizacoes!$E$3:$F$100,2,FALSE)</f>
        <v>BBG</v>
      </c>
      <c r="M442" t="str">
        <f>VLOOKUP(K442,ID!$E$3:$F$100,2,FALSE)</f>
        <v>BBG</v>
      </c>
      <c r="N442" t="s">
        <v>104</v>
      </c>
      <c r="O442" t="str">
        <f>VLOOKUP(N442,Localizacoes!$G$3:$H$100,2,FALSE)</f>
        <v>GRU</v>
      </c>
      <c r="P442">
        <f>VLOOKUP(N442,ID!$G$3:$H$100,2,FALSE)</f>
        <v>143</v>
      </c>
      <c r="Q442" t="s">
        <v>153</v>
      </c>
      <c r="R442" t="str">
        <f>VLOOKUP(Q442,Localizacoes!$I$3:$J$100,2,FALSE)</f>
        <v>PRO</v>
      </c>
      <c r="S442" t="str">
        <f>VLOOKUP(Q442,ID!$I$3:$J$100,2,FALSE)</f>
        <v>PRO</v>
      </c>
      <c r="T442" s="4" t="s">
        <v>182</v>
      </c>
      <c r="U442" t="s">
        <v>265</v>
      </c>
      <c r="Y442" t="s">
        <v>270</v>
      </c>
      <c r="Z442" t="str">
        <f t="shared" si="84"/>
        <v>Ponte Rolante 01</v>
      </c>
      <c r="AA442"/>
      <c r="AD442" s="13" t="s">
        <v>266</v>
      </c>
      <c r="AF442" t="str">
        <f t="shared" si="87"/>
        <v>GruaPonte Rolante</v>
      </c>
      <c r="AG442" s="28" t="str">
        <f>VLOOKUP(AF442,Imagens!$C$2:$D$42,2,FALSE)</f>
        <v>65c75d2748c4a</v>
      </c>
      <c r="AH442" t="str">
        <f>_xlfn.CONCAT(Imagens!$H$2,'registo_ativo-CDs (1)'!AG442)</f>
        <v>assets/imagens/products/65c75d2748c4a</v>
      </c>
      <c r="AI442" s="67">
        <v>45447</v>
      </c>
      <c r="AK442" s="32"/>
    </row>
    <row r="443" spans="1:37" ht="16.8" customHeight="1" x14ac:dyDescent="0.3">
      <c r="A443">
        <f t="shared" ref="A443" si="89">LEN(B443)</f>
        <v>15</v>
      </c>
      <c r="B443" t="str">
        <f t="shared" si="85"/>
        <v>CD84BBG165GEL01</v>
      </c>
      <c r="C443" t="str">
        <f t="shared" si="86"/>
        <v>CD-VOL-BBG-SUB-GEL-01</v>
      </c>
      <c r="E443" t="s">
        <v>37</v>
      </c>
      <c r="F443" t="s">
        <v>46</v>
      </c>
      <c r="G443" t="s">
        <v>46</v>
      </c>
      <c r="H443" s="14" t="s">
        <v>557</v>
      </c>
      <c r="I443" t="s">
        <v>558</v>
      </c>
      <c r="J443">
        <f>VLOOKUP(H443,ID!$C$3:$D$100,2,FALSE)</f>
        <v>84</v>
      </c>
      <c r="K443" t="s">
        <v>274</v>
      </c>
      <c r="L443" t="str">
        <f>VLOOKUP(K443,Localizacoes!$E$3:$F$100,2,FALSE)</f>
        <v>BBG</v>
      </c>
      <c r="M443" t="str">
        <f>VLOOKUP(K443,ID!$E$3:$F$100,2,FALSE)</f>
        <v>BBG</v>
      </c>
      <c r="N443" t="s">
        <v>112</v>
      </c>
      <c r="O443" t="str">
        <f>VLOOKUP(N443,Localizacoes!$G$3:$H$100,2,FALSE)</f>
        <v>SUB</v>
      </c>
      <c r="P443">
        <f>VLOOKUP(N443,ID!$G$3:$H$100,2,FALSE)</f>
        <v>165</v>
      </c>
      <c r="Q443" t="s">
        <v>654</v>
      </c>
      <c r="R443" t="str">
        <f>VLOOKUP(Q443,Localizacoes!$I$3:$J$100,2,FALSE)</f>
        <v>GEL</v>
      </c>
      <c r="S443" t="str">
        <f>VLOOKUP(Q443,ID!$I$3:$J$100,2,FALSE)</f>
        <v>GEL</v>
      </c>
      <c r="T443" s="4" t="s">
        <v>182</v>
      </c>
      <c r="U443" t="s">
        <v>265</v>
      </c>
      <c r="Y443" t="s">
        <v>270</v>
      </c>
      <c r="Z443" t="str">
        <f t="shared" ref="Z443" si="90">Q443&amp;" "&amp; T443</f>
        <v>Gerador Eléctrica 01</v>
      </c>
      <c r="AA443"/>
      <c r="AD443" s="13" t="s">
        <v>7</v>
      </c>
      <c r="AF443" t="str">
        <f t="shared" si="87"/>
        <v>SubestaçãoGerador Eléctrica</v>
      </c>
      <c r="AG443" s="28" t="str">
        <f>VLOOKUP(AF443,Imagens!$C$2:$D$42,2,FALSE)</f>
        <v>65e8da741759f</v>
      </c>
      <c r="AH443" t="str">
        <f>_xlfn.CONCAT(Imagens!$H$2,'registo_ativo-CDs (1)'!AG443)</f>
        <v>assets/imagens/products/65e8da741759f</v>
      </c>
      <c r="AI443" s="67">
        <v>45299</v>
      </c>
      <c r="AK443" s="32"/>
    </row>
    <row r="444" spans="1:37" ht="16.8" customHeight="1" x14ac:dyDescent="0.3">
      <c r="A444">
        <f t="shared" si="88"/>
        <v>15</v>
      </c>
      <c r="B444" t="str">
        <f t="shared" si="85"/>
        <v>CD84BBG165GMC01</v>
      </c>
      <c r="C444" t="str">
        <f t="shared" si="86"/>
        <v>CD-VOL-BBG-SUB-GMC-01</v>
      </c>
      <c r="E444" t="s">
        <v>37</v>
      </c>
      <c r="F444" t="s">
        <v>46</v>
      </c>
      <c r="G444" t="s">
        <v>46</v>
      </c>
      <c r="H444" s="14" t="s">
        <v>557</v>
      </c>
      <c r="I444" t="s">
        <v>558</v>
      </c>
      <c r="J444">
        <f>VLOOKUP(H444,ID!$C$3:$D$100,2,FALSE)</f>
        <v>84</v>
      </c>
      <c r="K444" t="s">
        <v>274</v>
      </c>
      <c r="L444" t="str">
        <f>VLOOKUP(K444,Localizacoes!$E$3:$F$100,2,FALSE)</f>
        <v>BBG</v>
      </c>
      <c r="M444" t="str">
        <f>VLOOKUP(K444,ID!$E$3:$F$100,2,FALSE)</f>
        <v>BBG</v>
      </c>
      <c r="N444" t="s">
        <v>112</v>
      </c>
      <c r="O444" t="str">
        <f>VLOOKUP(N444,Localizacoes!$G$3:$H$100,2,FALSE)</f>
        <v>SUB</v>
      </c>
      <c r="P444">
        <f>VLOOKUP(N444,ID!$G$3:$H$100,2,FALSE)</f>
        <v>165</v>
      </c>
      <c r="Q444" t="s">
        <v>658</v>
      </c>
      <c r="R444" t="str">
        <f>VLOOKUP(Q444,Localizacoes!$I$3:$J$100,2,FALSE)</f>
        <v>GMC</v>
      </c>
      <c r="S444" t="str">
        <f>VLOOKUP(Q444,ID!$I$3:$J$100,2,FALSE)</f>
        <v>GMC</v>
      </c>
      <c r="T444" s="4" t="s">
        <v>182</v>
      </c>
      <c r="U444" t="s">
        <v>265</v>
      </c>
      <c r="Y444" t="s">
        <v>270</v>
      </c>
      <c r="Z444" t="str">
        <f t="shared" si="84"/>
        <v>Gerador Mecânica 01</v>
      </c>
      <c r="AA444"/>
      <c r="AD444" s="13" t="s">
        <v>7</v>
      </c>
      <c r="AF444" t="str">
        <f t="shared" si="87"/>
        <v>SubestaçãoGerador Mecânica</v>
      </c>
      <c r="AG444" s="28" t="str">
        <f>VLOOKUP(AF444,Imagens!$C$2:$D$42,2,FALSE)</f>
        <v>65e8da741759f</v>
      </c>
      <c r="AH444" t="str">
        <f>_xlfn.CONCAT(Imagens!$H$2,'registo_ativo-CDs (1)'!AG444)</f>
        <v>assets/imagens/products/65e8da741759f</v>
      </c>
      <c r="AI444" s="67">
        <v>45299</v>
      </c>
      <c r="AK444" s="32"/>
    </row>
    <row r="445" spans="1:37" ht="16.8" customHeight="1" x14ac:dyDescent="0.3">
      <c r="A445">
        <f t="shared" si="88"/>
        <v>15</v>
      </c>
      <c r="B445" t="str">
        <f t="shared" si="85"/>
        <v>CD84CAN152QEI01</v>
      </c>
      <c r="C445" t="str">
        <f t="shared" si="86"/>
        <v>CD-VOL-CAN-QEL-QEI-01</v>
      </c>
      <c r="E445" t="s">
        <v>37</v>
      </c>
      <c r="F445" t="s">
        <v>46</v>
      </c>
      <c r="G445" t="s">
        <v>46</v>
      </c>
      <c r="H445" s="14" t="s">
        <v>557</v>
      </c>
      <c r="I445" t="s">
        <v>558</v>
      </c>
      <c r="J445">
        <f>VLOOKUP(H445,ID!$C$3:$D$100,2,FALSE)</f>
        <v>84</v>
      </c>
      <c r="K445" t="s">
        <v>101</v>
      </c>
      <c r="L445" t="str">
        <f>VLOOKUP(K445,Localizacoes!$E$3:$F$100,2,FALSE)</f>
        <v>CAN</v>
      </c>
      <c r="M445" t="str">
        <f>VLOOKUP(K445,ID!$E$3:$F$100,2,FALSE)</f>
        <v>CAN</v>
      </c>
      <c r="N445" t="s">
        <v>286</v>
      </c>
      <c r="O445" t="str">
        <f>VLOOKUP(N445,Localizacoes!$G$3:$H$100,2,FALSE)</f>
        <v>QEL</v>
      </c>
      <c r="P445">
        <f>VLOOKUP(N445,ID!$G$3:$H$100,2,FALSE)</f>
        <v>152</v>
      </c>
      <c r="Q445" t="s">
        <v>446</v>
      </c>
      <c r="R445" t="str">
        <f>VLOOKUP(Q445,Localizacoes!$I$3:$J$100,2,FALSE)</f>
        <v>QEI</v>
      </c>
      <c r="S445" t="str">
        <f>VLOOKUP(Q445,ID!$I$3:$J$100,2,FALSE)</f>
        <v>QEI</v>
      </c>
      <c r="T445" s="4" t="s">
        <v>182</v>
      </c>
      <c r="U445" t="s">
        <v>264</v>
      </c>
      <c r="Y445" t="s">
        <v>270</v>
      </c>
      <c r="Z445" t="str">
        <f t="shared" si="84"/>
        <v>Quadro Eléctrico de Instrumentação 01</v>
      </c>
      <c r="AA445"/>
      <c r="AD445" s="13" t="s">
        <v>267</v>
      </c>
      <c r="AF445" t="str">
        <f t="shared" si="87"/>
        <v>Quadro EléctricoQuadro Eléctrico de Instrumentação</v>
      </c>
      <c r="AG445" s="28" t="str">
        <f>VLOOKUP(AF445,Imagens!$C$2:$D$42,2,FALSE)</f>
        <v>65d1346bf3835</v>
      </c>
      <c r="AH445" t="str">
        <f>_xlfn.CONCAT(Imagens!$H$2,'registo_ativo-CDs (1)'!AG445)</f>
        <v>assets/imagens/products/65d1346bf3835</v>
      </c>
      <c r="AI445" s="67">
        <v>45355</v>
      </c>
      <c r="AK445" s="32"/>
    </row>
    <row r="446" spans="1:37" ht="16.8" customHeight="1" x14ac:dyDescent="0.3">
      <c r="A446">
        <v>15</v>
      </c>
      <c r="B446" t="str">
        <f t="shared" si="85"/>
        <v>CD39BBG131BOM01</v>
      </c>
      <c r="C446" t="str">
        <f t="shared" si="86"/>
        <v>CD-GUA-BBG-EBC-BOM-01</v>
      </c>
      <c r="E446" t="s">
        <v>37</v>
      </c>
      <c r="F446" t="s">
        <v>46</v>
      </c>
      <c r="G446" t="s">
        <v>46</v>
      </c>
      <c r="H446" s="14" t="s">
        <v>50</v>
      </c>
      <c r="I446" t="str">
        <f>VLOOKUP(H446,Localizacoes!$C$3:$D$100,2,FALSE)</f>
        <v>GUA</v>
      </c>
      <c r="J446">
        <f>VLOOKUP(H446,ID!$C$3:$D$100,2,FALSE)</f>
        <v>39</v>
      </c>
      <c r="K446" t="s">
        <v>274</v>
      </c>
      <c r="L446" t="str">
        <f>VLOOKUP(K446,Localizacoes!$E$3:$F$100,2,FALSE)</f>
        <v>BBG</v>
      </c>
      <c r="M446" t="str">
        <f>VLOOKUP(K446,ID!$E$3:$F$100,2,FALSE)</f>
        <v>BBG</v>
      </c>
      <c r="N446" t="s">
        <v>704</v>
      </c>
      <c r="O446" t="str">
        <f>VLOOKUP(N446,Localizacoes!$G$3:$H$100,2,FALSE)</f>
        <v>EBC</v>
      </c>
      <c r="P446">
        <f>VLOOKUP(N446,ID!$G$3:$H$100,2,FALSE)</f>
        <v>131</v>
      </c>
      <c r="Q446" t="s">
        <v>150</v>
      </c>
      <c r="R446" t="str">
        <f>VLOOKUP(Q446,Localizacoes!$I$3:$J$100,2,FALSE)</f>
        <v>BOM</v>
      </c>
      <c r="S446" t="str">
        <f>VLOOKUP(Q446,ID!$I$3:$J$100,2,FALSE)</f>
        <v>BOM</v>
      </c>
      <c r="T446" s="4" t="s">
        <v>182</v>
      </c>
      <c r="U446" t="s">
        <v>264</v>
      </c>
      <c r="V446" t="s">
        <v>392</v>
      </c>
      <c r="W446" t="s">
        <v>505</v>
      </c>
      <c r="X446" t="s">
        <v>506</v>
      </c>
      <c r="Y446" t="s">
        <v>270</v>
      </c>
      <c r="Z446" t="str">
        <f t="shared" si="84"/>
        <v>Bomba 01</v>
      </c>
      <c r="AA446"/>
      <c r="AD446" s="13" t="s">
        <v>7</v>
      </c>
      <c r="AF446" t="str">
        <f t="shared" si="87"/>
        <v>Electrobomba centrífugaBomba</v>
      </c>
      <c r="AG446" s="28" t="str">
        <f>VLOOKUP(AF446,Imagens!$C$2:$D$42,2,FALSE)</f>
        <v>65e96125c1d11</v>
      </c>
      <c r="AH446" t="str">
        <f>_xlfn.CONCAT(Imagens!$H$2,'registo_ativo-CDs (1)'!AG446)</f>
        <v>assets/imagens/products/65e96125c1d11</v>
      </c>
      <c r="AI446" s="67">
        <v>45320</v>
      </c>
      <c r="AK446" s="32"/>
    </row>
    <row r="447" spans="1:37" ht="16.8" customHeight="1" x14ac:dyDescent="0.3">
      <c r="A447">
        <v>15</v>
      </c>
      <c r="B447" t="str">
        <f t="shared" si="85"/>
        <v>CD39BBG131MOT01</v>
      </c>
      <c r="C447" t="str">
        <f t="shared" si="86"/>
        <v>CD-GUA-BBG-EBC-MOT-01</v>
      </c>
      <c r="E447" t="s">
        <v>37</v>
      </c>
      <c r="F447" t="s">
        <v>46</v>
      </c>
      <c r="G447" t="s">
        <v>46</v>
      </c>
      <c r="H447" s="14" t="s">
        <v>50</v>
      </c>
      <c r="I447" t="str">
        <f>VLOOKUP(H447,Localizacoes!$C$3:$D$100,2,FALSE)</f>
        <v>GUA</v>
      </c>
      <c r="J447">
        <f>VLOOKUP(H447,ID!$C$3:$D$100,2,FALSE)</f>
        <v>39</v>
      </c>
      <c r="K447" t="s">
        <v>274</v>
      </c>
      <c r="L447" t="str">
        <f>VLOOKUP(K447,Localizacoes!$E$3:$F$100,2,FALSE)</f>
        <v>BBG</v>
      </c>
      <c r="M447" t="str">
        <f>VLOOKUP(K447,ID!$E$3:$F$100,2,FALSE)</f>
        <v>BBG</v>
      </c>
      <c r="N447" t="s">
        <v>704</v>
      </c>
      <c r="O447" t="str">
        <f>VLOOKUP(N447,Localizacoes!$G$3:$H$100,2,FALSE)</f>
        <v>EBC</v>
      </c>
      <c r="P447">
        <f>VLOOKUP(N447,ID!$G$3:$H$100,2,FALSE)</f>
        <v>131</v>
      </c>
      <c r="Q447" t="s">
        <v>21</v>
      </c>
      <c r="R447" t="str">
        <f>VLOOKUP(Q447,Localizacoes!$I$3:$J$100,2,FALSE)</f>
        <v>MOT</v>
      </c>
      <c r="S447" t="str">
        <f>VLOOKUP(Q447,ID!$I$3:$J$100,2,FALSE)</f>
        <v>MOT</v>
      </c>
      <c r="T447" s="4" t="s">
        <v>182</v>
      </c>
      <c r="U447" t="s">
        <v>265</v>
      </c>
      <c r="V447" t="s">
        <v>394</v>
      </c>
      <c r="W447" t="s">
        <v>507</v>
      </c>
      <c r="X447" t="s">
        <v>506</v>
      </c>
      <c r="Y447" t="s">
        <v>270</v>
      </c>
      <c r="Z447" t="str">
        <f t="shared" si="84"/>
        <v>Motor 01</v>
      </c>
      <c r="AA447"/>
      <c r="AD447" s="13" t="s">
        <v>7</v>
      </c>
      <c r="AF447" t="str">
        <f t="shared" si="87"/>
        <v>Electrobomba centrífugaMotor</v>
      </c>
      <c r="AG447" s="28" t="str">
        <f>VLOOKUP(AF447,Imagens!$C$2:$D$42,2,FALSE)</f>
        <v>65d04210323a4</v>
      </c>
      <c r="AH447" t="str">
        <f>_xlfn.CONCAT(Imagens!$H$2,'registo_ativo-CDs (1)'!AG447)</f>
        <v>assets/imagens/products/65d04210323a4</v>
      </c>
      <c r="AI447" s="67">
        <v>45320</v>
      </c>
      <c r="AK447" s="32"/>
    </row>
    <row r="448" spans="1:37" ht="16.8" customHeight="1" x14ac:dyDescent="0.3">
      <c r="A448">
        <v>15</v>
      </c>
      <c r="B448" t="str">
        <f t="shared" si="85"/>
        <v>CD39BBG131QEA01</v>
      </c>
      <c r="C448" t="str">
        <f t="shared" si="86"/>
        <v>CD-GUA-BBG-EBC-QEA-01</v>
      </c>
      <c r="E448" t="s">
        <v>37</v>
      </c>
      <c r="F448" t="str">
        <f>VLOOKUP(E448,Localizacoes!$A$3:$B$100,2,FALSE)</f>
        <v>CD</v>
      </c>
      <c r="G448" t="str">
        <f>VLOOKUP(E448,ID!$A$3:$B$100,2,FALSE)</f>
        <v>CD</v>
      </c>
      <c r="H448" s="14" t="s">
        <v>50</v>
      </c>
      <c r="I448" t="str">
        <f>VLOOKUP(H448,Localizacoes!$C$3:$D$100,2,FALSE)</f>
        <v>GUA</v>
      </c>
      <c r="J448">
        <f>VLOOKUP(H448,ID!$C$3:$D$100,2,FALSE)</f>
        <v>39</v>
      </c>
      <c r="K448" t="s">
        <v>274</v>
      </c>
      <c r="L448" t="str">
        <f>VLOOKUP(K448,Localizacoes!$E$3:$F$100,2,FALSE)</f>
        <v>BBG</v>
      </c>
      <c r="M448" t="str">
        <f>VLOOKUP(K448,ID!$E$3:$F$100,2,FALSE)</f>
        <v>BBG</v>
      </c>
      <c r="N448" t="s">
        <v>704</v>
      </c>
      <c r="O448" t="str">
        <f>VLOOKUP(N448,Localizacoes!$G$3:$H$100,2,FALSE)</f>
        <v>EBC</v>
      </c>
      <c r="P448">
        <f>VLOOKUP(N448,ID!$G$3:$H$100,2,FALSE)</f>
        <v>131</v>
      </c>
      <c r="Q448" t="s">
        <v>154</v>
      </c>
      <c r="R448" t="str">
        <f>VLOOKUP(Q448,Localizacoes!$I$3:$J$100,2,FALSE)</f>
        <v>QEA</v>
      </c>
      <c r="S448" t="str">
        <f>VLOOKUP(Q448,ID!$I$3:$J$100,2,FALSE)</f>
        <v>QEA</v>
      </c>
      <c r="T448" s="4" t="s">
        <v>182</v>
      </c>
      <c r="U448" t="s">
        <v>265</v>
      </c>
      <c r="X448" t="s">
        <v>272</v>
      </c>
      <c r="Y448" t="s">
        <v>270</v>
      </c>
      <c r="Z448" t="str">
        <f t="shared" si="84"/>
        <v>Quadros Eléctricos de Arranque 01</v>
      </c>
      <c r="AA448"/>
      <c r="AD448" s="13" t="s">
        <v>267</v>
      </c>
      <c r="AF448" t="str">
        <f t="shared" si="87"/>
        <v>Electrobomba centrífugaQuadros Eléctricos de Arranque</v>
      </c>
      <c r="AG448" s="28" t="str">
        <f>VLOOKUP(AF448,Imagens!$C$2:$D$42,2,FALSE)</f>
        <v>65e8d2fa35c12</v>
      </c>
      <c r="AH448" t="str">
        <f>_xlfn.CONCAT(Imagens!$H$2,'registo_ativo-CDs (1)'!AG448)</f>
        <v>assets/imagens/products/65e8d2fa35c12</v>
      </c>
      <c r="AI448" s="67">
        <v>45376</v>
      </c>
      <c r="AK448" s="32"/>
    </row>
    <row r="449" spans="1:37" ht="16.8" customHeight="1" x14ac:dyDescent="0.3">
      <c r="A449">
        <v>15</v>
      </c>
      <c r="B449" t="str">
        <f t="shared" si="85"/>
        <v>CD39BBG131VSU01</v>
      </c>
      <c r="C449" t="str">
        <f t="shared" si="86"/>
        <v>CD-GUA-BBG-EBC-VSU-01</v>
      </c>
      <c r="E449" t="s">
        <v>37</v>
      </c>
      <c r="F449" t="str">
        <f>VLOOKUP(E449,Localizacoes!$A$3:$B$100,2,FALSE)</f>
        <v>CD</v>
      </c>
      <c r="G449" t="str">
        <f>VLOOKUP(E449,ID!$A$3:$B$100,2,FALSE)</f>
        <v>CD</v>
      </c>
      <c r="H449" s="14" t="s">
        <v>50</v>
      </c>
      <c r="I449" t="str">
        <f>VLOOKUP(H449,Localizacoes!$C$3:$D$100,2,FALSE)</f>
        <v>GUA</v>
      </c>
      <c r="J449">
        <f>VLOOKUP(H449,ID!$C$3:$D$100,2,FALSE)</f>
        <v>39</v>
      </c>
      <c r="K449" t="s">
        <v>274</v>
      </c>
      <c r="L449" t="str">
        <f>VLOOKUP(K449,Localizacoes!$E$3:$F$100,2,FALSE)</f>
        <v>BBG</v>
      </c>
      <c r="M449" t="str">
        <f>VLOOKUP(K449,ID!$E$3:$F$100,2,FALSE)</f>
        <v>BBG</v>
      </c>
      <c r="N449" t="s">
        <v>704</v>
      </c>
      <c r="O449" t="str">
        <f>VLOOKUP(N449,Localizacoes!$G$3:$H$100,2,FALSE)</f>
        <v>EBC</v>
      </c>
      <c r="P449">
        <f>VLOOKUP(N449,ID!$G$3:$H$100,2,FALSE)</f>
        <v>131</v>
      </c>
      <c r="Q449" t="s">
        <v>276</v>
      </c>
      <c r="R449" t="str">
        <f>VLOOKUP(Q449,Localizacoes!$I$3:$J$100,2,FALSE)</f>
        <v>VSU</v>
      </c>
      <c r="S449" t="str">
        <f>VLOOKUP(Q449,ID!$I$3:$J$100,2,FALSE)</f>
        <v>VSU</v>
      </c>
      <c r="T449" s="4" t="s">
        <v>182</v>
      </c>
      <c r="U449" t="s">
        <v>264</v>
      </c>
      <c r="V449" t="s">
        <v>508</v>
      </c>
      <c r="W449" t="s">
        <v>509</v>
      </c>
      <c r="X449" t="s">
        <v>506</v>
      </c>
      <c r="Y449" t="s">
        <v>270</v>
      </c>
      <c r="Z449" t="str">
        <f t="shared" si="84"/>
        <v>Válvula Sucção 01</v>
      </c>
      <c r="AA449"/>
      <c r="AD449" s="13" t="s">
        <v>267</v>
      </c>
      <c r="AF449" t="str">
        <f t="shared" si="87"/>
        <v>Electrobomba centrífugaVálvula Sucção</v>
      </c>
      <c r="AG449" s="28" t="str">
        <f>VLOOKUP(AF449,Imagens!$C$2:$D$42,2,FALSE)</f>
        <v>65e8cda0676b7</v>
      </c>
      <c r="AH449" t="str">
        <f>_xlfn.CONCAT(Imagens!$H$2,'registo_ativo-CDs (1)'!AG449)</f>
        <v>assets/imagens/products/65e8cda0676b7</v>
      </c>
      <c r="AI449" s="67">
        <v>45376</v>
      </c>
      <c r="AK449" s="32"/>
    </row>
    <row r="450" spans="1:37" ht="16.8" customHeight="1" x14ac:dyDescent="0.3">
      <c r="A450">
        <v>15</v>
      </c>
      <c r="B450" t="str">
        <f t="shared" si="85"/>
        <v>CD39BBG131AEL01</v>
      </c>
      <c r="C450" t="str">
        <f t="shared" si="86"/>
        <v>CD-GUA-BBG-EBC-AEL-01</v>
      </c>
      <c r="E450" t="s">
        <v>37</v>
      </c>
      <c r="F450" t="str">
        <f>VLOOKUP(E450,Localizacoes!$A$3:$B$100,2,FALSE)</f>
        <v>CD</v>
      </c>
      <c r="G450" t="str">
        <f>VLOOKUP(E450,ID!$A$3:$B$100,2,FALSE)</f>
        <v>CD</v>
      </c>
      <c r="H450" s="14" t="s">
        <v>50</v>
      </c>
      <c r="I450" t="str">
        <f>VLOOKUP(H450,Localizacoes!$C$3:$D$100,2,FALSE)</f>
        <v>GUA</v>
      </c>
      <c r="J450">
        <f>VLOOKUP(H450,ID!$C$3:$D$100,2,FALSE)</f>
        <v>39</v>
      </c>
      <c r="K450" t="s">
        <v>274</v>
      </c>
      <c r="L450" t="str">
        <f>VLOOKUP(K450,Localizacoes!$E$3:$F$100,2,FALSE)</f>
        <v>BBG</v>
      </c>
      <c r="M450" t="str">
        <f>VLOOKUP(K450,ID!$E$3:$F$100,2,FALSE)</f>
        <v>BBG</v>
      </c>
      <c r="N450" t="s">
        <v>704</v>
      </c>
      <c r="O450" t="str">
        <f>VLOOKUP(N450,Localizacoes!$G$3:$H$100,2,FALSE)</f>
        <v>EBC</v>
      </c>
      <c r="P450">
        <f>VLOOKUP(N450,ID!$G$3:$H$100,2,FALSE)</f>
        <v>131</v>
      </c>
      <c r="Q450" t="s">
        <v>149</v>
      </c>
      <c r="R450" t="str">
        <f>VLOOKUP(Q450,Localizacoes!$I$3:$J$100,2,FALSE)</f>
        <v>AEL</v>
      </c>
      <c r="S450" t="str">
        <f>VLOOKUP(Q450,ID!$I$3:$J$100,2,FALSE)</f>
        <v>AEL</v>
      </c>
      <c r="T450" s="4" t="s">
        <v>182</v>
      </c>
      <c r="U450" t="s">
        <v>265</v>
      </c>
      <c r="V450" t="s">
        <v>510</v>
      </c>
      <c r="W450" t="s">
        <v>511</v>
      </c>
      <c r="X450" t="s">
        <v>506</v>
      </c>
      <c r="Y450" t="s">
        <v>270</v>
      </c>
      <c r="Z450" t="str">
        <f t="shared" si="84"/>
        <v>Actuador Eléctrico 01</v>
      </c>
      <c r="AA450"/>
      <c r="AD450" s="13" t="s">
        <v>267</v>
      </c>
      <c r="AF450" t="str">
        <f t="shared" si="87"/>
        <v>Electrobomba centrífugaActuador Eléctrico</v>
      </c>
      <c r="AG450" s="28" t="str">
        <f>VLOOKUP(AF450,Imagens!$C$2:$D$42,2,FALSE)</f>
        <v>65e8db8f62d7b</v>
      </c>
      <c r="AH450" t="str">
        <f>_xlfn.CONCAT(Imagens!$H$2,'registo_ativo-CDs (1)'!AG450)</f>
        <v>assets/imagens/products/65e8db8f62d7b</v>
      </c>
      <c r="AI450" s="67">
        <v>45376</v>
      </c>
      <c r="AK450" s="32"/>
    </row>
    <row r="451" spans="1:37" ht="16.8" customHeight="1" x14ac:dyDescent="0.3">
      <c r="A451">
        <v>15</v>
      </c>
      <c r="B451" t="str">
        <f t="shared" si="85"/>
        <v>CD39BBG131BOM02</v>
      </c>
      <c r="C451" t="str">
        <f t="shared" si="86"/>
        <v>CD-GUA-BBG-EBC-BOM-02</v>
      </c>
      <c r="E451" t="s">
        <v>37</v>
      </c>
      <c r="F451" t="str">
        <f>VLOOKUP(E451,Localizacoes!$A$3:$B$100,2,FALSE)</f>
        <v>CD</v>
      </c>
      <c r="G451" t="str">
        <f>VLOOKUP(E451,ID!$A$3:$B$100,2,FALSE)</f>
        <v>CD</v>
      </c>
      <c r="H451" s="14" t="s">
        <v>50</v>
      </c>
      <c r="I451" t="str">
        <f>VLOOKUP(H451,Localizacoes!$C$3:$D$100,2,FALSE)</f>
        <v>GUA</v>
      </c>
      <c r="J451">
        <f>VLOOKUP(H451,ID!$C$3:$D$100,2,FALSE)</f>
        <v>39</v>
      </c>
      <c r="K451" t="s">
        <v>274</v>
      </c>
      <c r="L451" t="str">
        <f>VLOOKUP(K451,Localizacoes!$E$3:$F$100,2,FALSE)</f>
        <v>BBG</v>
      </c>
      <c r="M451" t="str">
        <f>VLOOKUP(K451,ID!$E$3:$F$100,2,FALSE)</f>
        <v>BBG</v>
      </c>
      <c r="N451" t="s">
        <v>704</v>
      </c>
      <c r="O451" t="str">
        <f>VLOOKUP(N451,Localizacoes!$G$3:$H$100,2,FALSE)</f>
        <v>EBC</v>
      </c>
      <c r="P451">
        <f>VLOOKUP(N451,ID!$G$3:$H$100,2,FALSE)</f>
        <v>131</v>
      </c>
      <c r="Q451" t="s">
        <v>150</v>
      </c>
      <c r="R451" t="str">
        <f>VLOOKUP(Q451,Localizacoes!$I$3:$J$100,2,FALSE)</f>
        <v>BOM</v>
      </c>
      <c r="S451" t="str">
        <f>VLOOKUP(Q451,ID!$I$3:$J$100,2,FALSE)</f>
        <v>BOM</v>
      </c>
      <c r="T451" s="4" t="s">
        <v>186</v>
      </c>
      <c r="U451" t="s">
        <v>264</v>
      </c>
      <c r="V451" t="s">
        <v>392</v>
      </c>
      <c r="W451" t="s">
        <v>505</v>
      </c>
      <c r="X451" t="s">
        <v>506</v>
      </c>
      <c r="Y451" t="s">
        <v>270</v>
      </c>
      <c r="Z451" t="str">
        <f t="shared" si="84"/>
        <v>Bomba 02</v>
      </c>
      <c r="AA451"/>
      <c r="AD451" s="13" t="s">
        <v>7</v>
      </c>
      <c r="AF451" t="str">
        <f t="shared" si="87"/>
        <v>Electrobomba centrífugaBomba</v>
      </c>
      <c r="AG451" s="28" t="str">
        <f>VLOOKUP(AF451,Imagens!$C$2:$D$42,2,FALSE)</f>
        <v>65e96125c1d11</v>
      </c>
      <c r="AH451" t="str">
        <f>_xlfn.CONCAT(Imagens!$H$2,'registo_ativo-CDs (1)'!AG451)</f>
        <v>assets/imagens/products/65e96125c1d11</v>
      </c>
      <c r="AI451" s="67">
        <v>45320</v>
      </c>
      <c r="AK451" s="32"/>
    </row>
    <row r="452" spans="1:37" ht="16.8" customHeight="1" x14ac:dyDescent="0.3">
      <c r="A452">
        <v>15</v>
      </c>
      <c r="B452" t="str">
        <f t="shared" si="85"/>
        <v>CD39BBG131MOT02</v>
      </c>
      <c r="C452" t="str">
        <f t="shared" si="86"/>
        <v>CD-GUA-BBG-EBC-MOT-02</v>
      </c>
      <c r="E452" t="s">
        <v>37</v>
      </c>
      <c r="F452" t="str">
        <f>VLOOKUP(E452,Localizacoes!$A$3:$B$100,2,FALSE)</f>
        <v>CD</v>
      </c>
      <c r="G452" t="str">
        <f>VLOOKUP(E452,ID!$A$3:$B$100,2,FALSE)</f>
        <v>CD</v>
      </c>
      <c r="H452" s="14" t="s">
        <v>50</v>
      </c>
      <c r="I452" t="str">
        <f>VLOOKUP(H452,Localizacoes!$C$3:$D$100,2,FALSE)</f>
        <v>GUA</v>
      </c>
      <c r="J452">
        <f>VLOOKUP(H452,ID!$C$3:$D$100,2,FALSE)</f>
        <v>39</v>
      </c>
      <c r="K452" t="s">
        <v>274</v>
      </c>
      <c r="L452" t="str">
        <f>VLOOKUP(K452,Localizacoes!$E$3:$F$100,2,FALSE)</f>
        <v>BBG</v>
      </c>
      <c r="M452" t="str">
        <f>VLOOKUP(K452,ID!$E$3:$F$100,2,FALSE)</f>
        <v>BBG</v>
      </c>
      <c r="N452" t="s">
        <v>704</v>
      </c>
      <c r="O452" t="str">
        <f>VLOOKUP(N452,Localizacoes!$G$3:$H$100,2,FALSE)</f>
        <v>EBC</v>
      </c>
      <c r="P452">
        <f>VLOOKUP(N452,ID!$G$3:$H$100,2,FALSE)</f>
        <v>131</v>
      </c>
      <c r="Q452" t="s">
        <v>21</v>
      </c>
      <c r="R452" t="str">
        <f>VLOOKUP(Q452,Localizacoes!$I$3:$J$100,2,FALSE)</f>
        <v>MOT</v>
      </c>
      <c r="S452" t="str">
        <f>VLOOKUP(Q452,ID!$I$3:$J$100,2,FALSE)</f>
        <v>MOT</v>
      </c>
      <c r="T452" s="4" t="s">
        <v>186</v>
      </c>
      <c r="U452" t="s">
        <v>265</v>
      </c>
      <c r="V452" t="s">
        <v>394</v>
      </c>
      <c r="W452" t="s">
        <v>507</v>
      </c>
      <c r="X452" t="s">
        <v>506</v>
      </c>
      <c r="Y452" t="s">
        <v>270</v>
      </c>
      <c r="Z452" t="str">
        <f t="shared" si="84"/>
        <v>Motor 02</v>
      </c>
      <c r="AA452"/>
      <c r="AD452" s="13" t="s">
        <v>7</v>
      </c>
      <c r="AF452" t="str">
        <f t="shared" si="87"/>
        <v>Electrobomba centrífugaMotor</v>
      </c>
      <c r="AG452" s="28" t="str">
        <f>VLOOKUP(AF452,Imagens!$C$2:$D$42,2,FALSE)</f>
        <v>65d04210323a4</v>
      </c>
      <c r="AH452" t="str">
        <f>_xlfn.CONCAT(Imagens!$H$2,'registo_ativo-CDs (1)'!AG452)</f>
        <v>assets/imagens/products/65d04210323a4</v>
      </c>
      <c r="AI452" s="67">
        <v>45320</v>
      </c>
      <c r="AK452" s="32"/>
    </row>
    <row r="453" spans="1:37" ht="16.8" customHeight="1" x14ac:dyDescent="0.3">
      <c r="A453">
        <v>15</v>
      </c>
      <c r="B453" t="str">
        <f t="shared" si="85"/>
        <v>CD39BBG131QEA02</v>
      </c>
      <c r="C453" t="str">
        <f t="shared" si="86"/>
        <v>CD-GUA-BBG-EBC-QEA-02</v>
      </c>
      <c r="E453" t="s">
        <v>37</v>
      </c>
      <c r="F453" t="str">
        <f>VLOOKUP(E453,Localizacoes!$A$3:$B$100,2,FALSE)</f>
        <v>CD</v>
      </c>
      <c r="G453" t="str">
        <f>VLOOKUP(E453,ID!$A$3:$B$100,2,FALSE)</f>
        <v>CD</v>
      </c>
      <c r="H453" s="14" t="s">
        <v>50</v>
      </c>
      <c r="I453" t="str">
        <f>VLOOKUP(H453,Localizacoes!$C$3:$D$100,2,FALSE)</f>
        <v>GUA</v>
      </c>
      <c r="J453">
        <f>VLOOKUP(H453,ID!$C$3:$D$100,2,FALSE)</f>
        <v>39</v>
      </c>
      <c r="K453" t="s">
        <v>274</v>
      </c>
      <c r="L453" t="str">
        <f>VLOOKUP(K453,Localizacoes!$E$3:$F$100,2,FALSE)</f>
        <v>BBG</v>
      </c>
      <c r="M453" t="str">
        <f>VLOOKUP(K453,ID!$E$3:$F$100,2,FALSE)</f>
        <v>BBG</v>
      </c>
      <c r="N453" t="s">
        <v>704</v>
      </c>
      <c r="O453" t="str">
        <f>VLOOKUP(N453,Localizacoes!$G$3:$H$100,2,FALSE)</f>
        <v>EBC</v>
      </c>
      <c r="P453">
        <f>VLOOKUP(N453,ID!$G$3:$H$100,2,FALSE)</f>
        <v>131</v>
      </c>
      <c r="Q453" t="s">
        <v>154</v>
      </c>
      <c r="R453" t="str">
        <f>VLOOKUP(Q453,Localizacoes!$I$3:$J$100,2,FALSE)</f>
        <v>QEA</v>
      </c>
      <c r="S453" t="str">
        <f>VLOOKUP(Q453,ID!$I$3:$J$100,2,FALSE)</f>
        <v>QEA</v>
      </c>
      <c r="T453" s="4" t="s">
        <v>186</v>
      </c>
      <c r="U453" t="s">
        <v>265</v>
      </c>
      <c r="X453" t="s">
        <v>506</v>
      </c>
      <c r="Y453" t="s">
        <v>270</v>
      </c>
      <c r="Z453" t="str">
        <f t="shared" si="84"/>
        <v>Quadros Eléctricos de Arranque 02</v>
      </c>
      <c r="AA453"/>
      <c r="AD453" s="13" t="s">
        <v>267</v>
      </c>
      <c r="AF453" t="str">
        <f t="shared" si="87"/>
        <v>Electrobomba centrífugaQuadros Eléctricos de Arranque</v>
      </c>
      <c r="AG453" s="28" t="str">
        <f>VLOOKUP(AF453,Imagens!$C$2:$D$42,2,FALSE)</f>
        <v>65e8d2fa35c12</v>
      </c>
      <c r="AH453" t="str">
        <f>_xlfn.CONCAT(Imagens!$H$2,'registo_ativo-CDs (1)'!AG453)</f>
        <v>assets/imagens/products/65e8d2fa35c12</v>
      </c>
      <c r="AI453" s="67">
        <v>45376</v>
      </c>
      <c r="AK453" s="32"/>
    </row>
    <row r="454" spans="1:37" ht="16.8" customHeight="1" x14ac:dyDescent="0.3">
      <c r="A454">
        <v>15</v>
      </c>
      <c r="B454" t="str">
        <f t="shared" si="85"/>
        <v>CD39BBG131VSU02</v>
      </c>
      <c r="C454" t="str">
        <f t="shared" si="86"/>
        <v>CD-GUA-BBG-EBC-VSU-02</v>
      </c>
      <c r="E454" t="s">
        <v>37</v>
      </c>
      <c r="F454" t="str">
        <f>VLOOKUP(E454,Localizacoes!$A$3:$B$100,2,FALSE)</f>
        <v>CD</v>
      </c>
      <c r="G454" t="str">
        <f>VLOOKUP(E454,ID!$A$3:$B$100,2,FALSE)</f>
        <v>CD</v>
      </c>
      <c r="H454" s="14" t="s">
        <v>50</v>
      </c>
      <c r="I454" t="str">
        <f>VLOOKUP(H454,Localizacoes!$C$3:$D$100,2,FALSE)</f>
        <v>GUA</v>
      </c>
      <c r="J454">
        <f>VLOOKUP(H454,ID!$C$3:$D$100,2,FALSE)</f>
        <v>39</v>
      </c>
      <c r="K454" t="s">
        <v>274</v>
      </c>
      <c r="L454" t="str">
        <f>VLOOKUP(K454,Localizacoes!$E$3:$F$100,2,FALSE)</f>
        <v>BBG</v>
      </c>
      <c r="M454" t="str">
        <f>VLOOKUP(K454,ID!$E$3:$F$100,2,FALSE)</f>
        <v>BBG</v>
      </c>
      <c r="N454" t="s">
        <v>704</v>
      </c>
      <c r="O454" t="str">
        <f>VLOOKUP(N454,Localizacoes!$G$3:$H$100,2,FALSE)</f>
        <v>EBC</v>
      </c>
      <c r="P454">
        <f>VLOOKUP(N454,ID!$G$3:$H$100,2,FALSE)</f>
        <v>131</v>
      </c>
      <c r="Q454" t="s">
        <v>276</v>
      </c>
      <c r="R454" t="str">
        <f>VLOOKUP(Q454,Localizacoes!$I$3:$J$100,2,FALSE)</f>
        <v>VSU</v>
      </c>
      <c r="S454" t="str">
        <f>VLOOKUP(Q454,ID!$I$3:$J$100,2,FALSE)</f>
        <v>VSU</v>
      </c>
      <c r="T454" s="4" t="s">
        <v>186</v>
      </c>
      <c r="U454" t="s">
        <v>264</v>
      </c>
      <c r="V454" t="s">
        <v>508</v>
      </c>
      <c r="W454" t="s">
        <v>509</v>
      </c>
      <c r="X454" t="s">
        <v>506</v>
      </c>
      <c r="Y454" t="s">
        <v>270</v>
      </c>
      <c r="Z454" t="str">
        <f t="shared" si="84"/>
        <v>Válvula Sucção 02</v>
      </c>
      <c r="AA454"/>
      <c r="AD454" s="13" t="s">
        <v>267</v>
      </c>
      <c r="AF454" t="str">
        <f t="shared" si="87"/>
        <v>Electrobomba centrífugaVálvula Sucção</v>
      </c>
      <c r="AG454" s="28" t="str">
        <f>VLOOKUP(AF454,Imagens!$C$2:$D$42,2,FALSE)</f>
        <v>65e8cda0676b7</v>
      </c>
      <c r="AH454" t="str">
        <f>_xlfn.CONCAT(Imagens!$H$2,'registo_ativo-CDs (1)'!AG454)</f>
        <v>assets/imagens/products/65e8cda0676b7</v>
      </c>
      <c r="AI454" s="67">
        <v>45376</v>
      </c>
      <c r="AK454" s="32"/>
    </row>
    <row r="455" spans="1:37" ht="16.8" customHeight="1" x14ac:dyDescent="0.3">
      <c r="A455">
        <v>15</v>
      </c>
      <c r="B455" t="str">
        <f t="shared" si="85"/>
        <v>CD39BBG131AEL02</v>
      </c>
      <c r="C455" t="str">
        <f t="shared" si="86"/>
        <v>CD-GUA-BBG-EBC-AEL-02</v>
      </c>
      <c r="E455" t="s">
        <v>37</v>
      </c>
      <c r="F455" t="str">
        <f>VLOOKUP(E455,Localizacoes!$A$3:$B$100,2,FALSE)</f>
        <v>CD</v>
      </c>
      <c r="G455" t="str">
        <f>VLOOKUP(E455,ID!$A$3:$B$100,2,FALSE)</f>
        <v>CD</v>
      </c>
      <c r="H455" s="14" t="s">
        <v>50</v>
      </c>
      <c r="I455" t="str">
        <f>VLOOKUP(H455,Localizacoes!$C$3:$D$100,2,FALSE)</f>
        <v>GUA</v>
      </c>
      <c r="J455">
        <f>VLOOKUP(H455,ID!$C$3:$D$100,2,FALSE)</f>
        <v>39</v>
      </c>
      <c r="K455" t="s">
        <v>274</v>
      </c>
      <c r="L455" t="str">
        <f>VLOOKUP(K455,Localizacoes!$E$3:$F$100,2,FALSE)</f>
        <v>BBG</v>
      </c>
      <c r="M455" t="str">
        <f>VLOOKUP(K455,ID!$E$3:$F$100,2,FALSE)</f>
        <v>BBG</v>
      </c>
      <c r="N455" t="s">
        <v>704</v>
      </c>
      <c r="O455" t="str">
        <f>VLOOKUP(N455,Localizacoes!$G$3:$H$100,2,FALSE)</f>
        <v>EBC</v>
      </c>
      <c r="P455">
        <f>VLOOKUP(N455,ID!$G$3:$H$100,2,FALSE)</f>
        <v>131</v>
      </c>
      <c r="Q455" t="s">
        <v>149</v>
      </c>
      <c r="R455" t="str">
        <f>VLOOKUP(Q455,Localizacoes!$I$3:$J$100,2,FALSE)</f>
        <v>AEL</v>
      </c>
      <c r="S455" t="str">
        <f>VLOOKUP(Q455,ID!$I$3:$J$100,2,FALSE)</f>
        <v>AEL</v>
      </c>
      <c r="T455" s="4" t="s">
        <v>186</v>
      </c>
      <c r="U455" t="s">
        <v>265</v>
      </c>
      <c r="V455" t="s">
        <v>510</v>
      </c>
      <c r="W455" t="s">
        <v>511</v>
      </c>
      <c r="X455" t="s">
        <v>506</v>
      </c>
      <c r="Y455" t="s">
        <v>270</v>
      </c>
      <c r="Z455" t="str">
        <f t="shared" si="84"/>
        <v>Actuador Eléctrico 02</v>
      </c>
      <c r="AA455"/>
      <c r="AD455" s="13" t="s">
        <v>267</v>
      </c>
      <c r="AF455" t="str">
        <f t="shared" si="87"/>
        <v>Electrobomba centrífugaActuador Eléctrico</v>
      </c>
      <c r="AG455" s="28" t="str">
        <f>VLOOKUP(AF455,Imagens!$C$2:$D$42,2,FALSE)</f>
        <v>65e8db8f62d7b</v>
      </c>
      <c r="AH455" t="str">
        <f>_xlfn.CONCAT(Imagens!$H$2,'registo_ativo-CDs (1)'!AG455)</f>
        <v>assets/imagens/products/65e8db8f62d7b</v>
      </c>
      <c r="AI455" s="67">
        <v>45376</v>
      </c>
      <c r="AK455" s="32"/>
    </row>
    <row r="456" spans="1:37" ht="16.8" customHeight="1" x14ac:dyDescent="0.3">
      <c r="A456">
        <v>15</v>
      </c>
      <c r="B456" t="str">
        <f t="shared" si="85"/>
        <v>CD39BBG131BOM03</v>
      </c>
      <c r="C456" t="str">
        <f t="shared" si="86"/>
        <v>CD-GUA-BBG-EBC-BOM-03</v>
      </c>
      <c r="E456" t="s">
        <v>37</v>
      </c>
      <c r="F456" t="str">
        <f>VLOOKUP(E456,Localizacoes!$A$3:$B$100,2,FALSE)</f>
        <v>CD</v>
      </c>
      <c r="G456" t="str">
        <f>VLOOKUP(E456,ID!$A$3:$B$100,2,FALSE)</f>
        <v>CD</v>
      </c>
      <c r="H456" s="14" t="s">
        <v>50</v>
      </c>
      <c r="I456" t="str">
        <f>VLOOKUP(H456,Localizacoes!$C$3:$D$100,2,FALSE)</f>
        <v>GUA</v>
      </c>
      <c r="J456">
        <f>VLOOKUP(H456,ID!$C$3:$D$100,2,FALSE)</f>
        <v>39</v>
      </c>
      <c r="K456" t="s">
        <v>274</v>
      </c>
      <c r="L456" t="str">
        <f>VLOOKUP(K456,Localizacoes!$E$3:$F$100,2,FALSE)</f>
        <v>BBG</v>
      </c>
      <c r="M456" t="str">
        <f>VLOOKUP(K456,ID!$E$3:$F$100,2,FALSE)</f>
        <v>BBG</v>
      </c>
      <c r="N456" t="s">
        <v>704</v>
      </c>
      <c r="O456" t="str">
        <f>VLOOKUP(N456,Localizacoes!$G$3:$H$100,2,FALSE)</f>
        <v>EBC</v>
      </c>
      <c r="P456">
        <f>VLOOKUP(N456,ID!$G$3:$H$100,2,FALSE)</f>
        <v>131</v>
      </c>
      <c r="Q456" t="s">
        <v>150</v>
      </c>
      <c r="R456" t="str">
        <f>VLOOKUP(Q456,Localizacoes!$I$3:$J$100,2,FALSE)</f>
        <v>BOM</v>
      </c>
      <c r="S456" t="str">
        <f>VLOOKUP(Q456,ID!$I$3:$J$100,2,FALSE)</f>
        <v>BOM</v>
      </c>
      <c r="T456" s="4" t="s">
        <v>187</v>
      </c>
      <c r="U456" t="s">
        <v>264</v>
      </c>
      <c r="V456" t="s">
        <v>392</v>
      </c>
      <c r="W456" t="s">
        <v>505</v>
      </c>
      <c r="X456" t="s">
        <v>506</v>
      </c>
      <c r="Y456" t="s">
        <v>270</v>
      </c>
      <c r="Z456" t="str">
        <f t="shared" ref="Z456:Z525" si="91">Q456&amp;" "&amp; T456</f>
        <v>Bomba 03</v>
      </c>
      <c r="AA456"/>
      <c r="AD456" s="13" t="s">
        <v>7</v>
      </c>
      <c r="AF456" t="str">
        <f t="shared" si="87"/>
        <v>Electrobomba centrífugaBomba</v>
      </c>
      <c r="AG456" s="28" t="str">
        <f>VLOOKUP(AF456,Imagens!$C$2:$D$42,2,FALSE)</f>
        <v>65e96125c1d11</v>
      </c>
      <c r="AH456" t="str">
        <f>_xlfn.CONCAT(Imagens!$H$2,'registo_ativo-CDs (1)'!AG456)</f>
        <v>assets/imagens/products/65e96125c1d11</v>
      </c>
      <c r="AI456" s="67">
        <v>45320</v>
      </c>
      <c r="AK456" s="32"/>
    </row>
    <row r="457" spans="1:37" ht="16.8" customHeight="1" x14ac:dyDescent="0.3">
      <c r="A457">
        <v>15</v>
      </c>
      <c r="B457" t="str">
        <f t="shared" si="85"/>
        <v>CD39BBG131MOT03</v>
      </c>
      <c r="C457" t="str">
        <f t="shared" si="86"/>
        <v>CD-GUA-BBG-EBC-MOT-03</v>
      </c>
      <c r="E457" t="s">
        <v>37</v>
      </c>
      <c r="F457" t="str">
        <f>VLOOKUP(E457,Localizacoes!$A$3:$B$100,2,FALSE)</f>
        <v>CD</v>
      </c>
      <c r="G457" t="str">
        <f>VLOOKUP(E457,ID!$A$3:$B$100,2,FALSE)</f>
        <v>CD</v>
      </c>
      <c r="H457" s="14" t="s">
        <v>50</v>
      </c>
      <c r="I457" t="str">
        <f>VLOOKUP(H457,Localizacoes!$C$3:$D$100,2,FALSE)</f>
        <v>GUA</v>
      </c>
      <c r="J457">
        <f>VLOOKUP(H457,ID!$C$3:$D$100,2,FALSE)</f>
        <v>39</v>
      </c>
      <c r="K457" t="s">
        <v>274</v>
      </c>
      <c r="L457" t="str">
        <f>VLOOKUP(K457,Localizacoes!$E$3:$F$100,2,FALSE)</f>
        <v>BBG</v>
      </c>
      <c r="M457" t="str">
        <f>VLOOKUP(K457,ID!$E$3:$F$100,2,FALSE)</f>
        <v>BBG</v>
      </c>
      <c r="N457" t="s">
        <v>704</v>
      </c>
      <c r="O457" t="str">
        <f>VLOOKUP(N457,Localizacoes!$G$3:$H$100,2,FALSE)</f>
        <v>EBC</v>
      </c>
      <c r="P457">
        <f>VLOOKUP(N457,ID!$G$3:$H$100,2,FALSE)</f>
        <v>131</v>
      </c>
      <c r="Q457" t="s">
        <v>21</v>
      </c>
      <c r="R457" t="str">
        <f>VLOOKUP(Q457,Localizacoes!$I$3:$J$100,2,FALSE)</f>
        <v>MOT</v>
      </c>
      <c r="S457" t="str">
        <f>VLOOKUP(Q457,ID!$I$3:$J$100,2,FALSE)</f>
        <v>MOT</v>
      </c>
      <c r="T457" s="4" t="s">
        <v>187</v>
      </c>
      <c r="U457" t="s">
        <v>265</v>
      </c>
      <c r="V457" t="s">
        <v>394</v>
      </c>
      <c r="W457" t="s">
        <v>507</v>
      </c>
      <c r="X457" t="s">
        <v>506</v>
      </c>
      <c r="Y457" t="s">
        <v>270</v>
      </c>
      <c r="Z457" t="str">
        <f t="shared" si="91"/>
        <v>Motor 03</v>
      </c>
      <c r="AA457"/>
      <c r="AD457" s="13" t="s">
        <v>7</v>
      </c>
      <c r="AF457" t="str">
        <f t="shared" si="87"/>
        <v>Electrobomba centrífugaMotor</v>
      </c>
      <c r="AG457" s="28" t="str">
        <f>VLOOKUP(AF457,Imagens!$C$2:$D$42,2,FALSE)</f>
        <v>65d04210323a4</v>
      </c>
      <c r="AH457" t="str">
        <f>_xlfn.CONCAT(Imagens!$H$2,'registo_ativo-CDs (1)'!AG457)</f>
        <v>assets/imagens/products/65d04210323a4</v>
      </c>
      <c r="AI457" s="67">
        <v>45320</v>
      </c>
      <c r="AK457" s="32"/>
    </row>
    <row r="458" spans="1:37" ht="16.8" customHeight="1" x14ac:dyDescent="0.3">
      <c r="A458">
        <v>15</v>
      </c>
      <c r="B458" t="str">
        <f t="shared" si="85"/>
        <v>CD39BBG131QEA03</v>
      </c>
      <c r="C458" t="str">
        <f t="shared" si="86"/>
        <v>CD-GUA-BBG-EBC-QEA-03</v>
      </c>
      <c r="E458" t="s">
        <v>37</v>
      </c>
      <c r="F458" t="str">
        <f>VLOOKUP(E458,Localizacoes!$A$3:$B$100,2,FALSE)</f>
        <v>CD</v>
      </c>
      <c r="G458" t="str">
        <f>VLOOKUP(E458,ID!$A$3:$B$100,2,FALSE)</f>
        <v>CD</v>
      </c>
      <c r="H458" s="14" t="s">
        <v>50</v>
      </c>
      <c r="I458" t="str">
        <f>VLOOKUP(H458,Localizacoes!$C$3:$D$100,2,FALSE)</f>
        <v>GUA</v>
      </c>
      <c r="J458">
        <f>VLOOKUP(H458,ID!$C$3:$D$100,2,FALSE)</f>
        <v>39</v>
      </c>
      <c r="K458" t="s">
        <v>274</v>
      </c>
      <c r="L458" t="str">
        <f>VLOOKUP(K458,Localizacoes!$E$3:$F$100,2,FALSE)</f>
        <v>BBG</v>
      </c>
      <c r="M458" t="str">
        <f>VLOOKUP(K458,ID!$E$3:$F$100,2,FALSE)</f>
        <v>BBG</v>
      </c>
      <c r="N458" t="s">
        <v>704</v>
      </c>
      <c r="O458" t="str">
        <f>VLOOKUP(N458,Localizacoes!$G$3:$H$100,2,FALSE)</f>
        <v>EBC</v>
      </c>
      <c r="P458">
        <f>VLOOKUP(N458,ID!$G$3:$H$100,2,FALSE)</f>
        <v>131</v>
      </c>
      <c r="Q458" t="s">
        <v>154</v>
      </c>
      <c r="R458" t="str">
        <f>VLOOKUP(Q458,Localizacoes!$I$3:$J$100,2,FALSE)</f>
        <v>QEA</v>
      </c>
      <c r="S458" t="str">
        <f>VLOOKUP(Q458,ID!$I$3:$J$100,2,FALSE)</f>
        <v>QEA</v>
      </c>
      <c r="T458" s="4" t="s">
        <v>187</v>
      </c>
      <c r="U458" t="s">
        <v>265</v>
      </c>
      <c r="X458" t="s">
        <v>506</v>
      </c>
      <c r="Y458" t="s">
        <v>270</v>
      </c>
      <c r="Z458" t="str">
        <f t="shared" si="91"/>
        <v>Quadros Eléctricos de Arranque 03</v>
      </c>
      <c r="AA458"/>
      <c r="AD458" s="13" t="s">
        <v>267</v>
      </c>
      <c r="AF458" t="str">
        <f t="shared" si="87"/>
        <v>Electrobomba centrífugaQuadros Eléctricos de Arranque</v>
      </c>
      <c r="AG458" s="28" t="str">
        <f>VLOOKUP(AF458,Imagens!$C$2:$D$42,2,FALSE)</f>
        <v>65e8d2fa35c12</v>
      </c>
      <c r="AH458" t="str">
        <f>_xlfn.CONCAT(Imagens!$H$2,'registo_ativo-CDs (1)'!AG458)</f>
        <v>assets/imagens/products/65e8d2fa35c12</v>
      </c>
      <c r="AI458" s="67">
        <v>45376</v>
      </c>
      <c r="AK458" s="32"/>
    </row>
    <row r="459" spans="1:37" ht="16.8" customHeight="1" x14ac:dyDescent="0.3">
      <c r="A459">
        <v>15</v>
      </c>
      <c r="B459" t="str">
        <f t="shared" si="85"/>
        <v>CD39BBG131VSU03</v>
      </c>
      <c r="C459" t="str">
        <f t="shared" si="86"/>
        <v>CD-GUA-BBG-EBC-VSU-03</v>
      </c>
      <c r="E459" t="s">
        <v>37</v>
      </c>
      <c r="F459" t="str">
        <f>VLOOKUP(E459,Localizacoes!$A$3:$B$100,2,FALSE)</f>
        <v>CD</v>
      </c>
      <c r="G459" t="str">
        <f>VLOOKUP(E459,ID!$A$3:$B$100,2,FALSE)</f>
        <v>CD</v>
      </c>
      <c r="H459" s="14" t="s">
        <v>50</v>
      </c>
      <c r="I459" t="str">
        <f>VLOOKUP(H459,Localizacoes!$C$3:$D$100,2,FALSE)</f>
        <v>GUA</v>
      </c>
      <c r="J459">
        <f>VLOOKUP(H459,ID!$C$3:$D$100,2,FALSE)</f>
        <v>39</v>
      </c>
      <c r="K459" t="s">
        <v>274</v>
      </c>
      <c r="L459" t="str">
        <f>VLOOKUP(K459,Localizacoes!$E$3:$F$100,2,FALSE)</f>
        <v>BBG</v>
      </c>
      <c r="M459" t="str">
        <f>VLOOKUP(K459,ID!$E$3:$F$100,2,FALSE)</f>
        <v>BBG</v>
      </c>
      <c r="N459" t="s">
        <v>704</v>
      </c>
      <c r="O459" t="str">
        <f>VLOOKUP(N459,Localizacoes!$G$3:$H$100,2,FALSE)</f>
        <v>EBC</v>
      </c>
      <c r="P459">
        <f>VLOOKUP(N459,ID!$G$3:$H$100,2,FALSE)</f>
        <v>131</v>
      </c>
      <c r="Q459" t="s">
        <v>276</v>
      </c>
      <c r="R459" t="str">
        <f>VLOOKUP(Q459,Localizacoes!$I$3:$J$100,2,FALSE)</f>
        <v>VSU</v>
      </c>
      <c r="S459" t="str">
        <f>VLOOKUP(Q459,ID!$I$3:$J$100,2,FALSE)</f>
        <v>VSU</v>
      </c>
      <c r="T459" s="4" t="s">
        <v>187</v>
      </c>
      <c r="U459" t="s">
        <v>264</v>
      </c>
      <c r="V459" t="s">
        <v>508</v>
      </c>
      <c r="W459" t="s">
        <v>509</v>
      </c>
      <c r="X459" t="s">
        <v>506</v>
      </c>
      <c r="Y459" t="s">
        <v>270</v>
      </c>
      <c r="Z459" t="str">
        <f t="shared" si="91"/>
        <v>Válvula Sucção 03</v>
      </c>
      <c r="AA459"/>
      <c r="AD459" s="13" t="s">
        <v>267</v>
      </c>
      <c r="AF459" t="str">
        <f t="shared" si="87"/>
        <v>Electrobomba centrífugaVálvula Sucção</v>
      </c>
      <c r="AG459" s="28" t="str">
        <f>VLOOKUP(AF459,Imagens!$C$2:$D$42,2,FALSE)</f>
        <v>65e8cda0676b7</v>
      </c>
      <c r="AH459" t="str">
        <f>_xlfn.CONCAT(Imagens!$H$2,'registo_ativo-CDs (1)'!AG459)</f>
        <v>assets/imagens/products/65e8cda0676b7</v>
      </c>
      <c r="AI459" s="67">
        <v>45376</v>
      </c>
      <c r="AK459" s="32"/>
    </row>
    <row r="460" spans="1:37" ht="16.8" customHeight="1" x14ac:dyDescent="0.3">
      <c r="A460">
        <v>15</v>
      </c>
      <c r="B460" t="str">
        <f t="shared" si="85"/>
        <v>CD39BBG131AEL03</v>
      </c>
      <c r="C460" t="str">
        <f t="shared" si="86"/>
        <v>CD-GUA-BBG-EBC-AEL-03</v>
      </c>
      <c r="E460" t="s">
        <v>37</v>
      </c>
      <c r="F460" t="str">
        <f>VLOOKUP(E460,Localizacoes!$A$3:$B$100,2,FALSE)</f>
        <v>CD</v>
      </c>
      <c r="G460" t="str">
        <f>VLOOKUP(E460,ID!$A$3:$B$100,2,FALSE)</f>
        <v>CD</v>
      </c>
      <c r="H460" s="14" t="s">
        <v>50</v>
      </c>
      <c r="I460" t="str">
        <f>VLOOKUP(H460,Localizacoes!$C$3:$D$100,2,FALSE)</f>
        <v>GUA</v>
      </c>
      <c r="J460">
        <f>VLOOKUP(H460,ID!$C$3:$D$100,2,FALSE)</f>
        <v>39</v>
      </c>
      <c r="K460" t="s">
        <v>274</v>
      </c>
      <c r="L460" t="str">
        <f>VLOOKUP(K460,Localizacoes!$E$3:$F$100,2,FALSE)</f>
        <v>BBG</v>
      </c>
      <c r="M460" t="str">
        <f>VLOOKUP(K460,ID!$E$3:$F$100,2,FALSE)</f>
        <v>BBG</v>
      </c>
      <c r="N460" t="s">
        <v>704</v>
      </c>
      <c r="O460" t="str">
        <f>VLOOKUP(N460,Localizacoes!$G$3:$H$100,2,FALSE)</f>
        <v>EBC</v>
      </c>
      <c r="P460">
        <f>VLOOKUP(N460,ID!$G$3:$H$100,2,FALSE)</f>
        <v>131</v>
      </c>
      <c r="Q460" t="s">
        <v>149</v>
      </c>
      <c r="R460" t="str">
        <f>VLOOKUP(Q460,Localizacoes!$I$3:$J$100,2,FALSE)</f>
        <v>AEL</v>
      </c>
      <c r="S460" t="str">
        <f>VLOOKUP(Q460,ID!$I$3:$J$100,2,FALSE)</f>
        <v>AEL</v>
      </c>
      <c r="T460" s="4" t="s">
        <v>187</v>
      </c>
      <c r="U460" t="s">
        <v>265</v>
      </c>
      <c r="V460" t="s">
        <v>510</v>
      </c>
      <c r="W460" t="s">
        <v>511</v>
      </c>
      <c r="X460" t="s">
        <v>506</v>
      </c>
      <c r="Y460" t="s">
        <v>270</v>
      </c>
      <c r="Z460" t="str">
        <f t="shared" si="91"/>
        <v>Actuador Eléctrico 03</v>
      </c>
      <c r="AA460"/>
      <c r="AD460" s="13" t="s">
        <v>267</v>
      </c>
      <c r="AF460" t="str">
        <f t="shared" si="87"/>
        <v>Electrobomba centrífugaActuador Eléctrico</v>
      </c>
      <c r="AG460" s="28" t="str">
        <f>VLOOKUP(AF460,Imagens!$C$2:$D$42,2,FALSE)</f>
        <v>65e8db8f62d7b</v>
      </c>
      <c r="AH460" t="str">
        <f>_xlfn.CONCAT(Imagens!$H$2,'registo_ativo-CDs (1)'!AG460)</f>
        <v>assets/imagens/products/65e8db8f62d7b</v>
      </c>
      <c r="AI460" s="67">
        <v>45376</v>
      </c>
      <c r="AK460" s="32"/>
    </row>
    <row r="461" spans="1:37" ht="16.8" customHeight="1" x14ac:dyDescent="0.3">
      <c r="A461">
        <v>15</v>
      </c>
      <c r="B461" t="str">
        <f t="shared" si="85"/>
        <v>CD39HTH133BOM01</v>
      </c>
      <c r="C461" t="str">
        <f t="shared" si="86"/>
        <v>CD-GUA-HTH-EBD-BOM-01</v>
      </c>
      <c r="E461" t="s">
        <v>37</v>
      </c>
      <c r="F461" t="str">
        <f>VLOOKUP(E461,Localizacoes!$A$3:$B$100,2,FALSE)</f>
        <v>CD</v>
      </c>
      <c r="G461" t="str">
        <f>VLOOKUP(E461,ID!$A$3:$B$100,2,FALSE)</f>
        <v>CD</v>
      </c>
      <c r="H461" s="14" t="s">
        <v>50</v>
      </c>
      <c r="I461" t="str">
        <f>VLOOKUP(H461,Localizacoes!$C$3:$D$100,2,FALSE)</f>
        <v>GUA</v>
      </c>
      <c r="J461">
        <f>VLOOKUP(H461,ID!$C$3:$D$100,2,FALSE)</f>
        <v>39</v>
      </c>
      <c r="K461" t="s">
        <v>138</v>
      </c>
      <c r="L461" t="str">
        <f>VLOOKUP(K461,Localizacoes!$E$3:$F$100,2,FALSE)</f>
        <v>HTH</v>
      </c>
      <c r="M461" t="str">
        <f>VLOOKUP(K461,ID!$E$3:$F$100,2,FALSE)</f>
        <v>HTH</v>
      </c>
      <c r="N461" t="s">
        <v>662</v>
      </c>
      <c r="O461" t="str">
        <f>VLOOKUP(N461,Localizacoes!$G$3:$H$100,2,FALSE)</f>
        <v>EBD</v>
      </c>
      <c r="P461">
        <f>VLOOKUP(N461,ID!$G$3:$H$100,2,FALSE)</f>
        <v>133</v>
      </c>
      <c r="Q461" t="s">
        <v>150</v>
      </c>
      <c r="R461" t="str">
        <f>VLOOKUP(Q461,Localizacoes!$I$3:$J$100,2,FALSE)</f>
        <v>BOM</v>
      </c>
      <c r="S461" t="str">
        <f>VLOOKUP(Q461,ID!$I$3:$J$100,2,FALSE)</f>
        <v>BOM</v>
      </c>
      <c r="T461" s="4" t="s">
        <v>182</v>
      </c>
      <c r="U461" t="s">
        <v>264</v>
      </c>
      <c r="V461" t="s">
        <v>392</v>
      </c>
      <c r="W461" t="s">
        <v>512</v>
      </c>
      <c r="X461" t="s">
        <v>506</v>
      </c>
      <c r="Y461" t="s">
        <v>270</v>
      </c>
      <c r="Z461" t="str">
        <f t="shared" si="91"/>
        <v>Bomba 01</v>
      </c>
      <c r="AA461"/>
      <c r="AD461" s="13" t="s">
        <v>7</v>
      </c>
      <c r="AF461" t="str">
        <f t="shared" si="87"/>
        <v>Electrobomba Doseadora de DiafragmaBomba</v>
      </c>
      <c r="AG461" s="28" t="str">
        <f>VLOOKUP(AF461,Imagens!$C$2:$D$42,2,FALSE)</f>
        <v>65e8d1ea50af1</v>
      </c>
      <c r="AH461" t="str">
        <f>_xlfn.CONCAT(Imagens!$H$2,'registo_ativo-CDs (1)'!AG461)</f>
        <v>assets/imagens/products/65e8d1ea50af1</v>
      </c>
      <c r="AI461" s="67">
        <v>45320</v>
      </c>
      <c r="AK461" s="32"/>
    </row>
    <row r="462" spans="1:37" ht="16.8" customHeight="1" x14ac:dyDescent="0.3">
      <c r="A462">
        <v>15</v>
      </c>
      <c r="B462" t="str">
        <f t="shared" si="85"/>
        <v>CD39HTH133BOM02</v>
      </c>
      <c r="C462" t="str">
        <f t="shared" si="86"/>
        <v>CD-GUA-HTH-EBD-BOM-02</v>
      </c>
      <c r="E462" t="s">
        <v>37</v>
      </c>
      <c r="F462" t="str">
        <f>VLOOKUP(E462,Localizacoes!$A$3:$B$100,2,FALSE)</f>
        <v>CD</v>
      </c>
      <c r="G462" t="str">
        <f>VLOOKUP(E462,ID!$A$3:$B$100,2,FALSE)</f>
        <v>CD</v>
      </c>
      <c r="H462" s="14" t="s">
        <v>50</v>
      </c>
      <c r="I462" t="str">
        <f>VLOOKUP(H462,Localizacoes!$C$3:$D$100,2,FALSE)</f>
        <v>GUA</v>
      </c>
      <c r="J462">
        <f>VLOOKUP(H462,ID!$C$3:$D$100,2,FALSE)</f>
        <v>39</v>
      </c>
      <c r="K462" t="s">
        <v>138</v>
      </c>
      <c r="L462" t="str">
        <f>VLOOKUP(K462,Localizacoes!$E$3:$F$100,2,FALSE)</f>
        <v>HTH</v>
      </c>
      <c r="M462" t="str">
        <f>VLOOKUP(K462,ID!$E$3:$F$100,2,FALSE)</f>
        <v>HTH</v>
      </c>
      <c r="N462" t="s">
        <v>662</v>
      </c>
      <c r="O462" t="str">
        <f>VLOOKUP(N462,Localizacoes!$G$3:$H$100,2,FALSE)</f>
        <v>EBD</v>
      </c>
      <c r="P462">
        <f>VLOOKUP(N462,ID!$G$3:$H$100,2,FALSE)</f>
        <v>133</v>
      </c>
      <c r="Q462" t="s">
        <v>150</v>
      </c>
      <c r="R462" t="str">
        <f>VLOOKUP(Q462,Localizacoes!$I$3:$J$100,2,FALSE)</f>
        <v>BOM</v>
      </c>
      <c r="S462" t="str">
        <f>VLOOKUP(Q462,ID!$I$3:$J$100,2,FALSE)</f>
        <v>BOM</v>
      </c>
      <c r="T462" s="4" t="s">
        <v>186</v>
      </c>
      <c r="U462" t="s">
        <v>264</v>
      </c>
      <c r="V462" t="s">
        <v>392</v>
      </c>
      <c r="W462" t="s">
        <v>512</v>
      </c>
      <c r="X462" t="s">
        <v>506</v>
      </c>
      <c r="Y462" t="s">
        <v>270</v>
      </c>
      <c r="Z462" t="str">
        <f t="shared" si="91"/>
        <v>Bomba 02</v>
      </c>
      <c r="AA462"/>
      <c r="AD462" s="13" t="s">
        <v>7</v>
      </c>
      <c r="AF462" t="str">
        <f t="shared" si="87"/>
        <v>Electrobomba Doseadora de DiafragmaBomba</v>
      </c>
      <c r="AG462" s="28" t="str">
        <f>VLOOKUP(AF462,Imagens!$C$2:$D$42,2,FALSE)</f>
        <v>65e8d1ea50af1</v>
      </c>
      <c r="AH462" t="str">
        <f>_xlfn.CONCAT(Imagens!$H$2,'registo_ativo-CDs (1)'!AG462)</f>
        <v>assets/imagens/products/65e8d1ea50af1</v>
      </c>
      <c r="AI462" s="67">
        <v>45320</v>
      </c>
      <c r="AK462" s="32"/>
    </row>
    <row r="463" spans="1:37" ht="16.8" customHeight="1" x14ac:dyDescent="0.3">
      <c r="A463">
        <f t="shared" ref="A463:A465" si="92">LEN(B463)</f>
        <v>15</v>
      </c>
      <c r="B463" t="str">
        <f t="shared" si="85"/>
        <v>CD39HTH133MOT01</v>
      </c>
      <c r="C463" t="str">
        <f t="shared" si="86"/>
        <v>CD-GUA-HTH-EBD-MOT-01</v>
      </c>
      <c r="E463" t="s">
        <v>37</v>
      </c>
      <c r="F463" t="str">
        <f>VLOOKUP(E463,Localizacoes!$A$3:$B$100,2,FALSE)</f>
        <v>CD</v>
      </c>
      <c r="G463" t="str">
        <f>VLOOKUP(E463,ID!$A$3:$B$100,2,FALSE)</f>
        <v>CD</v>
      </c>
      <c r="H463" s="14" t="s">
        <v>50</v>
      </c>
      <c r="I463" t="str">
        <f>VLOOKUP(H463,Localizacoes!$C$3:$D$100,2,FALSE)</f>
        <v>GUA</v>
      </c>
      <c r="J463">
        <f>VLOOKUP(H463,ID!$C$3:$D$100,2,FALSE)</f>
        <v>39</v>
      </c>
      <c r="K463" t="s">
        <v>138</v>
      </c>
      <c r="L463" t="str">
        <f>VLOOKUP(K463,Localizacoes!$E$3:$F$100,2,FALSE)</f>
        <v>HTH</v>
      </c>
      <c r="M463" t="str">
        <f>VLOOKUP(K463,ID!$E$3:$F$100,2,FALSE)</f>
        <v>HTH</v>
      </c>
      <c r="N463" t="s">
        <v>662</v>
      </c>
      <c r="O463" t="str">
        <f>VLOOKUP(N463,Localizacoes!$G$3:$H$100,2,FALSE)</f>
        <v>EBD</v>
      </c>
      <c r="P463">
        <f>VLOOKUP(N463,ID!$G$3:$H$100,2,FALSE)</f>
        <v>133</v>
      </c>
      <c r="Q463" t="s">
        <v>21</v>
      </c>
      <c r="R463" t="str">
        <f>VLOOKUP(Q463,Localizacoes!$I$3:$J$100,2,FALSE)</f>
        <v>MOT</v>
      </c>
      <c r="S463" t="str">
        <f>VLOOKUP(Q463,ID!$I$3:$J$100,2,FALSE)</f>
        <v>MOT</v>
      </c>
      <c r="T463" s="4" t="s">
        <v>182</v>
      </c>
      <c r="U463" t="s">
        <v>265</v>
      </c>
      <c r="X463" t="s">
        <v>6</v>
      </c>
      <c r="Y463" t="s">
        <v>270</v>
      </c>
      <c r="Z463" t="str">
        <f t="shared" si="91"/>
        <v>Motor 01</v>
      </c>
      <c r="AA463"/>
      <c r="AD463" s="13" t="s">
        <v>7</v>
      </c>
      <c r="AF463" t="str">
        <f t="shared" si="87"/>
        <v>Electrobomba Doseadora de DiafragmaMotor</v>
      </c>
      <c r="AG463" s="28" t="str">
        <f>VLOOKUP(AF463,Imagens!$C$2:$D$42,2,FALSE)</f>
        <v>65e8d1ea50af1</v>
      </c>
      <c r="AH463" t="str">
        <f>_xlfn.CONCAT(Imagens!$H$2,'registo_ativo-CDs (1)'!AG463)</f>
        <v>assets/imagens/products/65e8d1ea50af1</v>
      </c>
      <c r="AI463" s="67">
        <v>45320</v>
      </c>
      <c r="AK463" s="32"/>
    </row>
    <row r="464" spans="1:37" ht="16.8" customHeight="1" x14ac:dyDescent="0.3">
      <c r="A464">
        <f t="shared" si="92"/>
        <v>15</v>
      </c>
      <c r="B464" t="str">
        <f t="shared" si="85"/>
        <v>CD39HTH103MOT01</v>
      </c>
      <c r="C464" t="str">
        <f t="shared" si="86"/>
        <v>CD-GUA-HTH-AGI-MOT-01</v>
      </c>
      <c r="E464" t="s">
        <v>37</v>
      </c>
      <c r="F464" t="s">
        <v>46</v>
      </c>
      <c r="G464" t="s">
        <v>46</v>
      </c>
      <c r="H464" s="20" t="s">
        <v>50</v>
      </c>
      <c r="I464" t="str">
        <f>VLOOKUP(H464,Localizacoes!$C$3:$D$100,2,FALSE)</f>
        <v>GUA</v>
      </c>
      <c r="J464">
        <f>VLOOKUP(H464,ID!$C$3:$D$100,2,FALSE)</f>
        <v>39</v>
      </c>
      <c r="K464" t="s">
        <v>138</v>
      </c>
      <c r="L464" t="str">
        <f>VLOOKUP(K464,Localizacoes!$E$3:$F$100,2,FALSE)</f>
        <v>HTH</v>
      </c>
      <c r="M464" t="str">
        <f>VLOOKUP(K464,ID!$E$3:$F$100,2,FALSE)</f>
        <v>HTH</v>
      </c>
      <c r="N464" t="s">
        <v>131</v>
      </c>
      <c r="O464" t="str">
        <f>VLOOKUP(N464,Localizacoes!$G$3:$H$100,2,FALSE)</f>
        <v>AGI</v>
      </c>
      <c r="P464">
        <f>VLOOKUP(N464,ID!$G$3:$H$100,2,FALSE)</f>
        <v>103</v>
      </c>
      <c r="Q464" t="s">
        <v>21</v>
      </c>
      <c r="R464" t="str">
        <f>VLOOKUP(Q464,Localizacoes!$I$3:$J$100,2,FALSE)</f>
        <v>MOT</v>
      </c>
      <c r="S464" t="str">
        <f>VLOOKUP(Q464,ID!$I$3:$J$100,2,FALSE)</f>
        <v>MOT</v>
      </c>
      <c r="T464" s="4" t="s">
        <v>182</v>
      </c>
      <c r="U464" t="s">
        <v>265</v>
      </c>
      <c r="V464" t="s">
        <v>543</v>
      </c>
      <c r="W464" t="s">
        <v>554</v>
      </c>
      <c r="Y464" t="s">
        <v>270</v>
      </c>
      <c r="Z464" t="str">
        <f t="shared" si="91"/>
        <v>Motor 01</v>
      </c>
      <c r="AA464"/>
      <c r="AD464" s="13" t="s">
        <v>7</v>
      </c>
      <c r="AF464" t="str">
        <f t="shared" si="87"/>
        <v>Agitador  Motor</v>
      </c>
      <c r="AG464" s="28" t="str">
        <f>VLOOKUP(AF464,Imagens!$C$2:$D$42,2,FALSE)</f>
        <v>65e8e1a7e4bd4</v>
      </c>
      <c r="AH464" t="str">
        <f>_xlfn.CONCAT(Imagens!$H$2,'registo_ativo-CDs (1)'!AG464)</f>
        <v>assets/imagens/products/65e8e1a7e4bd4</v>
      </c>
      <c r="AI464" s="67">
        <v>45320</v>
      </c>
      <c r="AK464" s="32"/>
    </row>
    <row r="465" spans="1:37" ht="16.8" customHeight="1" x14ac:dyDescent="0.3">
      <c r="A465">
        <f t="shared" si="92"/>
        <v>15</v>
      </c>
      <c r="B465" t="str">
        <f t="shared" si="85"/>
        <v>CD39HTH103CEN01</v>
      </c>
      <c r="C465" t="str">
        <f t="shared" si="86"/>
        <v>CD-GUA-HTH-AGI-CEN-01</v>
      </c>
      <c r="E465" t="s">
        <v>37</v>
      </c>
      <c r="F465" t="s">
        <v>46</v>
      </c>
      <c r="G465" t="s">
        <v>46</v>
      </c>
      <c r="H465" s="20" t="s">
        <v>50</v>
      </c>
      <c r="I465" t="str">
        <f>VLOOKUP(H465,Localizacoes!$C$3:$D$100,2,FALSE)</f>
        <v>GUA</v>
      </c>
      <c r="J465">
        <f>VLOOKUP(H465,ID!$C$3:$D$100,2,FALSE)</f>
        <v>39</v>
      </c>
      <c r="K465" t="s">
        <v>138</v>
      </c>
      <c r="L465" t="str">
        <f>VLOOKUP(K465,Localizacoes!$E$3:$F$100,2,FALSE)</f>
        <v>HTH</v>
      </c>
      <c r="M465" t="str">
        <f>VLOOKUP(K465,ID!$E$3:$F$100,2,FALSE)</f>
        <v>HTH</v>
      </c>
      <c r="N465" t="s">
        <v>131</v>
      </c>
      <c r="O465" t="str">
        <f>VLOOKUP(N465,Localizacoes!$G$3:$H$100,2,FALSE)</f>
        <v>AGI</v>
      </c>
      <c r="P465">
        <f>VLOOKUP(N465,ID!$G$3:$H$100,2,FALSE)</f>
        <v>103</v>
      </c>
      <c r="Q465" t="s">
        <v>333</v>
      </c>
      <c r="R465" t="str">
        <f>VLOOKUP(Q465,Localizacoes!$I$3:$J$100,2,FALSE)</f>
        <v>CEN</v>
      </c>
      <c r="S465" t="str">
        <f>VLOOKUP(Q465,ID!$I$3:$J$100,2,FALSE)</f>
        <v>CEN</v>
      </c>
      <c r="T465" s="4" t="s">
        <v>182</v>
      </c>
      <c r="U465" t="s">
        <v>265</v>
      </c>
      <c r="Y465" t="s">
        <v>270</v>
      </c>
      <c r="Z465" t="str">
        <f t="shared" si="91"/>
        <v>Caixa de Engrenagem 01</v>
      </c>
      <c r="AA465"/>
      <c r="AD465" s="13" t="s">
        <v>7</v>
      </c>
      <c r="AF465" t="str">
        <f t="shared" si="87"/>
        <v>Agitador  Caixa de Engrenagem</v>
      </c>
      <c r="AG465" s="28" t="str">
        <f>VLOOKUP(AF465,Imagens!$C$2:$D$42,2,FALSE)</f>
        <v>65e8e1a7e4bd4</v>
      </c>
      <c r="AH465" t="str">
        <f>_xlfn.CONCAT(Imagens!$H$2,'registo_ativo-CDs (1)'!AG465)</f>
        <v>assets/imagens/products/65e8e1a7e4bd4</v>
      </c>
      <c r="AI465" s="67">
        <v>45320</v>
      </c>
      <c r="AK465" s="32"/>
    </row>
    <row r="466" spans="1:37" ht="16.8" customHeight="1" x14ac:dyDescent="0.3">
      <c r="A466">
        <f t="shared" ref="A466:A467" si="93">LEN(B466)</f>
        <v>15</v>
      </c>
      <c r="B466" t="str">
        <f t="shared" ref="B466:B467" si="94">CONCATENATE(G466,J466,M466,P466,S466,T466)</f>
        <v>CD39HTH133MOT02</v>
      </c>
      <c r="C466" t="str">
        <f t="shared" ref="C466:C467" si="95">CONCATENATE(F466, "-", I466, "-", L466, "-", O466, "-", R466, "-", T466)</f>
        <v>CD-GUA-HTH-EBD-MOT-02</v>
      </c>
      <c r="E466" t="s">
        <v>37</v>
      </c>
      <c r="F466" t="str">
        <f>VLOOKUP(E466,Localizacoes!$A$3:$B$100,2,FALSE)</f>
        <v>CD</v>
      </c>
      <c r="G466" t="str">
        <f>VLOOKUP(E466,ID!$A$3:$B$100,2,FALSE)</f>
        <v>CD</v>
      </c>
      <c r="H466" s="14" t="s">
        <v>50</v>
      </c>
      <c r="I466" t="str">
        <f>VLOOKUP(H466,Localizacoes!$C$3:$D$100,2,FALSE)</f>
        <v>GUA</v>
      </c>
      <c r="J466">
        <f>VLOOKUP(H466,ID!$C$3:$D$100,2,FALSE)</f>
        <v>39</v>
      </c>
      <c r="K466" t="s">
        <v>138</v>
      </c>
      <c r="L466" t="str">
        <f>VLOOKUP(K466,Localizacoes!$E$3:$F$100,2,FALSE)</f>
        <v>HTH</v>
      </c>
      <c r="M466" t="str">
        <f>VLOOKUP(K466,ID!$E$3:$F$100,2,FALSE)</f>
        <v>HTH</v>
      </c>
      <c r="N466" t="s">
        <v>662</v>
      </c>
      <c r="O466" t="str">
        <f>VLOOKUP(N466,Localizacoes!$G$3:$H$100,2,FALSE)</f>
        <v>EBD</v>
      </c>
      <c r="P466">
        <f>VLOOKUP(N466,ID!$G$3:$H$100,2,FALSE)</f>
        <v>133</v>
      </c>
      <c r="Q466" t="s">
        <v>21</v>
      </c>
      <c r="R466" t="str">
        <f>VLOOKUP(Q466,Localizacoes!$I$3:$J$100,2,FALSE)</f>
        <v>MOT</v>
      </c>
      <c r="S466" t="str">
        <f>VLOOKUP(Q466,ID!$I$3:$J$100,2,FALSE)</f>
        <v>MOT</v>
      </c>
      <c r="T466" s="4" t="s">
        <v>186</v>
      </c>
      <c r="U466" t="s">
        <v>265</v>
      </c>
      <c r="X466" t="s">
        <v>6</v>
      </c>
      <c r="Y466" t="s">
        <v>270</v>
      </c>
      <c r="Z466" t="str">
        <f t="shared" ref="Z466:Z467" si="96">Q466&amp;" "&amp; T466</f>
        <v>Motor 02</v>
      </c>
      <c r="AA466"/>
      <c r="AD466" s="13" t="s">
        <v>7</v>
      </c>
      <c r="AF466" t="str">
        <f t="shared" ref="AF466:AF467" si="97">_xlfn.CONCAT(N466,Q466)</f>
        <v>Electrobomba Doseadora de DiafragmaMotor</v>
      </c>
      <c r="AG466" s="28" t="str">
        <f>VLOOKUP(AF466,Imagens!$C$2:$D$42,2,FALSE)</f>
        <v>65e8d1ea50af1</v>
      </c>
      <c r="AH466" t="str">
        <f>_xlfn.CONCAT(Imagens!$H$2,'registo_ativo-CDs (1)'!AG466)</f>
        <v>assets/imagens/products/65e8d1ea50af1</v>
      </c>
      <c r="AI466" s="67">
        <v>45320</v>
      </c>
      <c r="AK466" s="32"/>
    </row>
    <row r="467" spans="1:37" ht="16.8" customHeight="1" x14ac:dyDescent="0.3">
      <c r="A467">
        <f t="shared" si="93"/>
        <v>15</v>
      </c>
      <c r="B467" t="str">
        <f t="shared" si="94"/>
        <v>CD39HTH103CEN02</v>
      </c>
      <c r="C467" t="str">
        <f t="shared" si="95"/>
        <v>CD-GUA-HTH-AGI-CEN-02</v>
      </c>
      <c r="E467" t="s">
        <v>37</v>
      </c>
      <c r="F467" t="s">
        <v>46</v>
      </c>
      <c r="G467" t="s">
        <v>46</v>
      </c>
      <c r="H467" s="20" t="s">
        <v>50</v>
      </c>
      <c r="I467" t="str">
        <f>VLOOKUP(H467,Localizacoes!$C$3:$D$100,2,FALSE)</f>
        <v>GUA</v>
      </c>
      <c r="J467">
        <f>VLOOKUP(H467,ID!$C$3:$D$100,2,FALSE)</f>
        <v>39</v>
      </c>
      <c r="K467" t="s">
        <v>138</v>
      </c>
      <c r="L467" t="str">
        <f>VLOOKUP(K467,Localizacoes!$E$3:$F$100,2,FALSE)</f>
        <v>HTH</v>
      </c>
      <c r="M467" t="str">
        <f>VLOOKUP(K467,ID!$E$3:$F$100,2,FALSE)</f>
        <v>HTH</v>
      </c>
      <c r="N467" t="s">
        <v>131</v>
      </c>
      <c r="O467" t="str">
        <f>VLOOKUP(N467,Localizacoes!$G$3:$H$100,2,FALSE)</f>
        <v>AGI</v>
      </c>
      <c r="P467">
        <f>VLOOKUP(N467,ID!$G$3:$H$100,2,FALSE)</f>
        <v>103</v>
      </c>
      <c r="Q467" t="s">
        <v>333</v>
      </c>
      <c r="R467" t="str">
        <f>VLOOKUP(Q467,Localizacoes!$I$3:$J$100,2,FALSE)</f>
        <v>CEN</v>
      </c>
      <c r="S467" t="str">
        <f>VLOOKUP(Q467,ID!$I$3:$J$100,2,FALSE)</f>
        <v>CEN</v>
      </c>
      <c r="T467" s="4" t="s">
        <v>186</v>
      </c>
      <c r="U467" t="s">
        <v>265</v>
      </c>
      <c r="Y467" t="s">
        <v>270</v>
      </c>
      <c r="Z467" t="str">
        <f t="shared" si="96"/>
        <v>Caixa de Engrenagem 02</v>
      </c>
      <c r="AA467"/>
      <c r="AD467" s="13" t="s">
        <v>7</v>
      </c>
      <c r="AF467" t="str">
        <f t="shared" si="97"/>
        <v>Agitador  Caixa de Engrenagem</v>
      </c>
      <c r="AG467" s="28" t="str">
        <f>VLOOKUP(AF467,Imagens!$C$2:$D$42,2,FALSE)</f>
        <v>65e8e1a7e4bd4</v>
      </c>
      <c r="AH467" t="str">
        <f>_xlfn.CONCAT(Imagens!$H$2,'registo_ativo-CDs (1)'!AG467)</f>
        <v>assets/imagens/products/65e8e1a7e4bd4</v>
      </c>
      <c r="AI467" s="67">
        <v>45320</v>
      </c>
      <c r="AK467" s="32"/>
    </row>
    <row r="468" spans="1:37" ht="16.8" customHeight="1" x14ac:dyDescent="0.3">
      <c r="A468">
        <v>15</v>
      </c>
      <c r="B468" t="str">
        <f t="shared" si="85"/>
        <v>CD39HTH152QEA02</v>
      </c>
      <c r="C468" t="str">
        <f t="shared" si="86"/>
        <v>CD-GUA-HTH-QEL-QEA-02</v>
      </c>
      <c r="E468" t="s">
        <v>37</v>
      </c>
      <c r="F468" t="str">
        <f>VLOOKUP(E468,Localizacoes!$A$3:$B$100,2,FALSE)</f>
        <v>CD</v>
      </c>
      <c r="G468" t="str">
        <f>VLOOKUP(E468,ID!$A$3:$B$100,2,FALSE)</f>
        <v>CD</v>
      </c>
      <c r="H468" s="14" t="s">
        <v>50</v>
      </c>
      <c r="I468" t="str">
        <f>VLOOKUP(H468,Localizacoes!$C$3:$D$100,2,FALSE)</f>
        <v>GUA</v>
      </c>
      <c r="J468">
        <f>VLOOKUP(H468,ID!$C$3:$D$100,2,FALSE)</f>
        <v>39</v>
      </c>
      <c r="K468" t="s">
        <v>138</v>
      </c>
      <c r="L468" t="str">
        <f>VLOOKUP(K468,Localizacoes!$E$3:$F$100,2,FALSE)</f>
        <v>HTH</v>
      </c>
      <c r="M468" t="str">
        <f>VLOOKUP(K468,ID!$E$3:$F$100,2,FALSE)</f>
        <v>HTH</v>
      </c>
      <c r="N468" t="s">
        <v>286</v>
      </c>
      <c r="O468" t="str">
        <f>VLOOKUP(N468,Localizacoes!$G$3:$H$100,2,FALSE)</f>
        <v>QEL</v>
      </c>
      <c r="P468">
        <f>VLOOKUP(N468,ID!$G$3:$H$100,2,FALSE)</f>
        <v>152</v>
      </c>
      <c r="Q468" t="s">
        <v>154</v>
      </c>
      <c r="R468" t="str">
        <f>VLOOKUP(Q468,Localizacoes!$I$3:$J$100,2,FALSE)</f>
        <v>QEA</v>
      </c>
      <c r="S468" t="str">
        <f>VLOOKUP(Q468,ID!$I$3:$J$100,2,FALSE)</f>
        <v>QEA</v>
      </c>
      <c r="T468" s="4" t="s">
        <v>186</v>
      </c>
      <c r="U468" t="s">
        <v>265</v>
      </c>
      <c r="X468" t="s">
        <v>506</v>
      </c>
      <c r="Y468" t="s">
        <v>270</v>
      </c>
      <c r="Z468" t="str">
        <f t="shared" si="91"/>
        <v>Quadros Eléctricos de Arranque 02</v>
      </c>
      <c r="AA468"/>
      <c r="AD468" s="13" t="s">
        <v>267</v>
      </c>
      <c r="AF468" t="str">
        <f t="shared" si="87"/>
        <v>Quadro EléctricoQuadros Eléctricos de Arranque</v>
      </c>
      <c r="AG468" s="28" t="str">
        <f>VLOOKUP(AF468,Imagens!$C$2:$D$42,2,FALSE)</f>
        <v>65e8d2fa35c12</v>
      </c>
      <c r="AH468" t="str">
        <f>_xlfn.CONCAT(Imagens!$H$2,'registo_ativo-CDs (1)'!AG468)</f>
        <v>assets/imagens/products/65e8d2fa35c12</v>
      </c>
      <c r="AI468" s="67">
        <v>45376</v>
      </c>
      <c r="AK468" s="32"/>
    </row>
    <row r="469" spans="1:37" ht="16.8" customHeight="1" x14ac:dyDescent="0.3">
      <c r="A469">
        <v>15</v>
      </c>
      <c r="B469" t="str">
        <f t="shared" si="85"/>
        <v>CD39CAN152QBT01</v>
      </c>
      <c r="C469" t="str">
        <f t="shared" si="86"/>
        <v>CD-GUA-CAN-QEL-QBT-01</v>
      </c>
      <c r="E469" t="s">
        <v>37</v>
      </c>
      <c r="F469" t="str">
        <f>VLOOKUP(E469,Localizacoes!$A$3:$B$100,2,FALSE)</f>
        <v>CD</v>
      </c>
      <c r="G469" t="str">
        <f>VLOOKUP(E469,ID!$A$3:$B$100,2,FALSE)</f>
        <v>CD</v>
      </c>
      <c r="H469" s="14" t="s">
        <v>50</v>
      </c>
      <c r="I469" t="str">
        <f>VLOOKUP(H469,Localizacoes!$C$3:$D$100,2,FALSE)</f>
        <v>GUA</v>
      </c>
      <c r="J469">
        <f>VLOOKUP(H469,ID!$C$3:$D$100,2,FALSE)</f>
        <v>39</v>
      </c>
      <c r="K469" t="s">
        <v>101</v>
      </c>
      <c r="L469" t="str">
        <f>VLOOKUP(K469,Localizacoes!$E$3:$F$100,2,FALSE)</f>
        <v>CAN</v>
      </c>
      <c r="M469" t="str">
        <f>VLOOKUP(K469,ID!$E$3:$F$100,2,FALSE)</f>
        <v>CAN</v>
      </c>
      <c r="N469" t="s">
        <v>286</v>
      </c>
      <c r="O469" t="str">
        <f>VLOOKUP(N469,Localizacoes!$G$3:$H$100,2,FALSE)</f>
        <v>QEL</v>
      </c>
      <c r="P469">
        <f>VLOOKUP(N469,ID!$G$3:$H$100,2,FALSE)</f>
        <v>152</v>
      </c>
      <c r="Q469" t="s">
        <v>443</v>
      </c>
      <c r="R469" t="str">
        <f>VLOOKUP(Q469,Localizacoes!$I$3:$J$100,2,FALSE)</f>
        <v>QBT</v>
      </c>
      <c r="S469" t="str">
        <f>VLOOKUP(Q469,ID!$I$3:$J$100,2,FALSE)</f>
        <v>QBT</v>
      </c>
      <c r="T469" s="4" t="s">
        <v>182</v>
      </c>
      <c r="U469" t="s">
        <v>265</v>
      </c>
      <c r="W469" t="s">
        <v>513</v>
      </c>
      <c r="X469" t="s">
        <v>272</v>
      </c>
      <c r="Y469" t="s">
        <v>270</v>
      </c>
      <c r="Z469" t="str">
        <f t="shared" si="91"/>
        <v>Quadro de Baixa Tensão 01</v>
      </c>
      <c r="AA469"/>
      <c r="AD469" s="13" t="s">
        <v>267</v>
      </c>
      <c r="AF469" t="str">
        <f t="shared" si="87"/>
        <v>Quadro EléctricoQuadro de Baixa Tensão</v>
      </c>
      <c r="AG469" s="28" t="str">
        <f>VLOOKUP(AF469,Imagens!$C$2:$D$42,2,FALSE)</f>
        <v>65d1346bf3835</v>
      </c>
      <c r="AH469" t="str">
        <f>_xlfn.CONCAT(Imagens!$H$2,'registo_ativo-CDs (1)'!AG469)</f>
        <v>assets/imagens/products/65d1346bf3835</v>
      </c>
      <c r="AI469" s="67">
        <v>45376</v>
      </c>
      <c r="AK469" s="32"/>
    </row>
    <row r="470" spans="1:37" ht="16.8" customHeight="1" x14ac:dyDescent="0.3">
      <c r="A470">
        <v>15</v>
      </c>
      <c r="B470" t="str">
        <f t="shared" si="85"/>
        <v>CD39CAN152QBT02</v>
      </c>
      <c r="C470" t="str">
        <f t="shared" si="86"/>
        <v>CD-GUA-CAN-QEL-QBT-02</v>
      </c>
      <c r="E470" t="s">
        <v>37</v>
      </c>
      <c r="F470" t="str">
        <f>VLOOKUP(E470,Localizacoes!$A$3:$B$100,2,FALSE)</f>
        <v>CD</v>
      </c>
      <c r="G470" t="str">
        <f>VLOOKUP(E470,ID!$A$3:$B$100,2,FALSE)</f>
        <v>CD</v>
      </c>
      <c r="H470" s="14" t="s">
        <v>50</v>
      </c>
      <c r="I470" t="str">
        <f>VLOOKUP(H470,Localizacoes!$C$3:$D$100,2,FALSE)</f>
        <v>GUA</v>
      </c>
      <c r="J470">
        <f>VLOOKUP(H470,ID!$C$3:$D$100,2,FALSE)</f>
        <v>39</v>
      </c>
      <c r="K470" t="s">
        <v>101</v>
      </c>
      <c r="L470" t="str">
        <f>VLOOKUP(K470,Localizacoes!$E$3:$F$100,2,FALSE)</f>
        <v>CAN</v>
      </c>
      <c r="M470" t="str">
        <f>VLOOKUP(K470,ID!$E$3:$F$100,2,FALSE)</f>
        <v>CAN</v>
      </c>
      <c r="N470" t="s">
        <v>286</v>
      </c>
      <c r="O470" t="str">
        <f>VLOOKUP(N470,Localizacoes!$G$3:$H$100,2,FALSE)</f>
        <v>QEL</v>
      </c>
      <c r="P470">
        <f>VLOOKUP(N470,ID!$G$3:$H$100,2,FALSE)</f>
        <v>152</v>
      </c>
      <c r="Q470" t="s">
        <v>443</v>
      </c>
      <c r="R470" t="str">
        <f>VLOOKUP(Q470,Localizacoes!$I$3:$J$100,2,FALSE)</f>
        <v>QBT</v>
      </c>
      <c r="S470" t="str">
        <f>VLOOKUP(Q470,ID!$I$3:$J$100,2,FALSE)</f>
        <v>QBT</v>
      </c>
      <c r="T470" s="4" t="s">
        <v>186</v>
      </c>
      <c r="U470" t="s">
        <v>265</v>
      </c>
      <c r="W470" t="s">
        <v>514</v>
      </c>
      <c r="X470" t="s">
        <v>506</v>
      </c>
      <c r="Y470" t="s">
        <v>270</v>
      </c>
      <c r="Z470" t="str">
        <f t="shared" si="91"/>
        <v>Quadro de Baixa Tensão 02</v>
      </c>
      <c r="AA470"/>
      <c r="AD470" s="13" t="s">
        <v>267</v>
      </c>
      <c r="AF470" t="str">
        <f t="shared" si="87"/>
        <v>Quadro EléctricoQuadro de Baixa Tensão</v>
      </c>
      <c r="AG470" s="28" t="str">
        <f>VLOOKUP(AF470,Imagens!$C$2:$D$42,2,FALSE)</f>
        <v>65d1346bf3835</v>
      </c>
      <c r="AH470" t="str">
        <f>_xlfn.CONCAT(Imagens!$H$2,'registo_ativo-CDs (1)'!AG470)</f>
        <v>assets/imagens/products/65d1346bf3835</v>
      </c>
      <c r="AI470" s="67">
        <v>45376</v>
      </c>
      <c r="AK470" s="32"/>
    </row>
    <row r="471" spans="1:37" ht="16.8" customHeight="1" x14ac:dyDescent="0.3">
      <c r="A471">
        <v>15</v>
      </c>
      <c r="B471" t="str">
        <f t="shared" si="85"/>
        <v>CD39ILU164ILL01</v>
      </c>
      <c r="C471" t="str">
        <f t="shared" si="86"/>
        <v>CD-GUA-ILU-SIL-ILL-01</v>
      </c>
      <c r="E471" t="s">
        <v>37</v>
      </c>
      <c r="F471" t="str">
        <f>VLOOKUP(E471,Localizacoes!$A$3:$B$100,2,FALSE)</f>
        <v>CD</v>
      </c>
      <c r="G471" t="str">
        <f>VLOOKUP(E471,ID!$A$3:$B$100,2,FALSE)</f>
        <v>CD</v>
      </c>
      <c r="H471" s="14" t="s">
        <v>50</v>
      </c>
      <c r="I471" t="str">
        <f>VLOOKUP(H471,Localizacoes!$C$3:$D$100,2,FALSE)</f>
        <v>GUA</v>
      </c>
      <c r="J471">
        <f>VLOOKUP(H471,ID!$C$3:$D$100,2,FALSE)</f>
        <v>39</v>
      </c>
      <c r="K471" t="s">
        <v>141</v>
      </c>
      <c r="L471" t="str">
        <f>VLOOKUP(K471,Localizacoes!$E$3:$F$100,2,FALSE)</f>
        <v>ILU</v>
      </c>
      <c r="M471" t="str">
        <f>VLOOKUP(K471,ID!$E$3:$F$100,2,FALSE)</f>
        <v>ILU</v>
      </c>
      <c r="N471" t="s">
        <v>688</v>
      </c>
      <c r="O471" t="str">
        <f>VLOOKUP(N471,Localizacoes!$G$3:$H$100,2,FALSE)</f>
        <v>SIL</v>
      </c>
      <c r="P471">
        <f>VLOOKUP(N471,ID!$G$3:$H$100,2,FALSE)</f>
        <v>164</v>
      </c>
      <c r="Q471" t="s">
        <v>141</v>
      </c>
      <c r="R471" t="str">
        <f>VLOOKUP(Q471,Localizacoes!$I$3:$J$100,2,FALSE)</f>
        <v>ILL</v>
      </c>
      <c r="S471" t="str">
        <f>VLOOKUP(Q471,ID!$I$3:$J$100,2,FALSE)</f>
        <v>ILL</v>
      </c>
      <c r="T471" s="4" t="s">
        <v>182</v>
      </c>
      <c r="U471" t="s">
        <v>265</v>
      </c>
      <c r="W471" t="s">
        <v>514</v>
      </c>
      <c r="X471" t="s">
        <v>506</v>
      </c>
      <c r="Y471" t="s">
        <v>270</v>
      </c>
      <c r="Z471" t="str">
        <f t="shared" si="91"/>
        <v>Iluminação 01</v>
      </c>
      <c r="AA471"/>
      <c r="AD471" s="13" t="s">
        <v>267</v>
      </c>
      <c r="AF471" t="str">
        <f t="shared" si="87"/>
        <v>Sistema de IluminaçãoIluminação</v>
      </c>
      <c r="AG471" s="28" t="str">
        <f>VLOOKUP(AF471,Imagens!$C$2:$D$42,2,FALSE)</f>
        <v>65e8e579bfe6c</v>
      </c>
      <c r="AH471" t="str">
        <f>_xlfn.CONCAT(Imagens!$H$2,'registo_ativo-CDs (1)'!AG471)</f>
        <v>assets/imagens/products/65e8e579bfe6c</v>
      </c>
      <c r="AI471" s="67">
        <v>45376</v>
      </c>
      <c r="AK471" s="32"/>
    </row>
    <row r="472" spans="1:37" ht="16.8" customHeight="1" x14ac:dyDescent="0.3">
      <c r="A472">
        <v>15</v>
      </c>
      <c r="B472" t="str">
        <f t="shared" si="85"/>
        <v>CD39ILU152ILL02</v>
      </c>
      <c r="C472" t="str">
        <f t="shared" si="86"/>
        <v>CD-GUA-ILU-QEL-ILL-02</v>
      </c>
      <c r="E472" t="s">
        <v>37</v>
      </c>
      <c r="F472" t="str">
        <f>VLOOKUP(E472,Localizacoes!$A$3:$B$100,2,FALSE)</f>
        <v>CD</v>
      </c>
      <c r="G472" t="str">
        <f>VLOOKUP(E472,ID!$A$3:$B$100,2,FALSE)</f>
        <v>CD</v>
      </c>
      <c r="H472" s="14" t="s">
        <v>50</v>
      </c>
      <c r="I472" t="str">
        <f>VLOOKUP(H472,Localizacoes!$C$3:$D$100,2,FALSE)</f>
        <v>GUA</v>
      </c>
      <c r="J472">
        <f>VLOOKUP(H472,ID!$C$3:$D$100,2,FALSE)</f>
        <v>39</v>
      </c>
      <c r="K472" t="s">
        <v>141</v>
      </c>
      <c r="L472" t="str">
        <f>VLOOKUP(K472,Localizacoes!$E$3:$F$100,2,FALSE)</f>
        <v>ILU</v>
      </c>
      <c r="M472" t="str">
        <f>VLOOKUP(K472,ID!$E$3:$F$100,2,FALSE)</f>
        <v>ILU</v>
      </c>
      <c r="N472" t="s">
        <v>286</v>
      </c>
      <c r="O472" t="str">
        <f>VLOOKUP(N472,Localizacoes!$G$3:$H$100,2,FALSE)</f>
        <v>QEL</v>
      </c>
      <c r="P472">
        <f>VLOOKUP(N472,ID!$G$3:$H$100,2,FALSE)</f>
        <v>152</v>
      </c>
      <c r="Q472" t="s">
        <v>141</v>
      </c>
      <c r="R472" t="str">
        <f>VLOOKUP(Q472,Localizacoes!$I$3:$J$100,2,FALSE)</f>
        <v>ILL</v>
      </c>
      <c r="S472" t="str">
        <f>VLOOKUP(Q472,ID!$I$3:$J$100,2,FALSE)</f>
        <v>ILL</v>
      </c>
      <c r="T472" s="4" t="s">
        <v>186</v>
      </c>
      <c r="U472" t="s">
        <v>265</v>
      </c>
      <c r="W472" t="s">
        <v>514</v>
      </c>
      <c r="X472" t="s">
        <v>506</v>
      </c>
      <c r="Y472" t="s">
        <v>270</v>
      </c>
      <c r="Z472" t="str">
        <f t="shared" si="91"/>
        <v>Iluminação 02</v>
      </c>
      <c r="AA472"/>
      <c r="AD472" s="13" t="s">
        <v>267</v>
      </c>
      <c r="AF472" t="str">
        <f t="shared" si="87"/>
        <v>Quadro EléctricoIluminação</v>
      </c>
      <c r="AG472" s="28" t="str">
        <f>VLOOKUP(AF472,Imagens!$C$2:$D$42,2,FALSE)</f>
        <v>65e8e579bfe6c</v>
      </c>
      <c r="AH472" t="str">
        <f>_xlfn.CONCAT(Imagens!$H$2,'registo_ativo-CDs (1)'!AG472)</f>
        <v>assets/imagens/products/65e8e579bfe6c</v>
      </c>
      <c r="AI472" s="67">
        <v>45320</v>
      </c>
      <c r="AK472" s="32"/>
    </row>
    <row r="473" spans="1:37" ht="16.8" customHeight="1" x14ac:dyDescent="0.3">
      <c r="A473">
        <v>15</v>
      </c>
      <c r="B473" t="str">
        <f t="shared" si="85"/>
        <v>CD39CAN119CAN01</v>
      </c>
      <c r="C473" t="str">
        <f t="shared" si="86"/>
        <v>CD-GUA-CAN-CAN-CAN-01</v>
      </c>
      <c r="E473" t="s">
        <v>37</v>
      </c>
      <c r="F473" t="str">
        <f>VLOOKUP(E473,Localizacoes!$A$3:$B$100,2,FALSE)</f>
        <v>CD</v>
      </c>
      <c r="G473" t="str">
        <f>VLOOKUP(E473,ID!$A$3:$B$100,2,FALSE)</f>
        <v>CD</v>
      </c>
      <c r="H473" s="14" t="s">
        <v>50</v>
      </c>
      <c r="I473" t="str">
        <f>VLOOKUP(H473,Localizacoes!$C$3:$D$100,2,FALSE)</f>
        <v>GUA</v>
      </c>
      <c r="J473">
        <f>VLOOKUP(H473,ID!$C$3:$D$100,2,FALSE)</f>
        <v>39</v>
      </c>
      <c r="K473" t="s">
        <v>101</v>
      </c>
      <c r="L473" t="str">
        <f>VLOOKUP(K473,Localizacoes!$E$3:$F$100,2,FALSE)</f>
        <v>CAN</v>
      </c>
      <c r="M473" t="str">
        <f>VLOOKUP(K473,ID!$E$3:$F$100,2,FALSE)</f>
        <v>CAN</v>
      </c>
      <c r="N473" t="s">
        <v>101</v>
      </c>
      <c r="O473" t="str">
        <f>VLOOKUP(N473,Localizacoes!$G$3:$H$100,2,FALSE)</f>
        <v>CAN</v>
      </c>
      <c r="P473">
        <f>VLOOKUP(N473,ID!$G$3:$H$100,2,FALSE)</f>
        <v>119</v>
      </c>
      <c r="Q473" t="s">
        <v>101</v>
      </c>
      <c r="R473" t="str">
        <f>VLOOKUP(Q473,Localizacoes!$I$3:$J$100,2,FALSE)</f>
        <v>CAN</v>
      </c>
      <c r="S473" t="str">
        <f>VLOOKUP(Q473,ID!$I$3:$J$100,2,FALSE)</f>
        <v>CAN</v>
      </c>
      <c r="T473" s="4" t="s">
        <v>182</v>
      </c>
      <c r="U473" t="s">
        <v>265</v>
      </c>
      <c r="X473" t="s">
        <v>506</v>
      </c>
      <c r="Y473" t="s">
        <v>270</v>
      </c>
      <c r="Z473" t="str">
        <f t="shared" si="91"/>
        <v>Canalização Eléctrica 01</v>
      </c>
      <c r="AA473"/>
      <c r="AD473" s="13" t="s">
        <v>266</v>
      </c>
      <c r="AF473" t="str">
        <f t="shared" si="87"/>
        <v>Canalização EléctricaCanalização Eléctrica</v>
      </c>
      <c r="AG473" s="28" t="str">
        <f>VLOOKUP(AF473,Imagens!$C$2:$D$42,2,FALSE)</f>
        <v>65e8e4bb71249</v>
      </c>
      <c r="AH473" t="str">
        <f>_xlfn.CONCAT(Imagens!$H$2,'registo_ativo-CDs (1)'!AG473)</f>
        <v>assets/imagens/products/65e8e4bb71249</v>
      </c>
      <c r="AI473" s="67">
        <v>45320</v>
      </c>
      <c r="AK473" s="32"/>
    </row>
    <row r="474" spans="1:37" ht="16.8" customHeight="1" x14ac:dyDescent="0.3">
      <c r="A474">
        <v>15</v>
      </c>
      <c r="B474" t="str">
        <f t="shared" si="85"/>
        <v>CD39ENT146MCD01</v>
      </c>
      <c r="C474" t="str">
        <f t="shared" si="86"/>
        <v>CD-GUA-ENT-MDD-MCD-01</v>
      </c>
      <c r="E474" t="s">
        <v>37</v>
      </c>
      <c r="F474" t="str">
        <f>VLOOKUP(E474,Localizacoes!$A$3:$B$100,2,FALSE)</f>
        <v>CD</v>
      </c>
      <c r="G474" t="str">
        <f>VLOOKUP(E474,ID!$A$3:$B$100,2,FALSE)</f>
        <v>CD</v>
      </c>
      <c r="H474" s="14" t="s">
        <v>50</v>
      </c>
      <c r="I474" t="str">
        <f>VLOOKUP(H474,Localizacoes!$C$3:$D$100,2,FALSE)</f>
        <v>GUA</v>
      </c>
      <c r="J474">
        <f>VLOOKUP(H474,ID!$C$3:$D$100,2,FALSE)</f>
        <v>39</v>
      </c>
      <c r="K474" t="s">
        <v>323</v>
      </c>
      <c r="L474" t="str">
        <f>VLOOKUP(K474,Localizacoes!$E$3:$F$100,2,FALSE)</f>
        <v>ENT</v>
      </c>
      <c r="M474" t="str">
        <f>VLOOKUP(K474,ID!$E$3:$F$100,2,FALSE)</f>
        <v>ENT</v>
      </c>
      <c r="N474" t="s">
        <v>672</v>
      </c>
      <c r="O474" t="str">
        <f>VLOOKUP(N474,Localizacoes!$G$3:$H$100,2,FALSE)</f>
        <v>MDD</v>
      </c>
      <c r="P474">
        <f>VLOOKUP(N474,ID!$G$3:$H$100,2,FALSE)</f>
        <v>146</v>
      </c>
      <c r="Q474" t="s">
        <v>370</v>
      </c>
      <c r="R474" t="str">
        <f>VLOOKUP(Q474,Localizacoes!$I$3:$J$100,2,FALSE)</f>
        <v>MCD</v>
      </c>
      <c r="S474" t="str">
        <f>VLOOKUP(Q474,ID!$I$3:$J$100,2,FALSE)</f>
        <v>MCD</v>
      </c>
      <c r="T474" s="4" t="s">
        <v>182</v>
      </c>
      <c r="U474" t="s">
        <v>265</v>
      </c>
      <c r="X474" t="s">
        <v>506</v>
      </c>
      <c r="Y474" t="s">
        <v>270</v>
      </c>
      <c r="Z474" t="str">
        <f t="shared" ref="Z474:Z475" si="98">Q474&amp;" "&amp; T474</f>
        <v>Macromedidor 01</v>
      </c>
      <c r="AA474"/>
      <c r="AD474" s="13" t="s">
        <v>266</v>
      </c>
      <c r="AF474" t="str">
        <f t="shared" si="87"/>
        <v>MedidorMacromedidor</v>
      </c>
      <c r="AG474" s="28" t="str">
        <f>VLOOKUP(AF474,Imagens!$C$2:$D$42,2,FALSE)</f>
        <v>65e8dd4a9cd58</v>
      </c>
      <c r="AH474" t="str">
        <f>_xlfn.CONCAT(Imagens!$H$2,'registo_ativo-CDs (1)'!AG474)</f>
        <v>assets/imagens/products/65e8dd4a9cd58</v>
      </c>
      <c r="AI474" s="67">
        <v>45344</v>
      </c>
      <c r="AK474" s="32"/>
    </row>
    <row r="475" spans="1:37" ht="16.8" customHeight="1" x14ac:dyDescent="0.3">
      <c r="A475">
        <v>15</v>
      </c>
      <c r="B475" t="str">
        <f t="shared" si="85"/>
        <v>CD39BBG146MCD02</v>
      </c>
      <c r="C475" t="str">
        <f t="shared" si="86"/>
        <v>CD-GUA-BBG-MDD-MCD-02</v>
      </c>
      <c r="E475" t="s">
        <v>37</v>
      </c>
      <c r="F475" t="str">
        <f>VLOOKUP(E475,Localizacoes!$A$3:$B$100,2,FALSE)</f>
        <v>CD</v>
      </c>
      <c r="G475" t="str">
        <f>VLOOKUP(E475,ID!$A$3:$B$100,2,FALSE)</f>
        <v>CD</v>
      </c>
      <c r="H475" s="14" t="s">
        <v>50</v>
      </c>
      <c r="I475" t="str">
        <f>VLOOKUP(H475,Localizacoes!$C$3:$D$100,2,FALSE)</f>
        <v>GUA</v>
      </c>
      <c r="J475">
        <f>VLOOKUP(H475,ID!$C$3:$D$100,2,FALSE)</f>
        <v>39</v>
      </c>
      <c r="K475" t="s">
        <v>274</v>
      </c>
      <c r="L475" t="str">
        <f>VLOOKUP(K475,Localizacoes!$E$3:$F$100,2,FALSE)</f>
        <v>BBG</v>
      </c>
      <c r="M475" t="str">
        <f>VLOOKUP(K475,ID!$E$3:$F$100,2,FALSE)</f>
        <v>BBG</v>
      </c>
      <c r="N475" t="s">
        <v>672</v>
      </c>
      <c r="O475" t="str">
        <f>VLOOKUP(N475,Localizacoes!$G$3:$H$100,2,FALSE)</f>
        <v>MDD</v>
      </c>
      <c r="P475">
        <f>VLOOKUP(N475,ID!$G$3:$H$100,2,FALSE)</f>
        <v>146</v>
      </c>
      <c r="Q475" t="s">
        <v>370</v>
      </c>
      <c r="R475" t="str">
        <f>VLOOKUP(Q475,Localizacoes!$I$3:$J$100,2,FALSE)</f>
        <v>MCD</v>
      </c>
      <c r="S475" t="str">
        <f>VLOOKUP(Q475,ID!$I$3:$J$100,2,FALSE)</f>
        <v>MCD</v>
      </c>
      <c r="T475" s="4" t="s">
        <v>186</v>
      </c>
      <c r="U475" t="s">
        <v>265</v>
      </c>
      <c r="X475" t="s">
        <v>506</v>
      </c>
      <c r="Y475" t="s">
        <v>270</v>
      </c>
      <c r="Z475" t="str">
        <f t="shared" si="98"/>
        <v>Macromedidor 02</v>
      </c>
      <c r="AA475"/>
      <c r="AD475" s="13" t="s">
        <v>266</v>
      </c>
      <c r="AF475" t="str">
        <f t="shared" si="87"/>
        <v>MedidorMacromedidor</v>
      </c>
      <c r="AG475" s="28" t="str">
        <f>VLOOKUP(AF475,Imagens!$C$2:$D$42,2,FALSE)</f>
        <v>65e8dd4a9cd58</v>
      </c>
      <c r="AH475" t="str">
        <f>_xlfn.CONCAT(Imagens!$H$2,'registo_ativo-CDs (1)'!AG475)</f>
        <v>assets/imagens/products/65e8dd4a9cd58</v>
      </c>
      <c r="AI475" s="67">
        <v>45344</v>
      </c>
      <c r="AK475" s="32"/>
    </row>
    <row r="476" spans="1:37" ht="17.399999999999999" customHeight="1" x14ac:dyDescent="0.3">
      <c r="A476">
        <v>15</v>
      </c>
      <c r="B476" t="str">
        <f t="shared" si="85"/>
        <v>CD39CAN152QEI01</v>
      </c>
      <c r="C476" t="str">
        <f t="shared" si="86"/>
        <v>CD-GUA-CAN-QEL-QEI-01</v>
      </c>
      <c r="E476" t="s">
        <v>37</v>
      </c>
      <c r="F476" t="str">
        <f>VLOOKUP(E476,Localizacoes!$A$3:$B$100,2,FALSE)</f>
        <v>CD</v>
      </c>
      <c r="G476" t="str">
        <f>VLOOKUP(E476,ID!$A$3:$B$100,2,FALSE)</f>
        <v>CD</v>
      </c>
      <c r="H476" s="14" t="s">
        <v>50</v>
      </c>
      <c r="I476" t="str">
        <f>VLOOKUP(H476,Localizacoes!$C$3:$D$100,2,FALSE)</f>
        <v>GUA</v>
      </c>
      <c r="J476">
        <f>VLOOKUP(H476,ID!$C$3:$D$100,2,FALSE)</f>
        <v>39</v>
      </c>
      <c r="K476" t="s">
        <v>101</v>
      </c>
      <c r="L476" t="str">
        <f>VLOOKUP(K476,Localizacoes!$E$3:$F$100,2,FALSE)</f>
        <v>CAN</v>
      </c>
      <c r="M476" t="str">
        <f>VLOOKUP(K476,ID!$E$3:$F$100,2,FALSE)</f>
        <v>CAN</v>
      </c>
      <c r="N476" t="s">
        <v>286</v>
      </c>
      <c r="O476" t="str">
        <f>VLOOKUP(N476,Localizacoes!$G$3:$H$100,2,FALSE)</f>
        <v>QEL</v>
      </c>
      <c r="P476">
        <f>VLOOKUP(N476,ID!$G$3:$H$100,2,FALSE)</f>
        <v>152</v>
      </c>
      <c r="Q476" t="s">
        <v>446</v>
      </c>
      <c r="R476" t="str">
        <f>VLOOKUP(Q476,Localizacoes!$I$3:$J$100,2,FALSE)</f>
        <v>QEI</v>
      </c>
      <c r="S476" t="str">
        <f>VLOOKUP(Q476,ID!$I$3:$J$100,2,FALSE)</f>
        <v>QEI</v>
      </c>
      <c r="T476" s="4" t="s">
        <v>182</v>
      </c>
      <c r="U476" t="s">
        <v>265</v>
      </c>
      <c r="X476" t="s">
        <v>506</v>
      </c>
      <c r="Y476" t="s">
        <v>270</v>
      </c>
      <c r="Z476" t="str">
        <f t="shared" si="91"/>
        <v>Quadro Eléctrico de Instrumentação 01</v>
      </c>
      <c r="AA476"/>
      <c r="AD476" s="13" t="s">
        <v>267</v>
      </c>
      <c r="AF476" t="str">
        <f t="shared" si="87"/>
        <v>Quadro EléctricoQuadro Eléctrico de Instrumentação</v>
      </c>
      <c r="AG476" s="28" t="str">
        <f>VLOOKUP(AF476,Imagens!$C$2:$D$42,2,FALSE)</f>
        <v>65d1346bf3835</v>
      </c>
      <c r="AH476" t="str">
        <f>_xlfn.CONCAT(Imagens!$H$2,'registo_ativo-CDs (1)'!AG476)</f>
        <v>assets/imagens/products/65d1346bf3835</v>
      </c>
      <c r="AI476" s="67">
        <v>45376</v>
      </c>
      <c r="AK476" s="32"/>
    </row>
    <row r="477" spans="1:37" ht="15" customHeight="1" x14ac:dyDescent="0.3">
      <c r="A477">
        <f t="shared" ref="A477" si="99">LEN(B477)</f>
        <v>15</v>
      </c>
      <c r="B477" t="str">
        <f t="shared" si="85"/>
        <v>CD39BBG143PRO01</v>
      </c>
      <c r="C477" t="str">
        <f t="shared" si="86"/>
        <v>CD-GUA-BBG-GRU-PRO-01</v>
      </c>
      <c r="E477" t="s">
        <v>37</v>
      </c>
      <c r="F477" t="str">
        <f>VLOOKUP(E477,Localizacoes!$A$3:$B$100,2,FALSE)</f>
        <v>CD</v>
      </c>
      <c r="G477" t="str">
        <f>VLOOKUP(E477,ID!$A$3:$B$100,2,FALSE)</f>
        <v>CD</v>
      </c>
      <c r="H477" s="14" t="s">
        <v>50</v>
      </c>
      <c r="I477" t="str">
        <f>VLOOKUP(H477,Localizacoes!$C$3:$D$100,2,FALSE)</f>
        <v>GUA</v>
      </c>
      <c r="J477">
        <f>VLOOKUP(H477,ID!$C$3:$D$100,2,FALSE)</f>
        <v>39</v>
      </c>
      <c r="K477" t="s">
        <v>274</v>
      </c>
      <c r="L477" t="str">
        <f>VLOOKUP(K477,Localizacoes!$E$3:$F$100,2,FALSE)</f>
        <v>BBG</v>
      </c>
      <c r="M477" t="str">
        <f>VLOOKUP(K477,ID!$E$3:$F$100,2,FALSE)</f>
        <v>BBG</v>
      </c>
      <c r="N477" t="s">
        <v>104</v>
      </c>
      <c r="O477" t="str">
        <f>VLOOKUP(N477,Localizacoes!$G$3:$H$100,2,FALSE)</f>
        <v>GRU</v>
      </c>
      <c r="P477">
        <f>VLOOKUP(N477,ID!$G$3:$H$100,2,FALSE)</f>
        <v>143</v>
      </c>
      <c r="Q477" t="s">
        <v>153</v>
      </c>
      <c r="R477" t="str">
        <f>VLOOKUP(Q477,Localizacoes!$I$3:$J$100,2,FALSE)</f>
        <v>PRO</v>
      </c>
      <c r="S477" t="str">
        <f>VLOOKUP(Q477,ID!$I$3:$J$100,2,FALSE)</f>
        <v>PRO</v>
      </c>
      <c r="T477" s="4" t="s">
        <v>182</v>
      </c>
      <c r="U477" t="s">
        <v>264</v>
      </c>
      <c r="Y477" t="s">
        <v>270</v>
      </c>
      <c r="Z477" t="str">
        <f t="shared" si="91"/>
        <v>Ponte Rolante 01</v>
      </c>
      <c r="AA477"/>
      <c r="AD477" s="13" t="s">
        <v>266</v>
      </c>
      <c r="AF477" t="str">
        <f t="shared" si="87"/>
        <v>GruaPonte Rolante</v>
      </c>
      <c r="AG477" s="28" t="str">
        <f>VLOOKUP(AF477,Imagens!$C$2:$D$42,2,FALSE)</f>
        <v>65c75d2748c4a</v>
      </c>
      <c r="AH477" t="str">
        <f>_xlfn.CONCAT(Imagens!$H$2,'registo_ativo-CDs (1)'!AG477)</f>
        <v>assets/imagens/products/65c75d2748c4a</v>
      </c>
      <c r="AI477" s="67">
        <v>45454</v>
      </c>
      <c r="AK477" s="32"/>
    </row>
    <row r="478" spans="1:37" ht="16.8" customHeight="1" x14ac:dyDescent="0.3">
      <c r="A478">
        <v>15</v>
      </c>
      <c r="B478" t="str">
        <f t="shared" si="85"/>
        <v>CD39SB1165TRA01</v>
      </c>
      <c r="C478" t="str">
        <f t="shared" si="86"/>
        <v>CD-GUA-SB1-SUB-TRA-01</v>
      </c>
      <c r="E478" t="s">
        <v>37</v>
      </c>
      <c r="F478" t="str">
        <f>VLOOKUP(E478,Localizacoes!$A$3:$B$100,2,FALSE)</f>
        <v>CD</v>
      </c>
      <c r="G478" t="str">
        <f>VLOOKUP(E478,ID!$A$3:$B$100,2,FALSE)</f>
        <v>CD</v>
      </c>
      <c r="H478" s="14" t="s">
        <v>50</v>
      </c>
      <c r="I478" t="str">
        <f>VLOOKUP(H478,Localizacoes!$C$3:$D$100,2,FALSE)</f>
        <v>GUA</v>
      </c>
      <c r="J478">
        <f>VLOOKUP(H478,ID!$C$3:$D$100,2,FALSE)</f>
        <v>39</v>
      </c>
      <c r="K478" t="s">
        <v>127</v>
      </c>
      <c r="L478" t="str">
        <f>VLOOKUP(K478,Localizacoes!$E$3:$F$100,2,FALSE)</f>
        <v>SB1</v>
      </c>
      <c r="M478" t="str">
        <f>VLOOKUP(K478,ID!$E$3:$F$100,2,FALSE)</f>
        <v>SB1</v>
      </c>
      <c r="N478" t="s">
        <v>112</v>
      </c>
      <c r="O478" t="str">
        <f>VLOOKUP(N478,Localizacoes!$G$3:$H$100,2,FALSE)</f>
        <v>SUB</v>
      </c>
      <c r="P478">
        <f>VLOOKUP(N478,ID!$G$3:$H$100,2,FALSE)</f>
        <v>165</v>
      </c>
      <c r="Q478" t="s">
        <v>176</v>
      </c>
      <c r="R478" t="str">
        <f>VLOOKUP(Q478,Localizacoes!$I$3:$J$100,2,FALSE)</f>
        <v>TRA</v>
      </c>
      <c r="S478" t="str">
        <f>VLOOKUP(Q478,ID!$I$3:$J$100,2,FALSE)</f>
        <v>TRA</v>
      </c>
      <c r="T478" s="4" t="s">
        <v>182</v>
      </c>
      <c r="U478" t="s">
        <v>265</v>
      </c>
      <c r="V478" t="s">
        <v>515</v>
      </c>
      <c r="W478" t="s">
        <v>516</v>
      </c>
      <c r="X478" t="s">
        <v>6</v>
      </c>
      <c r="Y478" t="s">
        <v>270</v>
      </c>
      <c r="Z478" t="str">
        <f t="shared" si="91"/>
        <v>Transformador 01</v>
      </c>
      <c r="AA478"/>
      <c r="AD478" s="13" t="s">
        <v>267</v>
      </c>
      <c r="AF478" t="str">
        <f t="shared" si="87"/>
        <v>SubestaçãoTransformador</v>
      </c>
      <c r="AG478" s="28" t="str">
        <f>VLOOKUP(AF478,Imagens!$C$2:$D$42,2,FALSE)</f>
        <v>65e8d98d73a3d</v>
      </c>
      <c r="AH478" t="str">
        <f>_xlfn.CONCAT(Imagens!$H$2,'registo_ativo-CDs (1)'!AG478)</f>
        <v>assets/imagens/products/65e8d98d73a3d</v>
      </c>
      <c r="AI478" s="67">
        <v>45320</v>
      </c>
      <c r="AK478" s="32"/>
    </row>
    <row r="479" spans="1:37" ht="16.8" customHeight="1" x14ac:dyDescent="0.3">
      <c r="A479">
        <v>15</v>
      </c>
      <c r="B479" t="str">
        <f t="shared" si="85"/>
        <v>CD48BBG131BOM01</v>
      </c>
      <c r="C479" t="str">
        <f t="shared" si="86"/>
        <v>CD-MATH-BBG-EBC-BOM-01</v>
      </c>
      <c r="E479" t="s">
        <v>37</v>
      </c>
      <c r="F479" t="str">
        <f>VLOOKUP(E479,Localizacoes!$A$3:$B$100,2,FALSE)</f>
        <v>CD</v>
      </c>
      <c r="G479" t="str">
        <f>VLOOKUP(E479,ID!$A$3:$B$100,2,FALSE)</f>
        <v>CD</v>
      </c>
      <c r="H479" s="14" t="s">
        <v>53</v>
      </c>
      <c r="I479" t="str">
        <f>VLOOKUP(H479,Localizacoes!$C$3:$D$100,2,FALSE)</f>
        <v>MATH</v>
      </c>
      <c r="J479">
        <f>VLOOKUP(H479,ID!$C$3:$D$100,2,FALSE)</f>
        <v>48</v>
      </c>
      <c r="K479" t="s">
        <v>274</v>
      </c>
      <c r="L479" t="str">
        <f>VLOOKUP(K479,Localizacoes!$E$3:$F$100,2,FALSE)</f>
        <v>BBG</v>
      </c>
      <c r="M479" t="str">
        <f>VLOOKUP(K479,ID!$E$3:$F$100,2,FALSE)</f>
        <v>BBG</v>
      </c>
      <c r="N479" t="s">
        <v>704</v>
      </c>
      <c r="O479" t="str">
        <f>VLOOKUP(N479,Localizacoes!$G$3:$H$100,2,FALSE)</f>
        <v>EBC</v>
      </c>
      <c r="P479">
        <f>VLOOKUP(N479,ID!$G$3:$H$100,2,FALSE)</f>
        <v>131</v>
      </c>
      <c r="Q479" t="s">
        <v>150</v>
      </c>
      <c r="R479" t="str">
        <f>VLOOKUP(Q479,Localizacoes!$I$3:$J$100,2,FALSE)</f>
        <v>BOM</v>
      </c>
      <c r="S479" t="str">
        <f>VLOOKUP(Q479,ID!$I$3:$J$100,2,FALSE)</f>
        <v>BOM</v>
      </c>
      <c r="T479" s="4" t="s">
        <v>182</v>
      </c>
      <c r="U479" t="s">
        <v>264</v>
      </c>
      <c r="V479" t="s">
        <v>392</v>
      </c>
      <c r="W479" t="s">
        <v>505</v>
      </c>
      <c r="X479" t="s">
        <v>506</v>
      </c>
      <c r="Y479" t="s">
        <v>270</v>
      </c>
      <c r="Z479" t="str">
        <f t="shared" si="91"/>
        <v>Bomba 01</v>
      </c>
      <c r="AA479"/>
      <c r="AD479" s="13" t="s">
        <v>7</v>
      </c>
      <c r="AF479" t="str">
        <f t="shared" si="87"/>
        <v>Electrobomba centrífugaBomba</v>
      </c>
      <c r="AG479" s="28" t="str">
        <f>VLOOKUP(AF479,Imagens!$C$2:$D$42,2,FALSE)</f>
        <v>65e96125c1d11</v>
      </c>
      <c r="AH479" t="str">
        <f>_xlfn.CONCAT(Imagens!$H$2,'registo_ativo-CDs (1)'!AG479)</f>
        <v>assets/imagens/products/65e96125c1d11</v>
      </c>
      <c r="AI479" s="67">
        <v>45316</v>
      </c>
      <c r="AK479" s="32"/>
    </row>
    <row r="480" spans="1:37" ht="16.8" customHeight="1" x14ac:dyDescent="0.3">
      <c r="A480">
        <v>15</v>
      </c>
      <c r="B480" t="str">
        <f t="shared" si="85"/>
        <v>CD48BBG131MOT01</v>
      </c>
      <c r="C480" t="str">
        <f t="shared" si="86"/>
        <v>CD-MATH-BBG-EBC-MOT-01</v>
      </c>
      <c r="E480" t="s">
        <v>37</v>
      </c>
      <c r="F480" t="str">
        <f>VLOOKUP(E480,Localizacoes!$A$3:$B$100,2,FALSE)</f>
        <v>CD</v>
      </c>
      <c r="G480" t="str">
        <f>VLOOKUP(E480,ID!$A$3:$B$100,2,FALSE)</f>
        <v>CD</v>
      </c>
      <c r="H480" s="14" t="s">
        <v>53</v>
      </c>
      <c r="I480" t="str">
        <f>VLOOKUP(H480,Localizacoes!$C$3:$D$100,2,FALSE)</f>
        <v>MATH</v>
      </c>
      <c r="J480">
        <f>VLOOKUP(H480,ID!$C$3:$D$100,2,FALSE)</f>
        <v>48</v>
      </c>
      <c r="K480" t="s">
        <v>274</v>
      </c>
      <c r="L480" t="str">
        <f>VLOOKUP(K480,Localizacoes!$E$3:$F$100,2,FALSE)</f>
        <v>BBG</v>
      </c>
      <c r="M480" t="str">
        <f>VLOOKUP(K480,ID!$E$3:$F$100,2,FALSE)</f>
        <v>BBG</v>
      </c>
      <c r="N480" t="s">
        <v>704</v>
      </c>
      <c r="O480" t="str">
        <f>VLOOKUP(N480,Localizacoes!$G$3:$H$100,2,FALSE)</f>
        <v>EBC</v>
      </c>
      <c r="P480">
        <f>VLOOKUP(N480,ID!$G$3:$H$100,2,FALSE)</f>
        <v>131</v>
      </c>
      <c r="Q480" t="s">
        <v>21</v>
      </c>
      <c r="R480" t="str">
        <f>VLOOKUP(Q480,Localizacoes!$I$3:$J$100,2,FALSE)</f>
        <v>MOT</v>
      </c>
      <c r="S480" t="str">
        <f>VLOOKUP(Q480,ID!$I$3:$J$100,2,FALSE)</f>
        <v>MOT</v>
      </c>
      <c r="T480" s="4" t="s">
        <v>182</v>
      </c>
      <c r="U480" t="s">
        <v>265</v>
      </c>
      <c r="V480" t="s">
        <v>517</v>
      </c>
      <c r="W480" t="s">
        <v>518</v>
      </c>
      <c r="X480" t="s">
        <v>506</v>
      </c>
      <c r="Y480" t="s">
        <v>270</v>
      </c>
      <c r="Z480" t="str">
        <f t="shared" si="91"/>
        <v>Motor 01</v>
      </c>
      <c r="AA480"/>
      <c r="AD480" s="13" t="s">
        <v>7</v>
      </c>
      <c r="AF480" t="str">
        <f t="shared" si="87"/>
        <v>Electrobomba centrífugaMotor</v>
      </c>
      <c r="AG480" s="28" t="str">
        <f>VLOOKUP(AF480,Imagens!$C$2:$D$42,2,FALSE)</f>
        <v>65d04210323a4</v>
      </c>
      <c r="AH480" t="str">
        <f>_xlfn.CONCAT(Imagens!$H$2,'registo_ativo-CDs (1)'!AG480)</f>
        <v>assets/imagens/products/65d04210323a4</v>
      </c>
      <c r="AI480" s="67">
        <v>45316</v>
      </c>
      <c r="AK480" s="32"/>
    </row>
    <row r="481" spans="1:37" ht="16.8" customHeight="1" x14ac:dyDescent="0.3">
      <c r="A481">
        <v>15</v>
      </c>
      <c r="B481" t="str">
        <f t="shared" si="85"/>
        <v>CD48BBG131QEA01</v>
      </c>
      <c r="C481" t="str">
        <f t="shared" si="86"/>
        <v>CD-MATH-BBG-EBC-QEA-01</v>
      </c>
      <c r="E481" t="s">
        <v>37</v>
      </c>
      <c r="F481" t="str">
        <f>VLOOKUP(E481,Localizacoes!$A$3:$B$100,2,FALSE)</f>
        <v>CD</v>
      </c>
      <c r="G481" t="str">
        <f>VLOOKUP(E481,ID!$A$3:$B$100,2,FALSE)</f>
        <v>CD</v>
      </c>
      <c r="H481" s="14" t="s">
        <v>53</v>
      </c>
      <c r="I481" t="str">
        <f>VLOOKUP(H481,Localizacoes!$C$3:$D$100,2,FALSE)</f>
        <v>MATH</v>
      </c>
      <c r="J481">
        <f>VLOOKUP(H481,ID!$C$3:$D$100,2,FALSE)</f>
        <v>48</v>
      </c>
      <c r="K481" t="s">
        <v>274</v>
      </c>
      <c r="L481" t="str">
        <f>VLOOKUP(K481,Localizacoes!$E$3:$F$100,2,FALSE)</f>
        <v>BBG</v>
      </c>
      <c r="M481" t="str">
        <f>VLOOKUP(K481,ID!$E$3:$F$100,2,FALSE)</f>
        <v>BBG</v>
      </c>
      <c r="N481" t="s">
        <v>704</v>
      </c>
      <c r="O481" t="str">
        <f>VLOOKUP(N481,Localizacoes!$G$3:$H$100,2,FALSE)</f>
        <v>EBC</v>
      </c>
      <c r="P481">
        <f>VLOOKUP(N481,ID!$G$3:$H$100,2,FALSE)</f>
        <v>131</v>
      </c>
      <c r="Q481" t="s">
        <v>154</v>
      </c>
      <c r="R481" t="str">
        <f>VLOOKUP(Q481,Localizacoes!$I$3:$J$100,2,FALSE)</f>
        <v>QEA</v>
      </c>
      <c r="S481" t="str">
        <f>VLOOKUP(Q481,ID!$I$3:$J$100,2,FALSE)</f>
        <v>QEA</v>
      </c>
      <c r="T481" s="4" t="s">
        <v>182</v>
      </c>
      <c r="U481" t="s">
        <v>265</v>
      </c>
      <c r="X481" t="s">
        <v>506</v>
      </c>
      <c r="Y481" t="s">
        <v>270</v>
      </c>
      <c r="Z481" t="str">
        <f t="shared" si="91"/>
        <v>Quadros Eléctricos de Arranque 01</v>
      </c>
      <c r="AA481"/>
      <c r="AD481" s="13" t="s">
        <v>267</v>
      </c>
      <c r="AF481" t="str">
        <f t="shared" si="87"/>
        <v>Electrobomba centrífugaQuadros Eléctricos de Arranque</v>
      </c>
      <c r="AG481" s="28" t="str">
        <f>VLOOKUP(AF481,Imagens!$C$2:$D$42,2,FALSE)</f>
        <v>65e8d2fa35c12</v>
      </c>
      <c r="AH481" t="str">
        <f>_xlfn.CONCAT(Imagens!$H$2,'registo_ativo-CDs (1)'!AG481)</f>
        <v>assets/imagens/products/65e8d2fa35c12</v>
      </c>
      <c r="AI481" s="67">
        <v>45372</v>
      </c>
      <c r="AK481" s="32"/>
    </row>
    <row r="482" spans="1:37" ht="16.8" customHeight="1" x14ac:dyDescent="0.3">
      <c r="A482">
        <v>15</v>
      </c>
      <c r="B482" t="str">
        <f t="shared" si="85"/>
        <v>CD48BBG131VSU01</v>
      </c>
      <c r="C482" t="str">
        <f t="shared" si="86"/>
        <v>CD-MATH-BBG-EBC-VSU-01</v>
      </c>
      <c r="E482" t="s">
        <v>37</v>
      </c>
      <c r="F482" t="str">
        <f>VLOOKUP(E482,Localizacoes!$A$3:$B$100,2,FALSE)</f>
        <v>CD</v>
      </c>
      <c r="G482" t="str">
        <f>VLOOKUP(E482,ID!$A$3:$B$100,2,FALSE)</f>
        <v>CD</v>
      </c>
      <c r="H482" s="14" t="s">
        <v>53</v>
      </c>
      <c r="I482" t="str">
        <f>VLOOKUP(H482,Localizacoes!$C$3:$D$100,2,FALSE)</f>
        <v>MATH</v>
      </c>
      <c r="J482">
        <f>VLOOKUP(H482,ID!$C$3:$D$100,2,FALSE)</f>
        <v>48</v>
      </c>
      <c r="K482" t="s">
        <v>274</v>
      </c>
      <c r="L482" t="str">
        <f>VLOOKUP(K482,Localizacoes!$E$3:$F$100,2,FALSE)</f>
        <v>BBG</v>
      </c>
      <c r="M482" t="str">
        <f>VLOOKUP(K482,ID!$E$3:$F$100,2,FALSE)</f>
        <v>BBG</v>
      </c>
      <c r="N482" t="s">
        <v>704</v>
      </c>
      <c r="O482" t="str">
        <f>VLOOKUP(N482,Localizacoes!$G$3:$H$100,2,FALSE)</f>
        <v>EBC</v>
      </c>
      <c r="P482">
        <f>VLOOKUP(N482,ID!$G$3:$H$100,2,FALSE)</f>
        <v>131</v>
      </c>
      <c r="Q482" t="s">
        <v>276</v>
      </c>
      <c r="R482" t="str">
        <f>VLOOKUP(Q482,Localizacoes!$I$3:$J$100,2,FALSE)</f>
        <v>VSU</v>
      </c>
      <c r="S482" t="str">
        <f>VLOOKUP(Q482,ID!$I$3:$J$100,2,FALSE)</f>
        <v>VSU</v>
      </c>
      <c r="T482" s="4" t="s">
        <v>182</v>
      </c>
      <c r="U482" t="s">
        <v>264</v>
      </c>
      <c r="V482" t="s">
        <v>508</v>
      </c>
      <c r="W482" t="s">
        <v>509</v>
      </c>
      <c r="X482" t="s">
        <v>506</v>
      </c>
      <c r="Y482" t="s">
        <v>270</v>
      </c>
      <c r="Z482" t="str">
        <f t="shared" si="91"/>
        <v>Válvula Sucção 01</v>
      </c>
      <c r="AA482"/>
      <c r="AD482" s="13" t="s">
        <v>267</v>
      </c>
      <c r="AF482" t="str">
        <f t="shared" si="87"/>
        <v>Electrobomba centrífugaVálvula Sucção</v>
      </c>
      <c r="AG482" s="28" t="str">
        <f>VLOOKUP(AF482,Imagens!$C$2:$D$42,2,FALSE)</f>
        <v>65e8cda0676b7</v>
      </c>
      <c r="AH482" t="str">
        <f>_xlfn.CONCAT(Imagens!$H$2,'registo_ativo-CDs (1)'!AG482)</f>
        <v>assets/imagens/products/65e8cda0676b7</v>
      </c>
      <c r="AI482" s="67">
        <v>45372</v>
      </c>
      <c r="AK482" s="32"/>
    </row>
    <row r="483" spans="1:37" ht="16.8" customHeight="1" x14ac:dyDescent="0.3">
      <c r="A483">
        <v>15</v>
      </c>
      <c r="B483" t="str">
        <f t="shared" si="85"/>
        <v>CD48BBG131AEL01</v>
      </c>
      <c r="C483" t="str">
        <f t="shared" si="86"/>
        <v>CD-MATH-BBG-EBC-AEL-01</v>
      </c>
      <c r="E483" t="s">
        <v>37</v>
      </c>
      <c r="F483" t="str">
        <f>VLOOKUP(E483,Localizacoes!$A$3:$B$100,2,FALSE)</f>
        <v>CD</v>
      </c>
      <c r="G483" t="str">
        <f>VLOOKUP(E483,ID!$A$3:$B$100,2,FALSE)</f>
        <v>CD</v>
      </c>
      <c r="H483" s="14" t="s">
        <v>53</v>
      </c>
      <c r="I483" t="str">
        <f>VLOOKUP(H483,Localizacoes!$C$3:$D$100,2,FALSE)</f>
        <v>MATH</v>
      </c>
      <c r="J483">
        <f>VLOOKUP(H483,ID!$C$3:$D$100,2,FALSE)</f>
        <v>48</v>
      </c>
      <c r="K483" t="s">
        <v>274</v>
      </c>
      <c r="L483" t="str">
        <f>VLOOKUP(K483,Localizacoes!$E$3:$F$100,2,FALSE)</f>
        <v>BBG</v>
      </c>
      <c r="M483" t="str">
        <f>VLOOKUP(K483,ID!$E$3:$F$100,2,FALSE)</f>
        <v>BBG</v>
      </c>
      <c r="N483" t="s">
        <v>704</v>
      </c>
      <c r="O483" t="str">
        <f>VLOOKUP(N483,Localizacoes!$G$3:$H$100,2,FALSE)</f>
        <v>EBC</v>
      </c>
      <c r="P483">
        <f>VLOOKUP(N483,ID!$G$3:$H$100,2,FALSE)</f>
        <v>131</v>
      </c>
      <c r="Q483" t="s">
        <v>149</v>
      </c>
      <c r="R483" t="str">
        <f>VLOOKUP(Q483,Localizacoes!$I$3:$J$100,2,FALSE)</f>
        <v>AEL</v>
      </c>
      <c r="S483" t="str">
        <f>VLOOKUP(Q483,ID!$I$3:$J$100,2,FALSE)</f>
        <v>AEL</v>
      </c>
      <c r="T483" s="4" t="s">
        <v>182</v>
      </c>
      <c r="U483" t="s">
        <v>265</v>
      </c>
      <c r="V483" t="s">
        <v>510</v>
      </c>
      <c r="W483" t="s">
        <v>511</v>
      </c>
      <c r="X483" t="s">
        <v>506</v>
      </c>
      <c r="Y483" t="s">
        <v>270</v>
      </c>
      <c r="Z483" t="str">
        <f t="shared" si="91"/>
        <v>Actuador Eléctrico 01</v>
      </c>
      <c r="AA483"/>
      <c r="AD483" s="13" t="s">
        <v>267</v>
      </c>
      <c r="AF483" t="str">
        <f t="shared" si="87"/>
        <v>Electrobomba centrífugaActuador Eléctrico</v>
      </c>
      <c r="AG483" s="28" t="str">
        <f>VLOOKUP(AF483,Imagens!$C$2:$D$42,2,FALSE)</f>
        <v>65e8db8f62d7b</v>
      </c>
      <c r="AH483" t="str">
        <f>_xlfn.CONCAT(Imagens!$H$2,'registo_ativo-CDs (1)'!AG483)</f>
        <v>assets/imagens/products/65e8db8f62d7b</v>
      </c>
      <c r="AI483" s="67">
        <v>45372</v>
      </c>
      <c r="AK483" s="32"/>
    </row>
    <row r="484" spans="1:37" ht="16.8" customHeight="1" x14ac:dyDescent="0.3">
      <c r="A484">
        <v>15</v>
      </c>
      <c r="B484" t="str">
        <f t="shared" si="85"/>
        <v>CD48BBG131BOM02</v>
      </c>
      <c r="C484" t="str">
        <f t="shared" si="86"/>
        <v>CD-MATH-BBG-EBC-BOM-02</v>
      </c>
      <c r="E484" t="s">
        <v>37</v>
      </c>
      <c r="F484" t="str">
        <f>VLOOKUP(E484,Localizacoes!$A$3:$B$100,2,FALSE)</f>
        <v>CD</v>
      </c>
      <c r="G484" t="str">
        <f>VLOOKUP(E484,ID!$A$3:$B$100,2,FALSE)</f>
        <v>CD</v>
      </c>
      <c r="H484" s="14" t="s">
        <v>53</v>
      </c>
      <c r="I484" t="str">
        <f>VLOOKUP(H484,Localizacoes!$C$3:$D$100,2,FALSE)</f>
        <v>MATH</v>
      </c>
      <c r="J484">
        <f>VLOOKUP(H484,ID!$C$3:$D$100,2,FALSE)</f>
        <v>48</v>
      </c>
      <c r="K484" t="s">
        <v>274</v>
      </c>
      <c r="L484" t="str">
        <f>VLOOKUP(K484,Localizacoes!$E$3:$F$100,2,FALSE)</f>
        <v>BBG</v>
      </c>
      <c r="M484" t="str">
        <f>VLOOKUP(K484,ID!$E$3:$F$100,2,FALSE)</f>
        <v>BBG</v>
      </c>
      <c r="N484" t="s">
        <v>704</v>
      </c>
      <c r="O484" t="str">
        <f>VLOOKUP(N484,Localizacoes!$G$3:$H$100,2,FALSE)</f>
        <v>EBC</v>
      </c>
      <c r="P484">
        <f>VLOOKUP(N484,ID!$G$3:$H$100,2,FALSE)</f>
        <v>131</v>
      </c>
      <c r="Q484" t="s">
        <v>150</v>
      </c>
      <c r="R484" t="str">
        <f>VLOOKUP(Q484,Localizacoes!$I$3:$J$100,2,FALSE)</f>
        <v>BOM</v>
      </c>
      <c r="S484" t="str">
        <f>VLOOKUP(Q484,ID!$I$3:$J$100,2,FALSE)</f>
        <v>BOM</v>
      </c>
      <c r="T484" s="4" t="s">
        <v>186</v>
      </c>
      <c r="U484" t="s">
        <v>264</v>
      </c>
      <c r="V484" t="s">
        <v>392</v>
      </c>
      <c r="W484" t="s">
        <v>505</v>
      </c>
      <c r="X484" t="s">
        <v>506</v>
      </c>
      <c r="Y484" t="s">
        <v>270</v>
      </c>
      <c r="Z484" t="str">
        <f t="shared" si="91"/>
        <v>Bomba 02</v>
      </c>
      <c r="AA484"/>
      <c r="AD484" s="25" t="s">
        <v>7</v>
      </c>
      <c r="AF484" t="str">
        <f t="shared" si="87"/>
        <v>Electrobomba centrífugaBomba</v>
      </c>
      <c r="AG484" s="28" t="str">
        <f>VLOOKUP(AF484,Imagens!$C$2:$D$42,2,FALSE)</f>
        <v>65e96125c1d11</v>
      </c>
      <c r="AH484" t="str">
        <f>_xlfn.CONCAT(Imagens!$H$2,'registo_ativo-CDs (1)'!AG484)</f>
        <v>assets/imagens/products/65e96125c1d11</v>
      </c>
      <c r="AI484" s="67">
        <v>45316</v>
      </c>
      <c r="AK484" s="32"/>
    </row>
    <row r="485" spans="1:37" ht="16.8" customHeight="1" x14ac:dyDescent="0.3">
      <c r="A485">
        <v>15</v>
      </c>
      <c r="B485" t="str">
        <f t="shared" si="85"/>
        <v>CD48BBG131MOT02</v>
      </c>
      <c r="C485" t="str">
        <f t="shared" si="86"/>
        <v>CD-MATH-BBG-EBC-MOT-02</v>
      </c>
      <c r="E485" t="s">
        <v>37</v>
      </c>
      <c r="F485" t="str">
        <f>VLOOKUP(E485,Localizacoes!$A$3:$B$100,2,FALSE)</f>
        <v>CD</v>
      </c>
      <c r="G485" t="str">
        <f>VLOOKUP(E485,ID!$A$3:$B$100,2,FALSE)</f>
        <v>CD</v>
      </c>
      <c r="H485" s="14" t="s">
        <v>53</v>
      </c>
      <c r="I485" t="str">
        <f>VLOOKUP(H485,Localizacoes!$C$3:$D$100,2,FALSE)</f>
        <v>MATH</v>
      </c>
      <c r="J485">
        <f>VLOOKUP(H485,ID!$C$3:$D$100,2,FALSE)</f>
        <v>48</v>
      </c>
      <c r="K485" t="s">
        <v>274</v>
      </c>
      <c r="L485" t="str">
        <f>VLOOKUP(K485,Localizacoes!$E$3:$F$100,2,FALSE)</f>
        <v>BBG</v>
      </c>
      <c r="M485" t="str">
        <f>VLOOKUP(K485,ID!$E$3:$F$100,2,FALSE)</f>
        <v>BBG</v>
      </c>
      <c r="N485" t="s">
        <v>704</v>
      </c>
      <c r="O485" t="str">
        <f>VLOOKUP(N485,Localizacoes!$G$3:$H$100,2,FALSE)</f>
        <v>EBC</v>
      </c>
      <c r="P485">
        <f>VLOOKUP(N485,ID!$G$3:$H$100,2,FALSE)</f>
        <v>131</v>
      </c>
      <c r="Q485" t="s">
        <v>21</v>
      </c>
      <c r="R485" t="str">
        <f>VLOOKUP(Q485,Localizacoes!$I$3:$J$100,2,FALSE)</f>
        <v>MOT</v>
      </c>
      <c r="S485" t="str">
        <f>VLOOKUP(Q485,ID!$I$3:$J$100,2,FALSE)</f>
        <v>MOT</v>
      </c>
      <c r="T485" s="4" t="s">
        <v>186</v>
      </c>
      <c r="U485" t="s">
        <v>265</v>
      </c>
      <c r="V485" t="s">
        <v>517</v>
      </c>
      <c r="W485" t="s">
        <v>518</v>
      </c>
      <c r="X485" t="s">
        <v>506</v>
      </c>
      <c r="Y485" t="s">
        <v>270</v>
      </c>
      <c r="Z485" t="str">
        <f t="shared" si="91"/>
        <v>Motor 02</v>
      </c>
      <c r="AA485"/>
      <c r="AD485" s="13" t="s">
        <v>7</v>
      </c>
      <c r="AF485" t="str">
        <f t="shared" si="87"/>
        <v>Electrobomba centrífugaMotor</v>
      </c>
      <c r="AG485" s="28" t="str">
        <f>VLOOKUP(AF485,Imagens!$C$2:$D$42,2,FALSE)</f>
        <v>65d04210323a4</v>
      </c>
      <c r="AH485" t="str">
        <f>_xlfn.CONCAT(Imagens!$H$2,'registo_ativo-CDs (1)'!AG485)</f>
        <v>assets/imagens/products/65d04210323a4</v>
      </c>
      <c r="AI485" s="67">
        <v>45316</v>
      </c>
      <c r="AK485" s="32"/>
    </row>
    <row r="486" spans="1:37" ht="16.8" customHeight="1" x14ac:dyDescent="0.3">
      <c r="A486">
        <v>15</v>
      </c>
      <c r="B486" t="str">
        <f t="shared" si="85"/>
        <v>CD48BBG131QEA02</v>
      </c>
      <c r="C486" t="str">
        <f t="shared" si="86"/>
        <v>CD-MATH-BBG-EBC-QEA-02</v>
      </c>
      <c r="E486" t="s">
        <v>37</v>
      </c>
      <c r="F486" t="str">
        <f>VLOOKUP(E486,Localizacoes!$A$3:$B$100,2,FALSE)</f>
        <v>CD</v>
      </c>
      <c r="G486" t="str">
        <f>VLOOKUP(E486,ID!$A$3:$B$100,2,FALSE)</f>
        <v>CD</v>
      </c>
      <c r="H486" s="14" t="s">
        <v>53</v>
      </c>
      <c r="I486" t="str">
        <f>VLOOKUP(H486,Localizacoes!$C$3:$D$100,2,FALSE)</f>
        <v>MATH</v>
      </c>
      <c r="J486">
        <f>VLOOKUP(H486,ID!$C$3:$D$100,2,FALSE)</f>
        <v>48</v>
      </c>
      <c r="K486" t="s">
        <v>274</v>
      </c>
      <c r="L486" t="str">
        <f>VLOOKUP(K486,Localizacoes!$E$3:$F$100,2,FALSE)</f>
        <v>BBG</v>
      </c>
      <c r="M486" t="str">
        <f>VLOOKUP(K486,ID!$E$3:$F$100,2,FALSE)</f>
        <v>BBG</v>
      </c>
      <c r="N486" t="s">
        <v>704</v>
      </c>
      <c r="O486" t="str">
        <f>VLOOKUP(N486,Localizacoes!$G$3:$H$100,2,FALSE)</f>
        <v>EBC</v>
      </c>
      <c r="P486">
        <f>VLOOKUP(N486,ID!$G$3:$H$100,2,FALSE)</f>
        <v>131</v>
      </c>
      <c r="Q486" t="s">
        <v>154</v>
      </c>
      <c r="R486" t="str">
        <f>VLOOKUP(Q486,Localizacoes!$I$3:$J$100,2,FALSE)</f>
        <v>QEA</v>
      </c>
      <c r="S486" t="str">
        <f>VLOOKUP(Q486,ID!$I$3:$J$100,2,FALSE)</f>
        <v>QEA</v>
      </c>
      <c r="T486" s="4" t="s">
        <v>186</v>
      </c>
      <c r="U486" t="s">
        <v>265</v>
      </c>
      <c r="X486" t="s">
        <v>506</v>
      </c>
      <c r="Y486" t="s">
        <v>270</v>
      </c>
      <c r="Z486" t="str">
        <f t="shared" si="91"/>
        <v>Quadros Eléctricos de Arranque 02</v>
      </c>
      <c r="AA486"/>
      <c r="AD486" s="13" t="s">
        <v>7</v>
      </c>
      <c r="AF486" t="str">
        <f t="shared" si="87"/>
        <v>Electrobomba centrífugaQuadros Eléctricos de Arranque</v>
      </c>
      <c r="AG486" s="28" t="str">
        <f>VLOOKUP(AF486,Imagens!$C$2:$D$42,2,FALSE)</f>
        <v>65e8d2fa35c12</v>
      </c>
      <c r="AH486" t="str">
        <f>_xlfn.CONCAT(Imagens!$H$2,'registo_ativo-CDs (1)'!AG486)</f>
        <v>assets/imagens/products/65e8d2fa35c12</v>
      </c>
      <c r="AI486" s="67">
        <v>45372</v>
      </c>
      <c r="AK486" s="32"/>
    </row>
    <row r="487" spans="1:37" ht="16.8" customHeight="1" x14ac:dyDescent="0.3">
      <c r="A487">
        <v>15</v>
      </c>
      <c r="B487" t="str">
        <f t="shared" si="85"/>
        <v>CD48BBG131VSU02</v>
      </c>
      <c r="C487" t="str">
        <f t="shared" si="86"/>
        <v>CD-MATH-BBG-EBC-VSU-02</v>
      </c>
      <c r="E487" t="s">
        <v>37</v>
      </c>
      <c r="F487" t="str">
        <f>VLOOKUP(E487,Localizacoes!$A$3:$B$100,2,FALSE)</f>
        <v>CD</v>
      </c>
      <c r="G487" t="str">
        <f>VLOOKUP(E487,ID!$A$3:$B$100,2,FALSE)</f>
        <v>CD</v>
      </c>
      <c r="H487" s="14" t="s">
        <v>53</v>
      </c>
      <c r="I487" t="str">
        <f>VLOOKUP(H487,Localizacoes!$C$3:$D$100,2,FALSE)</f>
        <v>MATH</v>
      </c>
      <c r="J487">
        <f>VLOOKUP(H487,ID!$C$3:$D$100,2,FALSE)</f>
        <v>48</v>
      </c>
      <c r="K487" t="s">
        <v>274</v>
      </c>
      <c r="L487" t="str">
        <f>VLOOKUP(K487,Localizacoes!$E$3:$F$100,2,FALSE)</f>
        <v>BBG</v>
      </c>
      <c r="M487" t="str">
        <f>VLOOKUP(K487,ID!$E$3:$F$100,2,FALSE)</f>
        <v>BBG</v>
      </c>
      <c r="N487" t="s">
        <v>704</v>
      </c>
      <c r="O487" t="str">
        <f>VLOOKUP(N487,Localizacoes!$G$3:$H$100,2,FALSE)</f>
        <v>EBC</v>
      </c>
      <c r="P487">
        <f>VLOOKUP(N487,ID!$G$3:$H$100,2,FALSE)</f>
        <v>131</v>
      </c>
      <c r="Q487" t="s">
        <v>276</v>
      </c>
      <c r="R487" t="str">
        <f>VLOOKUP(Q487,Localizacoes!$I$3:$J$100,2,FALSE)</f>
        <v>VSU</v>
      </c>
      <c r="S487" t="str">
        <f>VLOOKUP(Q487,ID!$I$3:$J$100,2,FALSE)</f>
        <v>VSU</v>
      </c>
      <c r="T487" s="4" t="s">
        <v>186</v>
      </c>
      <c r="U487" t="s">
        <v>264</v>
      </c>
      <c r="V487" t="s">
        <v>508</v>
      </c>
      <c r="W487" t="s">
        <v>509</v>
      </c>
      <c r="X487" t="s">
        <v>506</v>
      </c>
      <c r="Y487" t="s">
        <v>270</v>
      </c>
      <c r="Z487" t="str">
        <f t="shared" si="91"/>
        <v>Válvula Sucção 02</v>
      </c>
      <c r="AA487"/>
      <c r="AD487" s="15" t="s">
        <v>267</v>
      </c>
      <c r="AF487" t="str">
        <f t="shared" si="87"/>
        <v>Electrobomba centrífugaVálvula Sucção</v>
      </c>
      <c r="AG487" s="28" t="str">
        <f>VLOOKUP(AF487,Imagens!$C$2:$D$42,2,FALSE)</f>
        <v>65e8cda0676b7</v>
      </c>
      <c r="AH487" t="str">
        <f>_xlfn.CONCAT(Imagens!$H$2,'registo_ativo-CDs (1)'!AG487)</f>
        <v>assets/imagens/products/65e8cda0676b7</v>
      </c>
      <c r="AI487" s="67">
        <v>45372</v>
      </c>
      <c r="AK487" s="32"/>
    </row>
    <row r="488" spans="1:37" ht="16.8" customHeight="1" x14ac:dyDescent="0.3">
      <c r="A488">
        <v>15</v>
      </c>
      <c r="B488" t="str">
        <f t="shared" si="85"/>
        <v>CD48BBG131AEL02</v>
      </c>
      <c r="C488" t="str">
        <f t="shared" si="86"/>
        <v>CD-MATH-BBG-EBC-AEL-02</v>
      </c>
      <c r="E488" t="s">
        <v>37</v>
      </c>
      <c r="F488" t="str">
        <f>VLOOKUP(E488,Localizacoes!$A$3:$B$100,2,FALSE)</f>
        <v>CD</v>
      </c>
      <c r="G488" t="str">
        <f>VLOOKUP(E488,ID!$A$3:$B$100,2,FALSE)</f>
        <v>CD</v>
      </c>
      <c r="H488" s="14" t="s">
        <v>53</v>
      </c>
      <c r="I488" t="str">
        <f>VLOOKUP(H488,Localizacoes!$C$3:$D$100,2,FALSE)</f>
        <v>MATH</v>
      </c>
      <c r="J488">
        <f>VLOOKUP(H488,ID!$C$3:$D$100,2,FALSE)</f>
        <v>48</v>
      </c>
      <c r="K488" t="s">
        <v>274</v>
      </c>
      <c r="L488" t="str">
        <f>VLOOKUP(K488,Localizacoes!$E$3:$F$100,2,FALSE)</f>
        <v>BBG</v>
      </c>
      <c r="M488" t="str">
        <f>VLOOKUP(K488,ID!$E$3:$F$100,2,FALSE)</f>
        <v>BBG</v>
      </c>
      <c r="N488" t="s">
        <v>704</v>
      </c>
      <c r="O488" t="str">
        <f>VLOOKUP(N488,Localizacoes!$G$3:$H$100,2,FALSE)</f>
        <v>EBC</v>
      </c>
      <c r="P488">
        <f>VLOOKUP(N488,ID!$G$3:$H$100,2,FALSE)</f>
        <v>131</v>
      </c>
      <c r="Q488" t="s">
        <v>149</v>
      </c>
      <c r="R488" t="str">
        <f>VLOOKUP(Q488,Localizacoes!$I$3:$J$100,2,FALSE)</f>
        <v>AEL</v>
      </c>
      <c r="S488" t="str">
        <f>VLOOKUP(Q488,ID!$I$3:$J$100,2,FALSE)</f>
        <v>AEL</v>
      </c>
      <c r="T488" s="4" t="s">
        <v>186</v>
      </c>
      <c r="U488" t="s">
        <v>265</v>
      </c>
      <c r="V488" t="s">
        <v>510</v>
      </c>
      <c r="W488" t="s">
        <v>511</v>
      </c>
      <c r="X488" t="s">
        <v>506</v>
      </c>
      <c r="Y488" t="s">
        <v>270</v>
      </c>
      <c r="Z488" t="str">
        <f t="shared" si="91"/>
        <v>Actuador Eléctrico 02</v>
      </c>
      <c r="AA488"/>
      <c r="AD488" s="13" t="s">
        <v>267</v>
      </c>
      <c r="AF488" t="str">
        <f t="shared" si="87"/>
        <v>Electrobomba centrífugaActuador Eléctrico</v>
      </c>
      <c r="AG488" s="28" t="str">
        <f>VLOOKUP(AF488,Imagens!$C$2:$D$42,2,FALSE)</f>
        <v>65e8db8f62d7b</v>
      </c>
      <c r="AH488" t="str">
        <f>_xlfn.CONCAT(Imagens!$H$2,'registo_ativo-CDs (1)'!AG488)</f>
        <v>assets/imagens/products/65e8db8f62d7b</v>
      </c>
      <c r="AI488" s="67">
        <v>45372</v>
      </c>
      <c r="AK488" s="32"/>
    </row>
    <row r="489" spans="1:37" ht="16.8" customHeight="1" x14ac:dyDescent="0.3">
      <c r="A489">
        <v>15</v>
      </c>
      <c r="B489" t="str">
        <f t="shared" si="85"/>
        <v>CD48BBG131BOM03</v>
      </c>
      <c r="C489" t="str">
        <f t="shared" si="86"/>
        <v>CD-MATH-BBG-EBC-BOM-03</v>
      </c>
      <c r="E489" t="s">
        <v>37</v>
      </c>
      <c r="F489" t="str">
        <f>VLOOKUP(E489,Localizacoes!$A$3:$B$100,2,FALSE)</f>
        <v>CD</v>
      </c>
      <c r="G489" t="str">
        <f>VLOOKUP(E489,ID!$A$3:$B$100,2,FALSE)</f>
        <v>CD</v>
      </c>
      <c r="H489" s="14" t="s">
        <v>53</v>
      </c>
      <c r="I489" t="str">
        <f>VLOOKUP(H489,Localizacoes!$C$3:$D$100,2,FALSE)</f>
        <v>MATH</v>
      </c>
      <c r="J489">
        <f>VLOOKUP(H489,ID!$C$3:$D$100,2,FALSE)</f>
        <v>48</v>
      </c>
      <c r="K489" t="s">
        <v>274</v>
      </c>
      <c r="L489" t="str">
        <f>VLOOKUP(K489,Localizacoes!$E$3:$F$100,2,FALSE)</f>
        <v>BBG</v>
      </c>
      <c r="M489" t="str">
        <f>VLOOKUP(K489,ID!$E$3:$F$100,2,FALSE)</f>
        <v>BBG</v>
      </c>
      <c r="N489" t="s">
        <v>704</v>
      </c>
      <c r="O489" t="str">
        <f>VLOOKUP(N489,Localizacoes!$G$3:$H$100,2,FALSE)</f>
        <v>EBC</v>
      </c>
      <c r="P489">
        <f>VLOOKUP(N489,ID!$G$3:$H$100,2,FALSE)</f>
        <v>131</v>
      </c>
      <c r="Q489" t="s">
        <v>150</v>
      </c>
      <c r="R489" t="str">
        <f>VLOOKUP(Q489,Localizacoes!$I$3:$J$100,2,FALSE)</f>
        <v>BOM</v>
      </c>
      <c r="S489" t="str">
        <f>VLOOKUP(Q489,ID!$I$3:$J$100,2,FALSE)</f>
        <v>BOM</v>
      </c>
      <c r="T489" s="4" t="s">
        <v>187</v>
      </c>
      <c r="U489" t="s">
        <v>264</v>
      </c>
      <c r="V489" t="s">
        <v>392</v>
      </c>
      <c r="W489" t="s">
        <v>505</v>
      </c>
      <c r="X489" t="s">
        <v>506</v>
      </c>
      <c r="Y489" t="s">
        <v>270</v>
      </c>
      <c r="Z489" t="str">
        <f t="shared" si="91"/>
        <v>Bomba 03</v>
      </c>
      <c r="AA489"/>
      <c r="AD489" s="13" t="s">
        <v>7</v>
      </c>
      <c r="AF489" t="str">
        <f t="shared" si="87"/>
        <v>Electrobomba centrífugaBomba</v>
      </c>
      <c r="AG489" s="28" t="str">
        <f>VLOOKUP(AF489,Imagens!$C$2:$D$42,2,FALSE)</f>
        <v>65e96125c1d11</v>
      </c>
      <c r="AH489" t="str">
        <f>_xlfn.CONCAT(Imagens!$H$2,'registo_ativo-CDs (1)'!AG489)</f>
        <v>assets/imagens/products/65e96125c1d11</v>
      </c>
      <c r="AI489" s="67">
        <v>45316</v>
      </c>
      <c r="AK489" s="32"/>
    </row>
    <row r="490" spans="1:37" ht="16.8" customHeight="1" x14ac:dyDescent="0.3">
      <c r="A490">
        <v>15</v>
      </c>
      <c r="B490" t="str">
        <f t="shared" si="85"/>
        <v>CD48BBG131MOT03</v>
      </c>
      <c r="C490" t="str">
        <f t="shared" si="86"/>
        <v>CD-MATH-BBG-EBC-MOT-03</v>
      </c>
      <c r="E490" t="s">
        <v>37</v>
      </c>
      <c r="F490" t="str">
        <f>VLOOKUP(E490,Localizacoes!$A$3:$B$100,2,FALSE)</f>
        <v>CD</v>
      </c>
      <c r="G490" t="str">
        <f>VLOOKUP(E490,ID!$A$3:$B$100,2,FALSE)</f>
        <v>CD</v>
      </c>
      <c r="H490" s="14" t="s">
        <v>53</v>
      </c>
      <c r="I490" t="str">
        <f>VLOOKUP(H490,Localizacoes!$C$3:$D$100,2,FALSE)</f>
        <v>MATH</v>
      </c>
      <c r="J490">
        <f>VLOOKUP(H490,ID!$C$3:$D$100,2,FALSE)</f>
        <v>48</v>
      </c>
      <c r="K490" t="s">
        <v>274</v>
      </c>
      <c r="L490" t="str">
        <f>VLOOKUP(K490,Localizacoes!$E$3:$F$100,2,FALSE)</f>
        <v>BBG</v>
      </c>
      <c r="M490" t="str">
        <f>VLOOKUP(K490,ID!$E$3:$F$100,2,FALSE)</f>
        <v>BBG</v>
      </c>
      <c r="N490" t="s">
        <v>704</v>
      </c>
      <c r="O490" t="str">
        <f>VLOOKUP(N490,Localizacoes!$G$3:$H$100,2,FALSE)</f>
        <v>EBC</v>
      </c>
      <c r="P490">
        <f>VLOOKUP(N490,ID!$G$3:$H$100,2,FALSE)</f>
        <v>131</v>
      </c>
      <c r="Q490" t="s">
        <v>21</v>
      </c>
      <c r="R490" t="str">
        <f>VLOOKUP(Q490,Localizacoes!$I$3:$J$100,2,FALSE)</f>
        <v>MOT</v>
      </c>
      <c r="S490" t="str">
        <f>VLOOKUP(Q490,ID!$I$3:$J$100,2,FALSE)</f>
        <v>MOT</v>
      </c>
      <c r="T490" s="4" t="s">
        <v>187</v>
      </c>
      <c r="U490" t="s">
        <v>265</v>
      </c>
      <c r="V490" t="s">
        <v>517</v>
      </c>
      <c r="W490" t="s">
        <v>518</v>
      </c>
      <c r="X490" t="s">
        <v>506</v>
      </c>
      <c r="Y490" t="s">
        <v>270</v>
      </c>
      <c r="Z490" t="str">
        <f t="shared" si="91"/>
        <v>Motor 03</v>
      </c>
      <c r="AA490"/>
      <c r="AD490" s="15" t="s">
        <v>7</v>
      </c>
      <c r="AF490" t="str">
        <f t="shared" si="87"/>
        <v>Electrobomba centrífugaMotor</v>
      </c>
      <c r="AG490" s="28" t="str">
        <f>VLOOKUP(AF490,Imagens!$C$2:$D$42,2,FALSE)</f>
        <v>65d04210323a4</v>
      </c>
      <c r="AH490" t="str">
        <f>_xlfn.CONCAT(Imagens!$H$2,'registo_ativo-CDs (1)'!AG490)</f>
        <v>assets/imagens/products/65d04210323a4</v>
      </c>
      <c r="AI490" s="67">
        <v>45316</v>
      </c>
      <c r="AK490" s="32"/>
    </row>
    <row r="491" spans="1:37" ht="16.8" customHeight="1" x14ac:dyDescent="0.3">
      <c r="A491">
        <v>15</v>
      </c>
      <c r="B491" t="str">
        <f t="shared" si="85"/>
        <v>CD48BBG131QEA03</v>
      </c>
      <c r="C491" t="str">
        <f t="shared" si="86"/>
        <v>CD-MATH-BBG-EBC-QEA-03</v>
      </c>
      <c r="E491" t="s">
        <v>37</v>
      </c>
      <c r="F491" t="str">
        <f>VLOOKUP(E491,Localizacoes!$A$3:$B$100,2,FALSE)</f>
        <v>CD</v>
      </c>
      <c r="G491" t="str">
        <f>VLOOKUP(E491,ID!$A$3:$B$100,2,FALSE)</f>
        <v>CD</v>
      </c>
      <c r="H491" s="14" t="s">
        <v>53</v>
      </c>
      <c r="I491" t="str">
        <f>VLOOKUP(H491,Localizacoes!$C$3:$D$100,2,FALSE)</f>
        <v>MATH</v>
      </c>
      <c r="J491">
        <f>VLOOKUP(H491,ID!$C$3:$D$100,2,FALSE)</f>
        <v>48</v>
      </c>
      <c r="K491" t="s">
        <v>274</v>
      </c>
      <c r="L491" t="str">
        <f>VLOOKUP(K491,Localizacoes!$E$3:$F$100,2,FALSE)</f>
        <v>BBG</v>
      </c>
      <c r="M491" t="str">
        <f>VLOOKUP(K491,ID!$E$3:$F$100,2,FALSE)</f>
        <v>BBG</v>
      </c>
      <c r="N491" t="s">
        <v>704</v>
      </c>
      <c r="O491" t="str">
        <f>VLOOKUP(N491,Localizacoes!$G$3:$H$100,2,FALSE)</f>
        <v>EBC</v>
      </c>
      <c r="P491">
        <f>VLOOKUP(N491,ID!$G$3:$H$100,2,FALSE)</f>
        <v>131</v>
      </c>
      <c r="Q491" t="s">
        <v>154</v>
      </c>
      <c r="R491" t="str">
        <f>VLOOKUP(Q491,Localizacoes!$I$3:$J$100,2,FALSE)</f>
        <v>QEA</v>
      </c>
      <c r="S491" t="str">
        <f>VLOOKUP(Q491,ID!$I$3:$J$100,2,FALSE)</f>
        <v>QEA</v>
      </c>
      <c r="T491" s="4" t="s">
        <v>187</v>
      </c>
      <c r="U491" t="s">
        <v>265</v>
      </c>
      <c r="X491" t="s">
        <v>506</v>
      </c>
      <c r="Y491" t="s">
        <v>270</v>
      </c>
      <c r="Z491" t="str">
        <f t="shared" si="91"/>
        <v>Quadros Eléctricos de Arranque 03</v>
      </c>
      <c r="AA491"/>
      <c r="AD491" s="13" t="s">
        <v>267</v>
      </c>
      <c r="AF491" t="str">
        <f t="shared" si="87"/>
        <v>Electrobomba centrífugaQuadros Eléctricos de Arranque</v>
      </c>
      <c r="AG491" s="28" t="str">
        <f>VLOOKUP(AF491,Imagens!$C$2:$D$42,2,FALSE)</f>
        <v>65e8d2fa35c12</v>
      </c>
      <c r="AH491" t="str">
        <f>_xlfn.CONCAT(Imagens!$H$2,'registo_ativo-CDs (1)'!AG491)</f>
        <v>assets/imagens/products/65e8d2fa35c12</v>
      </c>
      <c r="AI491" s="67">
        <v>45372</v>
      </c>
      <c r="AK491" s="32"/>
    </row>
    <row r="492" spans="1:37" ht="16.8" customHeight="1" x14ac:dyDescent="0.3">
      <c r="A492">
        <v>15</v>
      </c>
      <c r="B492" t="str">
        <f t="shared" si="85"/>
        <v>CD48BBG131VSU03</v>
      </c>
      <c r="C492" t="str">
        <f t="shared" si="86"/>
        <v>CD-MATH-BBG-EBC-VSU-03</v>
      </c>
      <c r="E492" t="s">
        <v>37</v>
      </c>
      <c r="F492" t="str">
        <f>VLOOKUP(E492,Localizacoes!$A$3:$B$100,2,FALSE)</f>
        <v>CD</v>
      </c>
      <c r="G492" t="str">
        <f>VLOOKUP(E492,ID!$A$3:$B$100,2,FALSE)</f>
        <v>CD</v>
      </c>
      <c r="H492" s="14" t="s">
        <v>53</v>
      </c>
      <c r="I492" t="str">
        <f>VLOOKUP(H492,Localizacoes!$C$3:$D$100,2,FALSE)</f>
        <v>MATH</v>
      </c>
      <c r="J492">
        <f>VLOOKUP(H492,ID!$C$3:$D$100,2,FALSE)</f>
        <v>48</v>
      </c>
      <c r="K492" t="s">
        <v>274</v>
      </c>
      <c r="L492" t="str">
        <f>VLOOKUP(K492,Localizacoes!$E$3:$F$100,2,FALSE)</f>
        <v>BBG</v>
      </c>
      <c r="M492" t="str">
        <f>VLOOKUP(K492,ID!$E$3:$F$100,2,FALSE)</f>
        <v>BBG</v>
      </c>
      <c r="N492" t="s">
        <v>704</v>
      </c>
      <c r="O492" t="str">
        <f>VLOOKUP(N492,Localizacoes!$G$3:$H$100,2,FALSE)</f>
        <v>EBC</v>
      </c>
      <c r="P492">
        <f>VLOOKUP(N492,ID!$G$3:$H$100,2,FALSE)</f>
        <v>131</v>
      </c>
      <c r="Q492" t="s">
        <v>276</v>
      </c>
      <c r="R492" t="str">
        <f>VLOOKUP(Q492,Localizacoes!$I$3:$J$100,2,FALSE)</f>
        <v>VSU</v>
      </c>
      <c r="S492" t="str">
        <f>VLOOKUP(Q492,ID!$I$3:$J$100,2,FALSE)</f>
        <v>VSU</v>
      </c>
      <c r="T492" s="4" t="s">
        <v>187</v>
      </c>
      <c r="U492" t="s">
        <v>264</v>
      </c>
      <c r="V492" t="s">
        <v>508</v>
      </c>
      <c r="W492" t="s">
        <v>509</v>
      </c>
      <c r="X492" t="s">
        <v>506</v>
      </c>
      <c r="Y492" t="s">
        <v>270</v>
      </c>
      <c r="Z492" t="str">
        <f t="shared" si="91"/>
        <v>Válvula Sucção 03</v>
      </c>
      <c r="AA492"/>
      <c r="AD492" s="13" t="s">
        <v>267</v>
      </c>
      <c r="AF492" t="str">
        <f t="shared" si="87"/>
        <v>Electrobomba centrífugaVálvula Sucção</v>
      </c>
      <c r="AG492" s="28" t="str">
        <f>VLOOKUP(AF492,Imagens!$C$2:$D$42,2,FALSE)</f>
        <v>65e8cda0676b7</v>
      </c>
      <c r="AH492" t="str">
        <f>_xlfn.CONCAT(Imagens!$H$2,'registo_ativo-CDs (1)'!AG492)</f>
        <v>assets/imagens/products/65e8cda0676b7</v>
      </c>
      <c r="AI492" s="67">
        <v>45372</v>
      </c>
      <c r="AK492" s="32"/>
    </row>
    <row r="493" spans="1:37" ht="16.8" customHeight="1" x14ac:dyDescent="0.3">
      <c r="A493">
        <v>15</v>
      </c>
      <c r="B493" t="str">
        <f t="shared" si="85"/>
        <v>CD48BBG131AEL03</v>
      </c>
      <c r="C493" t="str">
        <f t="shared" si="86"/>
        <v>CD-MATH-BBG-EBC-AEL-03</v>
      </c>
      <c r="E493" t="s">
        <v>37</v>
      </c>
      <c r="F493" t="str">
        <f>VLOOKUP(E493,Localizacoes!$A$3:$B$100,2,FALSE)</f>
        <v>CD</v>
      </c>
      <c r="G493" t="str">
        <f>VLOOKUP(E493,ID!$A$3:$B$100,2,FALSE)</f>
        <v>CD</v>
      </c>
      <c r="H493" s="14" t="s">
        <v>53</v>
      </c>
      <c r="I493" t="str">
        <f>VLOOKUP(H493,Localizacoes!$C$3:$D$100,2,FALSE)</f>
        <v>MATH</v>
      </c>
      <c r="J493">
        <f>VLOOKUP(H493,ID!$C$3:$D$100,2,FALSE)</f>
        <v>48</v>
      </c>
      <c r="K493" t="s">
        <v>274</v>
      </c>
      <c r="L493" t="str">
        <f>VLOOKUP(K493,Localizacoes!$E$3:$F$100,2,FALSE)</f>
        <v>BBG</v>
      </c>
      <c r="M493" t="str">
        <f>VLOOKUP(K493,ID!$E$3:$F$100,2,FALSE)</f>
        <v>BBG</v>
      </c>
      <c r="N493" t="s">
        <v>704</v>
      </c>
      <c r="O493" t="str">
        <f>VLOOKUP(N493,Localizacoes!$G$3:$H$100,2,FALSE)</f>
        <v>EBC</v>
      </c>
      <c r="P493">
        <f>VLOOKUP(N493,ID!$G$3:$H$100,2,FALSE)</f>
        <v>131</v>
      </c>
      <c r="Q493" t="s">
        <v>149</v>
      </c>
      <c r="R493" t="str">
        <f>VLOOKUP(Q493,Localizacoes!$I$3:$J$100,2,FALSE)</f>
        <v>AEL</v>
      </c>
      <c r="S493" t="str">
        <f>VLOOKUP(Q493,ID!$I$3:$J$100,2,FALSE)</f>
        <v>AEL</v>
      </c>
      <c r="T493" s="4" t="s">
        <v>187</v>
      </c>
      <c r="U493" t="s">
        <v>265</v>
      </c>
      <c r="V493" t="s">
        <v>510</v>
      </c>
      <c r="W493" t="s">
        <v>511</v>
      </c>
      <c r="X493" t="s">
        <v>506</v>
      </c>
      <c r="Y493" t="s">
        <v>270</v>
      </c>
      <c r="Z493" t="str">
        <f t="shared" si="91"/>
        <v>Actuador Eléctrico 03</v>
      </c>
      <c r="AA493"/>
      <c r="AD493" s="15" t="s">
        <v>267</v>
      </c>
      <c r="AF493" t="str">
        <f t="shared" si="87"/>
        <v>Electrobomba centrífugaActuador Eléctrico</v>
      </c>
      <c r="AG493" s="28" t="str">
        <f>VLOOKUP(AF493,Imagens!$C$2:$D$42,2,FALSE)</f>
        <v>65e8db8f62d7b</v>
      </c>
      <c r="AH493" t="str">
        <f>_xlfn.CONCAT(Imagens!$H$2,'registo_ativo-CDs (1)'!AG493)</f>
        <v>assets/imagens/products/65e8db8f62d7b</v>
      </c>
      <c r="AI493" s="67">
        <v>45372</v>
      </c>
      <c r="AK493" s="32"/>
    </row>
    <row r="494" spans="1:37" ht="16.8" customHeight="1" x14ac:dyDescent="0.3">
      <c r="A494">
        <v>15</v>
      </c>
      <c r="B494" t="str">
        <f t="shared" si="85"/>
        <v>CD48BBG131BOM04</v>
      </c>
      <c r="C494" t="str">
        <f t="shared" si="86"/>
        <v>CD-MATH-BBG-EBC-BOM-04</v>
      </c>
      <c r="E494" t="s">
        <v>37</v>
      </c>
      <c r="F494" t="str">
        <f>VLOOKUP(E494,Localizacoes!$A$3:$B$100,2,FALSE)</f>
        <v>CD</v>
      </c>
      <c r="G494" t="str">
        <f>VLOOKUP(E494,ID!$A$3:$B$100,2,FALSE)</f>
        <v>CD</v>
      </c>
      <c r="H494" s="14" t="s">
        <v>53</v>
      </c>
      <c r="I494" t="str">
        <f>VLOOKUP(H494,Localizacoes!$C$3:$D$100,2,FALSE)</f>
        <v>MATH</v>
      </c>
      <c r="J494">
        <f>VLOOKUP(H494,ID!$C$3:$D$100,2,FALSE)</f>
        <v>48</v>
      </c>
      <c r="K494" t="s">
        <v>274</v>
      </c>
      <c r="L494" t="str">
        <f>VLOOKUP(K494,Localizacoes!$E$3:$F$100,2,FALSE)</f>
        <v>BBG</v>
      </c>
      <c r="M494" t="str">
        <f>VLOOKUP(K494,ID!$E$3:$F$100,2,FALSE)</f>
        <v>BBG</v>
      </c>
      <c r="N494" t="s">
        <v>704</v>
      </c>
      <c r="O494" t="str">
        <f>VLOOKUP(N494,Localizacoes!$G$3:$H$100,2,FALSE)</f>
        <v>EBC</v>
      </c>
      <c r="P494">
        <f>VLOOKUP(N494,ID!$G$3:$H$100,2,FALSE)</f>
        <v>131</v>
      </c>
      <c r="Q494" t="s">
        <v>150</v>
      </c>
      <c r="R494" t="str">
        <f>VLOOKUP(Q494,Localizacoes!$I$3:$J$100,2,FALSE)</f>
        <v>BOM</v>
      </c>
      <c r="S494" t="str">
        <f>VLOOKUP(Q494,ID!$I$3:$J$100,2,FALSE)</f>
        <v>BOM</v>
      </c>
      <c r="T494" s="4" t="s">
        <v>188</v>
      </c>
      <c r="U494" t="s">
        <v>264</v>
      </c>
      <c r="V494" t="s">
        <v>392</v>
      </c>
      <c r="W494" t="s">
        <v>505</v>
      </c>
      <c r="X494" t="s">
        <v>506</v>
      </c>
      <c r="Y494" t="s">
        <v>270</v>
      </c>
      <c r="Z494" t="str">
        <f t="shared" si="91"/>
        <v>Bomba 04</v>
      </c>
      <c r="AA494"/>
      <c r="AD494" s="13" t="s">
        <v>7</v>
      </c>
      <c r="AF494" t="str">
        <f t="shared" si="87"/>
        <v>Electrobomba centrífugaBomba</v>
      </c>
      <c r="AG494" s="28" t="str">
        <f>VLOOKUP(AF494,Imagens!$C$2:$D$42,2,FALSE)</f>
        <v>65e96125c1d11</v>
      </c>
      <c r="AH494" t="str">
        <f>_xlfn.CONCAT(Imagens!$H$2,'registo_ativo-CDs (1)'!AG494)</f>
        <v>assets/imagens/products/65e96125c1d11</v>
      </c>
      <c r="AI494" s="67">
        <v>45316</v>
      </c>
      <c r="AK494" s="32"/>
    </row>
    <row r="495" spans="1:37" ht="16.8" customHeight="1" x14ac:dyDescent="0.3">
      <c r="A495">
        <v>15</v>
      </c>
      <c r="B495" t="str">
        <f t="shared" si="85"/>
        <v>CD48BBG131MOT04</v>
      </c>
      <c r="C495" t="str">
        <f t="shared" si="86"/>
        <v>CD-MATH-BBG-EBC-MOT-04</v>
      </c>
      <c r="E495" t="s">
        <v>37</v>
      </c>
      <c r="F495" t="str">
        <f>VLOOKUP(E495,Localizacoes!$A$3:$B$100,2,FALSE)</f>
        <v>CD</v>
      </c>
      <c r="G495" t="str">
        <f>VLOOKUP(E495,ID!$A$3:$B$100,2,FALSE)</f>
        <v>CD</v>
      </c>
      <c r="H495" s="14" t="s">
        <v>53</v>
      </c>
      <c r="I495" t="str">
        <f>VLOOKUP(H495,Localizacoes!$C$3:$D$100,2,FALSE)</f>
        <v>MATH</v>
      </c>
      <c r="J495">
        <f>VLOOKUP(H495,ID!$C$3:$D$100,2,FALSE)</f>
        <v>48</v>
      </c>
      <c r="K495" t="s">
        <v>274</v>
      </c>
      <c r="L495" t="str">
        <f>VLOOKUP(K495,Localizacoes!$E$3:$F$100,2,FALSE)</f>
        <v>BBG</v>
      </c>
      <c r="M495" t="str">
        <f>VLOOKUP(K495,ID!$E$3:$F$100,2,FALSE)</f>
        <v>BBG</v>
      </c>
      <c r="N495" t="s">
        <v>704</v>
      </c>
      <c r="O495" t="str">
        <f>VLOOKUP(N495,Localizacoes!$G$3:$H$100,2,FALSE)</f>
        <v>EBC</v>
      </c>
      <c r="P495">
        <f>VLOOKUP(N495,ID!$G$3:$H$100,2,FALSE)</f>
        <v>131</v>
      </c>
      <c r="Q495" t="s">
        <v>21</v>
      </c>
      <c r="R495" t="str">
        <f>VLOOKUP(Q495,Localizacoes!$I$3:$J$100,2,FALSE)</f>
        <v>MOT</v>
      </c>
      <c r="S495" t="str">
        <f>VLOOKUP(Q495,ID!$I$3:$J$100,2,FALSE)</f>
        <v>MOT</v>
      </c>
      <c r="T495" s="4" t="s">
        <v>188</v>
      </c>
      <c r="U495" t="s">
        <v>265</v>
      </c>
      <c r="V495" t="s">
        <v>517</v>
      </c>
      <c r="W495" t="s">
        <v>518</v>
      </c>
      <c r="X495" t="s">
        <v>506</v>
      </c>
      <c r="Y495" t="s">
        <v>270</v>
      </c>
      <c r="Z495" t="str">
        <f t="shared" si="91"/>
        <v>Motor 04</v>
      </c>
      <c r="AA495"/>
      <c r="AD495" s="13" t="s">
        <v>7</v>
      </c>
      <c r="AF495" t="str">
        <f t="shared" si="87"/>
        <v>Electrobomba centrífugaMotor</v>
      </c>
      <c r="AG495" s="28" t="str">
        <f>VLOOKUP(AF495,Imagens!$C$2:$D$42,2,FALSE)</f>
        <v>65d04210323a4</v>
      </c>
      <c r="AH495" t="str">
        <f>_xlfn.CONCAT(Imagens!$H$2,'registo_ativo-CDs (1)'!AG495)</f>
        <v>assets/imagens/products/65d04210323a4</v>
      </c>
      <c r="AI495" s="67">
        <v>45316</v>
      </c>
      <c r="AK495" s="32"/>
    </row>
    <row r="496" spans="1:37" ht="16.8" customHeight="1" x14ac:dyDescent="0.3">
      <c r="A496">
        <v>15</v>
      </c>
      <c r="B496" t="str">
        <f t="shared" si="85"/>
        <v>CD48BBG131QEA04</v>
      </c>
      <c r="C496" t="str">
        <f t="shared" si="86"/>
        <v>CD-MATH-BBG-EBC-QEA-04</v>
      </c>
      <c r="E496" t="s">
        <v>37</v>
      </c>
      <c r="F496" t="str">
        <f>VLOOKUP(E496,Localizacoes!$A$3:$B$100,2,FALSE)</f>
        <v>CD</v>
      </c>
      <c r="G496" t="str">
        <f>VLOOKUP(E496,ID!$A$3:$B$100,2,FALSE)</f>
        <v>CD</v>
      </c>
      <c r="H496" s="14" t="s">
        <v>53</v>
      </c>
      <c r="I496" t="str">
        <f>VLOOKUP(H496,Localizacoes!$C$3:$D$100,2,FALSE)</f>
        <v>MATH</v>
      </c>
      <c r="J496">
        <f>VLOOKUP(H496,ID!$C$3:$D$100,2,FALSE)</f>
        <v>48</v>
      </c>
      <c r="K496" t="s">
        <v>274</v>
      </c>
      <c r="L496" t="str">
        <f>VLOOKUP(K496,Localizacoes!$E$3:$F$100,2,FALSE)</f>
        <v>BBG</v>
      </c>
      <c r="M496" t="str">
        <f>VLOOKUP(K496,ID!$E$3:$F$100,2,FALSE)</f>
        <v>BBG</v>
      </c>
      <c r="N496" t="s">
        <v>704</v>
      </c>
      <c r="O496" t="str">
        <f>VLOOKUP(N496,Localizacoes!$G$3:$H$100,2,FALSE)</f>
        <v>EBC</v>
      </c>
      <c r="P496">
        <f>VLOOKUP(N496,ID!$G$3:$H$100,2,FALSE)</f>
        <v>131</v>
      </c>
      <c r="Q496" t="s">
        <v>154</v>
      </c>
      <c r="R496" t="str">
        <f>VLOOKUP(Q496,Localizacoes!$I$3:$J$100,2,FALSE)</f>
        <v>QEA</v>
      </c>
      <c r="S496" t="str">
        <f>VLOOKUP(Q496,ID!$I$3:$J$100,2,FALSE)</f>
        <v>QEA</v>
      </c>
      <c r="T496" s="4" t="s">
        <v>188</v>
      </c>
      <c r="U496" t="s">
        <v>265</v>
      </c>
      <c r="X496" t="s">
        <v>506</v>
      </c>
      <c r="Y496" t="s">
        <v>270</v>
      </c>
      <c r="Z496" t="str">
        <f t="shared" si="91"/>
        <v>Quadros Eléctricos de Arranque 04</v>
      </c>
      <c r="AA496"/>
      <c r="AD496" s="13" t="s">
        <v>268</v>
      </c>
      <c r="AF496" t="str">
        <f t="shared" si="87"/>
        <v>Electrobomba centrífugaQuadros Eléctricos de Arranque</v>
      </c>
      <c r="AG496" s="28" t="str">
        <f>VLOOKUP(AF496,Imagens!$C$2:$D$42,2,FALSE)</f>
        <v>65e8d2fa35c12</v>
      </c>
      <c r="AH496" t="str">
        <f>_xlfn.CONCAT(Imagens!$H$2,'registo_ativo-CDs (1)'!AG496)</f>
        <v>assets/imagens/products/65e8d2fa35c12</v>
      </c>
      <c r="AI496" s="67">
        <v>45372</v>
      </c>
      <c r="AK496" s="32"/>
    </row>
    <row r="497" spans="1:37" ht="16.8" customHeight="1" x14ac:dyDescent="0.3">
      <c r="A497">
        <v>15</v>
      </c>
      <c r="B497" t="str">
        <f t="shared" si="85"/>
        <v>CD48BBG131VSU04</v>
      </c>
      <c r="C497" t="str">
        <f t="shared" si="86"/>
        <v>CD-MATH-BBG-EBC-VSU-04</v>
      </c>
      <c r="E497" t="s">
        <v>37</v>
      </c>
      <c r="F497" t="str">
        <f>VLOOKUP(E497,Localizacoes!$A$3:$B$100,2,FALSE)</f>
        <v>CD</v>
      </c>
      <c r="G497" t="str">
        <f>VLOOKUP(E497,ID!$A$3:$B$100,2,FALSE)</f>
        <v>CD</v>
      </c>
      <c r="H497" s="14" t="s">
        <v>53</v>
      </c>
      <c r="I497" t="str">
        <f>VLOOKUP(H497,Localizacoes!$C$3:$D$100,2,FALSE)</f>
        <v>MATH</v>
      </c>
      <c r="J497">
        <f>VLOOKUP(H497,ID!$C$3:$D$100,2,FALSE)</f>
        <v>48</v>
      </c>
      <c r="K497" t="s">
        <v>274</v>
      </c>
      <c r="L497" t="str">
        <f>VLOOKUP(K497,Localizacoes!$E$3:$F$100,2,FALSE)</f>
        <v>BBG</v>
      </c>
      <c r="M497" t="str">
        <f>VLOOKUP(K497,ID!$E$3:$F$100,2,FALSE)</f>
        <v>BBG</v>
      </c>
      <c r="N497" t="s">
        <v>704</v>
      </c>
      <c r="O497" t="str">
        <f>VLOOKUP(N497,Localizacoes!$G$3:$H$100,2,FALSE)</f>
        <v>EBC</v>
      </c>
      <c r="P497">
        <f>VLOOKUP(N497,ID!$G$3:$H$100,2,FALSE)</f>
        <v>131</v>
      </c>
      <c r="Q497" t="s">
        <v>276</v>
      </c>
      <c r="R497" t="str">
        <f>VLOOKUP(Q497,Localizacoes!$I$3:$J$100,2,FALSE)</f>
        <v>VSU</v>
      </c>
      <c r="S497" t="str">
        <f>VLOOKUP(Q497,ID!$I$3:$J$100,2,FALSE)</f>
        <v>VSU</v>
      </c>
      <c r="T497" s="4" t="s">
        <v>188</v>
      </c>
      <c r="U497" t="s">
        <v>264</v>
      </c>
      <c r="V497" t="s">
        <v>508</v>
      </c>
      <c r="W497" t="s">
        <v>509</v>
      </c>
      <c r="X497" t="s">
        <v>506</v>
      </c>
      <c r="Y497" t="s">
        <v>270</v>
      </c>
      <c r="Z497" t="str">
        <f t="shared" si="91"/>
        <v>Válvula Sucção 04</v>
      </c>
      <c r="AA497"/>
      <c r="AD497" s="13" t="s">
        <v>267</v>
      </c>
      <c r="AF497" t="str">
        <f t="shared" si="87"/>
        <v>Electrobomba centrífugaVálvula Sucção</v>
      </c>
      <c r="AG497" s="28" t="str">
        <f>VLOOKUP(AF497,Imagens!$C$2:$D$42,2,FALSE)</f>
        <v>65e8cda0676b7</v>
      </c>
      <c r="AH497" t="str">
        <f>_xlfn.CONCAT(Imagens!$H$2,'registo_ativo-CDs (1)'!AG497)</f>
        <v>assets/imagens/products/65e8cda0676b7</v>
      </c>
      <c r="AI497" s="67">
        <v>45372</v>
      </c>
      <c r="AK497" s="32"/>
    </row>
    <row r="498" spans="1:37" ht="16.8" customHeight="1" x14ac:dyDescent="0.3">
      <c r="A498">
        <v>15</v>
      </c>
      <c r="B498" t="str">
        <f t="shared" si="85"/>
        <v>CD48BBG131AEL04</v>
      </c>
      <c r="C498" t="str">
        <f t="shared" si="86"/>
        <v>CD-MATH-BBG-EBC-AEL-04</v>
      </c>
      <c r="E498" t="s">
        <v>37</v>
      </c>
      <c r="F498" t="str">
        <f>VLOOKUP(E498,Localizacoes!$A$3:$B$100,2,FALSE)</f>
        <v>CD</v>
      </c>
      <c r="G498" t="str">
        <f>VLOOKUP(E498,ID!$A$3:$B$100,2,FALSE)</f>
        <v>CD</v>
      </c>
      <c r="H498" s="14" t="s">
        <v>53</v>
      </c>
      <c r="I498" t="str">
        <f>VLOOKUP(H498,Localizacoes!$C$3:$D$100,2,FALSE)</f>
        <v>MATH</v>
      </c>
      <c r="J498">
        <f>VLOOKUP(H498,ID!$C$3:$D$100,2,FALSE)</f>
        <v>48</v>
      </c>
      <c r="K498" t="s">
        <v>274</v>
      </c>
      <c r="L498" t="str">
        <f>VLOOKUP(K498,Localizacoes!$E$3:$F$100,2,FALSE)</f>
        <v>BBG</v>
      </c>
      <c r="M498" t="str">
        <f>VLOOKUP(K498,ID!$E$3:$F$100,2,FALSE)</f>
        <v>BBG</v>
      </c>
      <c r="N498" t="s">
        <v>704</v>
      </c>
      <c r="O498" t="str">
        <f>VLOOKUP(N498,Localizacoes!$G$3:$H$100,2,FALSE)</f>
        <v>EBC</v>
      </c>
      <c r="P498">
        <f>VLOOKUP(N498,ID!$G$3:$H$100,2,FALSE)</f>
        <v>131</v>
      </c>
      <c r="Q498" t="s">
        <v>149</v>
      </c>
      <c r="R498" t="str">
        <f>VLOOKUP(Q498,Localizacoes!$I$3:$J$100,2,FALSE)</f>
        <v>AEL</v>
      </c>
      <c r="S498" t="str">
        <f>VLOOKUP(Q498,ID!$I$3:$J$100,2,FALSE)</f>
        <v>AEL</v>
      </c>
      <c r="T498" s="4" t="s">
        <v>188</v>
      </c>
      <c r="U498" t="s">
        <v>265</v>
      </c>
      <c r="V498" t="s">
        <v>510</v>
      </c>
      <c r="W498" t="s">
        <v>511</v>
      </c>
      <c r="X498" t="s">
        <v>506</v>
      </c>
      <c r="Y498" t="s">
        <v>270</v>
      </c>
      <c r="Z498" t="str">
        <f t="shared" si="91"/>
        <v>Actuador Eléctrico 04</v>
      </c>
      <c r="AA498"/>
      <c r="AD498" s="13" t="s">
        <v>267</v>
      </c>
      <c r="AF498" t="str">
        <f t="shared" si="87"/>
        <v>Electrobomba centrífugaActuador Eléctrico</v>
      </c>
      <c r="AG498" s="28" t="str">
        <f>VLOOKUP(AF498,Imagens!$C$2:$D$42,2,FALSE)</f>
        <v>65e8db8f62d7b</v>
      </c>
      <c r="AH498" t="str">
        <f>_xlfn.CONCAT(Imagens!$H$2,'registo_ativo-CDs (1)'!AG498)</f>
        <v>assets/imagens/products/65e8db8f62d7b</v>
      </c>
      <c r="AI498" s="67">
        <v>45372</v>
      </c>
      <c r="AK498" s="32"/>
    </row>
    <row r="499" spans="1:37" ht="16.8" customHeight="1" x14ac:dyDescent="0.3">
      <c r="A499">
        <v>15</v>
      </c>
      <c r="B499" t="str">
        <f t="shared" si="85"/>
        <v>CD48HTH133BOM01</v>
      </c>
      <c r="C499" t="str">
        <f t="shared" si="86"/>
        <v>CD-MATH-HTH-EBD-BOM-01</v>
      </c>
      <c r="E499" t="s">
        <v>37</v>
      </c>
      <c r="F499" t="str">
        <f>VLOOKUP(E499,Localizacoes!$A$3:$B$100,2,FALSE)</f>
        <v>CD</v>
      </c>
      <c r="G499" t="str">
        <f>VLOOKUP(E499,ID!$A$3:$B$100,2,FALSE)</f>
        <v>CD</v>
      </c>
      <c r="H499" s="14" t="s">
        <v>53</v>
      </c>
      <c r="I499" t="str">
        <f>VLOOKUP(H499,Localizacoes!$C$3:$D$100,2,FALSE)</f>
        <v>MATH</v>
      </c>
      <c r="J499">
        <f>VLOOKUP(H499,ID!$C$3:$D$100,2,FALSE)</f>
        <v>48</v>
      </c>
      <c r="K499" t="s">
        <v>138</v>
      </c>
      <c r="L499" t="str">
        <f>VLOOKUP(K499,Localizacoes!$E$3:$F$100,2,FALSE)</f>
        <v>HTH</v>
      </c>
      <c r="M499" t="str">
        <f>VLOOKUP(K499,ID!$E$3:$F$100,2,FALSE)</f>
        <v>HTH</v>
      </c>
      <c r="N499" t="s">
        <v>662</v>
      </c>
      <c r="O499" t="str">
        <f>VLOOKUP(N499,Localizacoes!$G$3:$H$100,2,FALSE)</f>
        <v>EBD</v>
      </c>
      <c r="P499">
        <f>VLOOKUP(N499,ID!$G$3:$H$100,2,FALSE)</f>
        <v>133</v>
      </c>
      <c r="Q499" t="s">
        <v>150</v>
      </c>
      <c r="R499" t="str">
        <f>VLOOKUP(Q499,Localizacoes!$I$3:$J$100,2,FALSE)</f>
        <v>BOM</v>
      </c>
      <c r="S499" t="str">
        <f>VLOOKUP(Q499,ID!$I$3:$J$100,2,FALSE)</f>
        <v>BOM</v>
      </c>
      <c r="T499" s="4" t="s">
        <v>182</v>
      </c>
      <c r="U499" t="s">
        <v>264</v>
      </c>
      <c r="V499" t="s">
        <v>392</v>
      </c>
      <c r="W499" t="s">
        <v>512</v>
      </c>
      <c r="X499" t="s">
        <v>506</v>
      </c>
      <c r="Y499" t="s">
        <v>270</v>
      </c>
      <c r="Z499" t="str">
        <f t="shared" si="91"/>
        <v>Bomba 01</v>
      </c>
      <c r="AA499"/>
      <c r="AD499" s="13" t="s">
        <v>7</v>
      </c>
      <c r="AF499" t="str">
        <f t="shared" si="87"/>
        <v>Electrobomba Doseadora de DiafragmaBomba</v>
      </c>
      <c r="AG499" s="28" t="str">
        <f>VLOOKUP(AF499,Imagens!$C$2:$D$42,2,FALSE)</f>
        <v>65e8d1ea50af1</v>
      </c>
      <c r="AH499" t="str">
        <f>_xlfn.CONCAT(Imagens!$H$2,'registo_ativo-CDs (1)'!AG499)</f>
        <v>assets/imagens/products/65e8d1ea50af1</v>
      </c>
      <c r="AI499" s="67">
        <v>45372</v>
      </c>
      <c r="AK499" s="32"/>
    </row>
    <row r="500" spans="1:37" ht="16.8" customHeight="1" x14ac:dyDescent="0.3">
      <c r="A500">
        <f t="shared" ref="A500:A501" si="100">LEN(B500)</f>
        <v>15</v>
      </c>
      <c r="B500" t="str">
        <f t="shared" si="85"/>
        <v>CD48HTH133MOT01</v>
      </c>
      <c r="C500" t="str">
        <f t="shared" si="86"/>
        <v>CD-MATH-HTH-EBD-MOT-01</v>
      </c>
      <c r="E500" t="s">
        <v>37</v>
      </c>
      <c r="F500" t="str">
        <f>VLOOKUP(E500,Localizacoes!$A$3:$B$100,2,FALSE)</f>
        <v>CD</v>
      </c>
      <c r="G500" t="str">
        <f>VLOOKUP(E500,ID!$A$3:$B$100,2,FALSE)</f>
        <v>CD</v>
      </c>
      <c r="H500" s="14" t="s">
        <v>53</v>
      </c>
      <c r="I500" t="str">
        <f>VLOOKUP(H500,Localizacoes!$C$3:$D$100,2,FALSE)</f>
        <v>MATH</v>
      </c>
      <c r="J500">
        <f>VLOOKUP(H500,ID!$C$3:$D$100,2,FALSE)</f>
        <v>48</v>
      </c>
      <c r="K500" t="s">
        <v>138</v>
      </c>
      <c r="L500" t="str">
        <f>VLOOKUP(K500,Localizacoes!$E$3:$F$100,2,FALSE)</f>
        <v>HTH</v>
      </c>
      <c r="M500" t="str">
        <f>VLOOKUP(K500,ID!$E$3:$F$100,2,FALSE)</f>
        <v>HTH</v>
      </c>
      <c r="N500" t="s">
        <v>662</v>
      </c>
      <c r="O500" t="str">
        <f>VLOOKUP(N500,Localizacoes!$G$3:$H$100,2,FALSE)</f>
        <v>EBD</v>
      </c>
      <c r="P500">
        <f>VLOOKUP(N500,ID!$G$3:$H$100,2,FALSE)</f>
        <v>133</v>
      </c>
      <c r="Q500" t="s">
        <v>21</v>
      </c>
      <c r="R500" t="str">
        <f>VLOOKUP(Q500,Localizacoes!$I$3:$J$100,2,FALSE)</f>
        <v>MOT</v>
      </c>
      <c r="S500" t="str">
        <f>VLOOKUP(Q500,ID!$I$3:$J$100,2,FALSE)</f>
        <v>MOT</v>
      </c>
      <c r="T500" s="4" t="s">
        <v>182</v>
      </c>
      <c r="U500" t="s">
        <v>265</v>
      </c>
      <c r="X500" t="s">
        <v>6</v>
      </c>
      <c r="Y500" t="s">
        <v>270</v>
      </c>
      <c r="Z500" t="str">
        <f t="shared" si="91"/>
        <v>Motor 01</v>
      </c>
      <c r="AA500"/>
      <c r="AD500" s="13" t="s">
        <v>7</v>
      </c>
      <c r="AF500" t="str">
        <f t="shared" si="87"/>
        <v>Electrobomba Doseadora de DiafragmaMotor</v>
      </c>
      <c r="AG500" s="28" t="str">
        <f>VLOOKUP(AF500,Imagens!$C$2:$D$42,2,FALSE)</f>
        <v>65e8d1ea50af1</v>
      </c>
      <c r="AH500" t="str">
        <f>_xlfn.CONCAT(Imagens!$H$2,'registo_ativo-CDs (1)'!AG500)</f>
        <v>assets/imagens/products/65e8d1ea50af1</v>
      </c>
      <c r="AI500" s="67">
        <v>45316</v>
      </c>
      <c r="AK500" s="32"/>
    </row>
    <row r="501" spans="1:37" ht="16.8" customHeight="1" x14ac:dyDescent="0.3">
      <c r="A501">
        <f t="shared" si="100"/>
        <v>15</v>
      </c>
      <c r="B501" t="str">
        <f t="shared" si="85"/>
        <v>CD48HTH103MOT02</v>
      </c>
      <c r="C501" t="str">
        <f t="shared" si="86"/>
        <v>CD-MATH-HTH-AGI-MOT-02</v>
      </c>
      <c r="E501" t="s">
        <v>37</v>
      </c>
      <c r="F501" t="s">
        <v>46</v>
      </c>
      <c r="G501" t="s">
        <v>46</v>
      </c>
      <c r="H501" s="20" t="s">
        <v>53</v>
      </c>
      <c r="I501" t="str">
        <f>VLOOKUP(H501,Localizacoes!$C$3:$D$100,2,FALSE)</f>
        <v>MATH</v>
      </c>
      <c r="J501">
        <f>VLOOKUP(H501,ID!$C$3:$D$100,2,FALSE)</f>
        <v>48</v>
      </c>
      <c r="K501" t="s">
        <v>138</v>
      </c>
      <c r="L501" t="str">
        <f>VLOOKUP(K501,Localizacoes!$E$3:$F$100,2,FALSE)</f>
        <v>HTH</v>
      </c>
      <c r="M501" t="str">
        <f>VLOOKUP(K501,ID!$E$3:$F$100,2,FALSE)</f>
        <v>HTH</v>
      </c>
      <c r="N501" t="s">
        <v>131</v>
      </c>
      <c r="O501" t="str">
        <f>VLOOKUP(N501,Localizacoes!$G$3:$H$100,2,FALSE)</f>
        <v>AGI</v>
      </c>
      <c r="P501">
        <f>VLOOKUP(N501,ID!$G$3:$H$100,2,FALSE)</f>
        <v>103</v>
      </c>
      <c r="Q501" t="s">
        <v>21</v>
      </c>
      <c r="R501" t="str">
        <f>VLOOKUP(Q501,Localizacoes!$I$3:$J$100,2,FALSE)</f>
        <v>MOT</v>
      </c>
      <c r="S501" t="str">
        <f>VLOOKUP(Q501,ID!$I$3:$J$100,2,FALSE)</f>
        <v>MOT</v>
      </c>
      <c r="T501" s="4" t="s">
        <v>186</v>
      </c>
      <c r="U501" t="s">
        <v>265</v>
      </c>
      <c r="Y501" t="s">
        <v>270</v>
      </c>
      <c r="Z501" t="str">
        <f t="shared" si="91"/>
        <v>Motor 02</v>
      </c>
      <c r="AA501"/>
      <c r="AD501" s="13" t="s">
        <v>7</v>
      </c>
      <c r="AF501" t="str">
        <f t="shared" si="87"/>
        <v>Agitador  Motor</v>
      </c>
      <c r="AG501" s="28" t="str">
        <f>VLOOKUP(AF501,Imagens!$C$2:$D$42,2,FALSE)</f>
        <v>65e8e1a7e4bd4</v>
      </c>
      <c r="AH501" t="str">
        <f>_xlfn.CONCAT(Imagens!$H$2,'registo_ativo-CDs (1)'!AG501)</f>
        <v>assets/imagens/products/65e8e1a7e4bd4</v>
      </c>
      <c r="AI501" s="67">
        <v>45316</v>
      </c>
      <c r="AK501" s="32"/>
    </row>
    <row r="502" spans="1:37" ht="16.8" customHeight="1" x14ac:dyDescent="0.3">
      <c r="A502">
        <v>15</v>
      </c>
      <c r="B502" t="str">
        <f t="shared" si="85"/>
        <v>CD48HTH133BOM02</v>
      </c>
      <c r="C502" t="str">
        <f t="shared" si="86"/>
        <v>CD-MATH-HTH-EBD-BOM-02</v>
      </c>
      <c r="E502" t="s">
        <v>37</v>
      </c>
      <c r="F502" t="str">
        <f>VLOOKUP(E502,Localizacoes!$A$3:$B$100,2,FALSE)</f>
        <v>CD</v>
      </c>
      <c r="G502" t="str">
        <f>VLOOKUP(E502,ID!$A$3:$B$100,2,FALSE)</f>
        <v>CD</v>
      </c>
      <c r="H502" s="14" t="s">
        <v>53</v>
      </c>
      <c r="I502" t="str">
        <f>VLOOKUP(H502,Localizacoes!$C$3:$D$100,2,FALSE)</f>
        <v>MATH</v>
      </c>
      <c r="J502">
        <f>VLOOKUP(H502,ID!$C$3:$D$100,2,FALSE)</f>
        <v>48</v>
      </c>
      <c r="K502" t="s">
        <v>138</v>
      </c>
      <c r="L502" t="str">
        <f>VLOOKUP(K502,Localizacoes!$E$3:$F$100,2,FALSE)</f>
        <v>HTH</v>
      </c>
      <c r="M502" t="str">
        <f>VLOOKUP(K502,ID!$E$3:$F$100,2,FALSE)</f>
        <v>HTH</v>
      </c>
      <c r="N502" t="s">
        <v>662</v>
      </c>
      <c r="O502" t="str">
        <f>VLOOKUP(N502,Localizacoes!$G$3:$H$100,2,FALSE)</f>
        <v>EBD</v>
      </c>
      <c r="P502">
        <f>VLOOKUP(N502,ID!$G$3:$H$100,2,FALSE)</f>
        <v>133</v>
      </c>
      <c r="Q502" t="s">
        <v>150</v>
      </c>
      <c r="R502" t="str">
        <f>VLOOKUP(Q502,Localizacoes!$I$3:$J$100,2,FALSE)</f>
        <v>BOM</v>
      </c>
      <c r="S502" t="str">
        <f>VLOOKUP(Q502,ID!$I$3:$J$100,2,FALSE)</f>
        <v>BOM</v>
      </c>
      <c r="T502" s="4" t="s">
        <v>186</v>
      </c>
      <c r="U502" t="s">
        <v>264</v>
      </c>
      <c r="V502" t="s">
        <v>392</v>
      </c>
      <c r="W502" t="s">
        <v>512</v>
      </c>
      <c r="X502" t="s">
        <v>506</v>
      </c>
      <c r="Y502" t="s">
        <v>270</v>
      </c>
      <c r="Z502" t="str">
        <f t="shared" si="91"/>
        <v>Bomba 02</v>
      </c>
      <c r="AA502"/>
      <c r="AD502" s="13" t="s">
        <v>7</v>
      </c>
      <c r="AF502" t="str">
        <f t="shared" si="87"/>
        <v>Electrobomba Doseadora de DiafragmaBomba</v>
      </c>
      <c r="AG502" s="28" t="str">
        <f>VLOOKUP(AF502,Imagens!$C$2:$D$42,2,FALSE)</f>
        <v>65e8d1ea50af1</v>
      </c>
      <c r="AH502" t="str">
        <f>_xlfn.CONCAT(Imagens!$H$2,'registo_ativo-CDs (1)'!AG502)</f>
        <v>assets/imagens/products/65e8d1ea50af1</v>
      </c>
      <c r="AI502" s="67">
        <v>45372</v>
      </c>
      <c r="AK502" s="32"/>
    </row>
    <row r="503" spans="1:37" ht="16.8" customHeight="1" x14ac:dyDescent="0.3">
      <c r="A503">
        <v>15</v>
      </c>
      <c r="B503" t="str">
        <f t="shared" ref="B503:B566" si="101">CONCATENATE(G503,J503,M503,P503,S503,T503)</f>
        <v>CD48HTH103CEN01</v>
      </c>
      <c r="C503" t="str">
        <f t="shared" ref="C503:C566" si="102">CONCATENATE(F503, "-", I503, "-", L503, "-", O503, "-", R503, "-", T503)</f>
        <v>CD-MATH-HTH-AGI-CEN-01</v>
      </c>
      <c r="E503" t="s">
        <v>37</v>
      </c>
      <c r="F503" t="str">
        <f>VLOOKUP(E503,Localizacoes!$A$3:$B$100,2,FALSE)</f>
        <v>CD</v>
      </c>
      <c r="G503" t="str">
        <f>VLOOKUP(E503,ID!$A$3:$B$100,2,FALSE)</f>
        <v>CD</v>
      </c>
      <c r="H503" s="14" t="s">
        <v>53</v>
      </c>
      <c r="I503" t="str">
        <f>VLOOKUP(H503,Localizacoes!$C$3:$D$100,2,FALSE)</f>
        <v>MATH</v>
      </c>
      <c r="J503">
        <f>VLOOKUP(H503,ID!$C$3:$D$100,2,FALSE)</f>
        <v>48</v>
      </c>
      <c r="K503" t="s">
        <v>138</v>
      </c>
      <c r="L503" t="str">
        <f>VLOOKUP(K503,Localizacoes!$E$3:$F$100,2,FALSE)</f>
        <v>HTH</v>
      </c>
      <c r="M503" t="str">
        <f>VLOOKUP(K503,ID!$E$3:$F$100,2,FALSE)</f>
        <v>HTH</v>
      </c>
      <c r="N503" t="s">
        <v>131</v>
      </c>
      <c r="O503" t="str">
        <f>VLOOKUP(N503,Localizacoes!$G$3:$H$100,2,FALSE)</f>
        <v>AGI</v>
      </c>
      <c r="P503">
        <f>VLOOKUP(N503,ID!$G$3:$H$100,2,FALSE)</f>
        <v>103</v>
      </c>
      <c r="Q503" t="s">
        <v>333</v>
      </c>
      <c r="R503" t="str">
        <f>VLOOKUP(Q503,Localizacoes!$I$3:$J$100,2,FALSE)</f>
        <v>CEN</v>
      </c>
      <c r="S503" t="str">
        <f>VLOOKUP(Q503,ID!$I$3:$J$100,2,FALSE)</f>
        <v>CEN</v>
      </c>
      <c r="T503" s="4" t="s">
        <v>182</v>
      </c>
      <c r="U503" t="s">
        <v>264</v>
      </c>
      <c r="X503" t="s">
        <v>506</v>
      </c>
      <c r="Y503" t="s">
        <v>270</v>
      </c>
      <c r="Z503" t="str">
        <f t="shared" si="91"/>
        <v>Caixa de Engrenagem 01</v>
      </c>
      <c r="AA503"/>
      <c r="AD503" s="13" t="s">
        <v>7</v>
      </c>
      <c r="AF503" t="str">
        <f t="shared" ref="AF503:AF566" si="103">_xlfn.CONCAT(N503,Q503)</f>
        <v>Agitador  Caixa de Engrenagem</v>
      </c>
      <c r="AG503" s="28" t="str">
        <f>VLOOKUP(AF503,Imagens!$C$2:$D$42,2,FALSE)</f>
        <v>65e8e1a7e4bd4</v>
      </c>
      <c r="AH503" t="str">
        <f>_xlfn.CONCAT(Imagens!$H$2,'registo_ativo-CDs (1)'!AG503)</f>
        <v>assets/imagens/products/65e8e1a7e4bd4</v>
      </c>
      <c r="AI503" s="67">
        <v>45372</v>
      </c>
      <c r="AK503" s="32"/>
    </row>
    <row r="504" spans="1:37" ht="16.8" customHeight="1" x14ac:dyDescent="0.3">
      <c r="A504">
        <v>15</v>
      </c>
      <c r="B504" t="str">
        <f t="shared" si="101"/>
        <v>CD48HTH103CEN02</v>
      </c>
      <c r="C504" t="str">
        <f t="shared" si="102"/>
        <v>CD-MATH-HTH-AGI-CEN-02</v>
      </c>
      <c r="E504" t="s">
        <v>37</v>
      </c>
      <c r="F504" t="str">
        <f>VLOOKUP(E504,Localizacoes!$A$3:$B$100,2,FALSE)</f>
        <v>CD</v>
      </c>
      <c r="G504" t="str">
        <f>VLOOKUP(E504,ID!$A$3:$B$100,2,FALSE)</f>
        <v>CD</v>
      </c>
      <c r="H504" s="14" t="s">
        <v>53</v>
      </c>
      <c r="I504" t="str">
        <f>VLOOKUP(H504,Localizacoes!$C$3:$D$100,2,FALSE)</f>
        <v>MATH</v>
      </c>
      <c r="J504">
        <f>VLOOKUP(H504,ID!$C$3:$D$100,2,FALSE)</f>
        <v>48</v>
      </c>
      <c r="K504" t="s">
        <v>138</v>
      </c>
      <c r="L504" t="str">
        <f>VLOOKUP(K504,Localizacoes!$E$3:$F$100,2,FALSE)</f>
        <v>HTH</v>
      </c>
      <c r="M504" t="str">
        <f>VLOOKUP(K504,ID!$E$3:$F$100,2,FALSE)</f>
        <v>HTH</v>
      </c>
      <c r="N504" t="s">
        <v>131</v>
      </c>
      <c r="O504" t="str">
        <f>VLOOKUP(N504,Localizacoes!$G$3:$H$100,2,FALSE)</f>
        <v>AGI</v>
      </c>
      <c r="P504">
        <f>VLOOKUP(N504,ID!$G$3:$H$100,2,FALSE)</f>
        <v>103</v>
      </c>
      <c r="Q504" t="s">
        <v>333</v>
      </c>
      <c r="R504" t="str">
        <f>VLOOKUP(Q504,Localizacoes!$I$3:$J$100,2,FALSE)</f>
        <v>CEN</v>
      </c>
      <c r="S504" t="str">
        <f>VLOOKUP(Q504,ID!$I$3:$J$100,2,FALSE)</f>
        <v>CEN</v>
      </c>
      <c r="T504" s="4" t="s">
        <v>186</v>
      </c>
      <c r="U504" t="s">
        <v>264</v>
      </c>
      <c r="X504" t="s">
        <v>506</v>
      </c>
      <c r="Y504" t="s">
        <v>270</v>
      </c>
      <c r="Z504" t="str">
        <f t="shared" si="91"/>
        <v>Caixa de Engrenagem 02</v>
      </c>
      <c r="AA504"/>
      <c r="AD504" s="13" t="s">
        <v>7</v>
      </c>
      <c r="AF504" t="str">
        <f t="shared" si="103"/>
        <v>Agitador  Caixa de Engrenagem</v>
      </c>
      <c r="AG504" s="28" t="str">
        <f>VLOOKUP(AF504,Imagens!$C$2:$D$42,2,FALSE)</f>
        <v>65e8e1a7e4bd4</v>
      </c>
      <c r="AH504" t="str">
        <f>_xlfn.CONCAT(Imagens!$H$2,'registo_ativo-CDs (1)'!AG504)</f>
        <v>assets/imagens/products/65e8e1a7e4bd4</v>
      </c>
      <c r="AI504" s="67">
        <v>45372</v>
      </c>
      <c r="AK504" s="32"/>
    </row>
    <row r="505" spans="1:37" ht="16.8" customHeight="1" x14ac:dyDescent="0.3">
      <c r="A505">
        <v>15</v>
      </c>
      <c r="B505" t="str">
        <f t="shared" si="101"/>
        <v>CD48HTH152QEA02</v>
      </c>
      <c r="C505" t="str">
        <f t="shared" si="102"/>
        <v>CD-MATH-HTH-QEL-QEA-02</v>
      </c>
      <c r="E505" t="s">
        <v>37</v>
      </c>
      <c r="F505" t="str">
        <f>VLOOKUP(E505,Localizacoes!$A$3:$B$100,2,FALSE)</f>
        <v>CD</v>
      </c>
      <c r="G505" t="str">
        <f>VLOOKUP(E505,ID!$A$3:$B$100,2,FALSE)</f>
        <v>CD</v>
      </c>
      <c r="H505" s="14" t="s">
        <v>53</v>
      </c>
      <c r="I505" t="str">
        <f>VLOOKUP(H505,Localizacoes!$C$3:$D$100,2,FALSE)</f>
        <v>MATH</v>
      </c>
      <c r="J505">
        <f>VLOOKUP(H505,ID!$C$3:$D$100,2,FALSE)</f>
        <v>48</v>
      </c>
      <c r="K505" t="s">
        <v>138</v>
      </c>
      <c r="L505" t="str">
        <f>VLOOKUP(K505,Localizacoes!$E$3:$F$100,2,FALSE)</f>
        <v>HTH</v>
      </c>
      <c r="M505" t="str">
        <f>VLOOKUP(K505,ID!$E$3:$F$100,2,FALSE)</f>
        <v>HTH</v>
      </c>
      <c r="N505" t="s">
        <v>286</v>
      </c>
      <c r="O505" t="str">
        <f>VLOOKUP(N505,Localizacoes!$G$3:$H$100,2,FALSE)</f>
        <v>QEL</v>
      </c>
      <c r="P505">
        <f>VLOOKUP(N505,ID!$G$3:$H$100,2,FALSE)</f>
        <v>152</v>
      </c>
      <c r="Q505" t="s">
        <v>154</v>
      </c>
      <c r="R505" t="str">
        <f>VLOOKUP(Q505,Localizacoes!$I$3:$J$100,2,FALSE)</f>
        <v>QEA</v>
      </c>
      <c r="S505" t="str">
        <f>VLOOKUP(Q505,ID!$I$3:$J$100,2,FALSE)</f>
        <v>QEA</v>
      </c>
      <c r="T505" s="4" t="s">
        <v>186</v>
      </c>
      <c r="U505" t="s">
        <v>265</v>
      </c>
      <c r="X505" t="s">
        <v>506</v>
      </c>
      <c r="Y505" t="s">
        <v>270</v>
      </c>
      <c r="Z505" t="str">
        <f t="shared" si="91"/>
        <v>Quadros Eléctricos de Arranque 02</v>
      </c>
      <c r="AA505"/>
      <c r="AD505" s="13" t="s">
        <v>267</v>
      </c>
      <c r="AF505" t="str">
        <f t="shared" si="103"/>
        <v>Quadro EléctricoQuadros Eléctricos de Arranque</v>
      </c>
      <c r="AG505" s="28" t="str">
        <f>VLOOKUP(AF505,Imagens!$C$2:$D$42,2,FALSE)</f>
        <v>65e8d2fa35c12</v>
      </c>
      <c r="AH505" t="str">
        <f>_xlfn.CONCAT(Imagens!$H$2,'registo_ativo-CDs (1)'!AG505)</f>
        <v>assets/imagens/products/65e8d2fa35c12</v>
      </c>
      <c r="AI505" s="67">
        <v>45372</v>
      </c>
      <c r="AK505" s="32"/>
    </row>
    <row r="506" spans="1:37" ht="16.8" customHeight="1" x14ac:dyDescent="0.3">
      <c r="A506">
        <v>15</v>
      </c>
      <c r="B506" t="str">
        <f t="shared" si="101"/>
        <v>CD48CAN152QBT01</v>
      </c>
      <c r="C506" t="str">
        <f t="shared" si="102"/>
        <v>CD-MATH-CAN-QEL-QBT-01</v>
      </c>
      <c r="E506" t="s">
        <v>37</v>
      </c>
      <c r="F506" t="str">
        <f>VLOOKUP(E506,Localizacoes!$A$3:$B$100,2,FALSE)</f>
        <v>CD</v>
      </c>
      <c r="G506" t="str">
        <f>VLOOKUP(E506,ID!$A$3:$B$100,2,FALSE)</f>
        <v>CD</v>
      </c>
      <c r="H506" s="14" t="s">
        <v>53</v>
      </c>
      <c r="I506" t="str">
        <f>VLOOKUP(H506,Localizacoes!$C$3:$D$100,2,FALSE)</f>
        <v>MATH</v>
      </c>
      <c r="J506">
        <f>VLOOKUP(H506,ID!$C$3:$D$100,2,FALSE)</f>
        <v>48</v>
      </c>
      <c r="K506" t="s">
        <v>101</v>
      </c>
      <c r="L506" t="str">
        <f>VLOOKUP(K506,Localizacoes!$E$3:$F$100,2,FALSE)</f>
        <v>CAN</v>
      </c>
      <c r="M506" t="str">
        <f>VLOOKUP(K506,ID!$E$3:$F$100,2,FALSE)</f>
        <v>CAN</v>
      </c>
      <c r="N506" t="s">
        <v>286</v>
      </c>
      <c r="O506" t="str">
        <f>VLOOKUP(N506,Localizacoes!$G$3:$H$100,2,FALSE)</f>
        <v>QEL</v>
      </c>
      <c r="P506">
        <f>VLOOKUP(N506,ID!$G$3:$H$100,2,FALSE)</f>
        <v>152</v>
      </c>
      <c r="Q506" t="s">
        <v>443</v>
      </c>
      <c r="R506" t="str">
        <f>VLOOKUP(Q506,Localizacoes!$I$3:$J$100,2,FALSE)</f>
        <v>QBT</v>
      </c>
      <c r="S506" t="str">
        <f>VLOOKUP(Q506,ID!$I$3:$J$100,2,FALSE)</f>
        <v>QBT</v>
      </c>
      <c r="T506" s="4" t="s">
        <v>182</v>
      </c>
      <c r="U506" t="s">
        <v>265</v>
      </c>
      <c r="W506" t="s">
        <v>513</v>
      </c>
      <c r="X506" t="s">
        <v>506</v>
      </c>
      <c r="Y506" t="s">
        <v>270</v>
      </c>
      <c r="Z506" t="str">
        <f t="shared" si="91"/>
        <v>Quadro de Baixa Tensão 01</v>
      </c>
      <c r="AA506"/>
      <c r="AD506" s="13" t="s">
        <v>267</v>
      </c>
      <c r="AF506" t="str">
        <f t="shared" si="103"/>
        <v>Quadro EléctricoQuadro de Baixa Tensão</v>
      </c>
      <c r="AG506" s="28" t="str">
        <f>VLOOKUP(AF506,Imagens!$C$2:$D$42,2,FALSE)</f>
        <v>65d1346bf3835</v>
      </c>
      <c r="AH506" t="str">
        <f>_xlfn.CONCAT(Imagens!$H$2,'registo_ativo-CDs (1)'!AG506)</f>
        <v>assets/imagens/products/65d1346bf3835</v>
      </c>
      <c r="AI506" s="67">
        <v>45372</v>
      </c>
      <c r="AK506" s="32"/>
    </row>
    <row r="507" spans="1:37" ht="16.8" customHeight="1" x14ac:dyDescent="0.3">
      <c r="A507">
        <v>15</v>
      </c>
      <c r="B507" t="str">
        <f t="shared" si="101"/>
        <v>CD48CAN152CAN01</v>
      </c>
      <c r="C507" t="str">
        <f t="shared" si="102"/>
        <v>CD-MATH-CAN-QEL-CAN-01</v>
      </c>
      <c r="E507" t="s">
        <v>37</v>
      </c>
      <c r="F507" t="str">
        <f>VLOOKUP(E507,Localizacoes!$A$3:$B$100,2,FALSE)</f>
        <v>CD</v>
      </c>
      <c r="G507" t="str">
        <f>VLOOKUP(E507,ID!$A$3:$B$100,2,FALSE)</f>
        <v>CD</v>
      </c>
      <c r="H507" s="14" t="s">
        <v>53</v>
      </c>
      <c r="I507" t="str">
        <f>VLOOKUP(H507,Localizacoes!$C$3:$D$100,2,FALSE)</f>
        <v>MATH</v>
      </c>
      <c r="J507">
        <f>VLOOKUP(H507,ID!$C$3:$D$100,2,FALSE)</f>
        <v>48</v>
      </c>
      <c r="K507" t="s">
        <v>101</v>
      </c>
      <c r="L507" t="str">
        <f>VLOOKUP(K507,Localizacoes!$E$3:$F$100,2,FALSE)</f>
        <v>CAN</v>
      </c>
      <c r="M507" t="str">
        <f>VLOOKUP(K507,ID!$E$3:$F$100,2,FALSE)</f>
        <v>CAN</v>
      </c>
      <c r="N507" t="s">
        <v>286</v>
      </c>
      <c r="O507" t="str">
        <f>VLOOKUP(N507,Localizacoes!$G$3:$H$100,2,FALSE)</f>
        <v>QEL</v>
      </c>
      <c r="P507">
        <f>VLOOKUP(N507,ID!$G$3:$H$100,2,FALSE)</f>
        <v>152</v>
      </c>
      <c r="Q507" t="s">
        <v>101</v>
      </c>
      <c r="R507" t="str">
        <f>VLOOKUP(Q507,Localizacoes!$I$3:$J$100,2,FALSE)</f>
        <v>CAN</v>
      </c>
      <c r="S507" t="str">
        <f>VLOOKUP(Q507,ID!$I$3:$J$100,2,FALSE)</f>
        <v>CAN</v>
      </c>
      <c r="T507" s="4" t="s">
        <v>182</v>
      </c>
      <c r="U507" t="s">
        <v>265</v>
      </c>
      <c r="W507" t="s">
        <v>514</v>
      </c>
      <c r="X507" t="s">
        <v>506</v>
      </c>
      <c r="Y507" t="s">
        <v>270</v>
      </c>
      <c r="Z507" t="str">
        <f t="shared" si="91"/>
        <v>Canalização Eléctrica 01</v>
      </c>
      <c r="AA507"/>
      <c r="AD507" s="13" t="s">
        <v>267</v>
      </c>
      <c r="AF507" t="str">
        <f t="shared" si="103"/>
        <v>Quadro EléctricoCanalização Eléctrica</v>
      </c>
      <c r="AG507" s="28" t="str">
        <f>VLOOKUP(AF507,Imagens!$C$2:$D$42,2,FALSE)</f>
        <v>65e8e4bb71249</v>
      </c>
      <c r="AH507" t="str">
        <f>_xlfn.CONCAT(Imagens!$H$2,'registo_ativo-CDs (1)'!AG507)</f>
        <v>assets/imagens/products/65e8e4bb71249</v>
      </c>
      <c r="AI507" s="67">
        <v>45372</v>
      </c>
      <c r="AK507" s="32"/>
    </row>
    <row r="508" spans="1:37" ht="16.8" customHeight="1" x14ac:dyDescent="0.3">
      <c r="A508">
        <v>15</v>
      </c>
      <c r="B508" t="str">
        <f t="shared" si="101"/>
        <v>CD48ILU152ILL01</v>
      </c>
      <c r="C508" t="str">
        <f t="shared" si="102"/>
        <v>CD-MATH-ILU-QEL-ILL-01</v>
      </c>
      <c r="E508" t="s">
        <v>37</v>
      </c>
      <c r="F508" t="str">
        <f>VLOOKUP(E508,Localizacoes!$A$3:$B$100,2,FALSE)</f>
        <v>CD</v>
      </c>
      <c r="G508" t="str">
        <f>VLOOKUP(E508,ID!$A$3:$B$100,2,FALSE)</f>
        <v>CD</v>
      </c>
      <c r="H508" s="14" t="s">
        <v>53</v>
      </c>
      <c r="I508" t="str">
        <f>VLOOKUP(H508,Localizacoes!$C$3:$D$100,2,FALSE)</f>
        <v>MATH</v>
      </c>
      <c r="J508">
        <f>VLOOKUP(H508,ID!$C$3:$D$100,2,FALSE)</f>
        <v>48</v>
      </c>
      <c r="K508" t="s">
        <v>141</v>
      </c>
      <c r="L508" t="str">
        <f>VLOOKUP(K508,Localizacoes!$E$3:$F$100,2,FALSE)</f>
        <v>ILU</v>
      </c>
      <c r="M508" t="str">
        <f>VLOOKUP(K508,ID!$E$3:$F$100,2,FALSE)</f>
        <v>ILU</v>
      </c>
      <c r="N508" t="s">
        <v>286</v>
      </c>
      <c r="O508" t="str">
        <f>VLOOKUP(N508,Localizacoes!$G$3:$H$100,2,FALSE)</f>
        <v>QEL</v>
      </c>
      <c r="P508">
        <f>VLOOKUP(N508,ID!$G$3:$H$100,2,FALSE)</f>
        <v>152</v>
      </c>
      <c r="Q508" t="s">
        <v>141</v>
      </c>
      <c r="R508" t="str">
        <f>VLOOKUP(Q508,Localizacoes!$I$3:$J$100,2,FALSE)</f>
        <v>ILL</v>
      </c>
      <c r="S508" t="str">
        <f>VLOOKUP(Q508,ID!$I$3:$J$100,2,FALSE)</f>
        <v>ILL</v>
      </c>
      <c r="T508" s="4" t="s">
        <v>182</v>
      </c>
      <c r="U508" t="s">
        <v>265</v>
      </c>
      <c r="W508" t="s">
        <v>514</v>
      </c>
      <c r="X508" t="s">
        <v>506</v>
      </c>
      <c r="Y508" t="s">
        <v>270</v>
      </c>
      <c r="Z508" t="str">
        <f t="shared" si="91"/>
        <v>Iluminação 01</v>
      </c>
      <c r="AA508"/>
      <c r="AD508" s="13" t="s">
        <v>267</v>
      </c>
      <c r="AF508" t="str">
        <f t="shared" si="103"/>
        <v>Quadro EléctricoIluminação</v>
      </c>
      <c r="AG508" s="28" t="str">
        <f>VLOOKUP(AF508,Imagens!$C$2:$D$42,2,FALSE)</f>
        <v>65e8e579bfe6c</v>
      </c>
      <c r="AH508" t="str">
        <f>_xlfn.CONCAT(Imagens!$H$2,'registo_ativo-CDs (1)'!AG508)</f>
        <v>assets/imagens/products/65e8e579bfe6c</v>
      </c>
      <c r="AI508" s="67">
        <v>45316</v>
      </c>
      <c r="AK508" s="32"/>
    </row>
    <row r="509" spans="1:37" ht="16.8" customHeight="1" x14ac:dyDescent="0.3">
      <c r="A509">
        <v>15</v>
      </c>
      <c r="B509" t="str">
        <f t="shared" si="101"/>
        <v>CD48ILU164ILL01</v>
      </c>
      <c r="C509" t="str">
        <f t="shared" si="102"/>
        <v>CD-MATH-ILU-SIL-ILL-01</v>
      </c>
      <c r="E509" t="s">
        <v>37</v>
      </c>
      <c r="F509" t="str">
        <f>VLOOKUP(E509,Localizacoes!$A$3:$B$100,2,FALSE)</f>
        <v>CD</v>
      </c>
      <c r="G509" t="str">
        <f>VLOOKUP(E509,ID!$A$3:$B$100,2,FALSE)</f>
        <v>CD</v>
      </c>
      <c r="H509" s="14" t="s">
        <v>53</v>
      </c>
      <c r="I509" t="str">
        <f>VLOOKUP(H509,Localizacoes!$C$3:$D$100,2,FALSE)</f>
        <v>MATH</v>
      </c>
      <c r="J509">
        <f>VLOOKUP(H509,ID!$C$3:$D$100,2,FALSE)</f>
        <v>48</v>
      </c>
      <c r="K509" t="s">
        <v>141</v>
      </c>
      <c r="L509" t="str">
        <f>VLOOKUP(K509,Localizacoes!$E$3:$F$100,2,FALSE)</f>
        <v>ILU</v>
      </c>
      <c r="M509" t="str">
        <f>VLOOKUP(K509,ID!$E$3:$F$100,2,FALSE)</f>
        <v>ILU</v>
      </c>
      <c r="N509" t="s">
        <v>688</v>
      </c>
      <c r="O509" t="str">
        <f>VLOOKUP(N509,Localizacoes!$G$3:$H$100,2,FALSE)</f>
        <v>SIL</v>
      </c>
      <c r="P509">
        <f>VLOOKUP(N509,ID!$G$3:$H$100,2,FALSE)</f>
        <v>164</v>
      </c>
      <c r="Q509" t="s">
        <v>141</v>
      </c>
      <c r="R509" t="str">
        <f>VLOOKUP(Q509,Localizacoes!$I$3:$J$100,2,FALSE)</f>
        <v>ILL</v>
      </c>
      <c r="S509" t="str">
        <f>VLOOKUP(Q509,ID!$I$3:$J$100,2,FALSE)</f>
        <v>ILL</v>
      </c>
      <c r="T509" s="4" t="s">
        <v>182</v>
      </c>
      <c r="U509" t="s">
        <v>265</v>
      </c>
      <c r="W509" t="s">
        <v>514</v>
      </c>
      <c r="X509" t="s">
        <v>506</v>
      </c>
      <c r="Y509" t="s">
        <v>270</v>
      </c>
      <c r="Z509" t="str">
        <f t="shared" si="91"/>
        <v>Iluminação 01</v>
      </c>
      <c r="AA509"/>
      <c r="AD509" s="13" t="s">
        <v>267</v>
      </c>
      <c r="AF509" t="str">
        <f t="shared" si="103"/>
        <v>Sistema de IluminaçãoIluminação</v>
      </c>
      <c r="AG509" s="28" t="str">
        <f>VLOOKUP(AF509,Imagens!$C$2:$D$42,2,FALSE)</f>
        <v>65e8e579bfe6c</v>
      </c>
      <c r="AH509" t="str">
        <f>_xlfn.CONCAT(Imagens!$H$2,'registo_ativo-CDs (1)'!AG509)</f>
        <v>assets/imagens/products/65e8e579bfe6c</v>
      </c>
      <c r="AI509" s="67">
        <v>45316</v>
      </c>
      <c r="AK509" s="32"/>
    </row>
    <row r="510" spans="1:37" ht="16.8" customHeight="1" x14ac:dyDescent="0.3">
      <c r="A510">
        <v>15</v>
      </c>
      <c r="B510" t="str">
        <f t="shared" si="101"/>
        <v>CD48CAN152QEI01</v>
      </c>
      <c r="C510" t="str">
        <f t="shared" si="102"/>
        <v>CD-MATH-CAN-QEL-QEI-01</v>
      </c>
      <c r="E510" t="s">
        <v>37</v>
      </c>
      <c r="F510" t="str">
        <f>VLOOKUP(E510,Localizacoes!$A$3:$B$100,2,FALSE)</f>
        <v>CD</v>
      </c>
      <c r="G510" t="str">
        <f>VLOOKUP(E510,ID!$A$3:$B$100,2,FALSE)</f>
        <v>CD</v>
      </c>
      <c r="H510" s="14" t="s">
        <v>53</v>
      </c>
      <c r="I510" t="str">
        <f>VLOOKUP(H510,Localizacoes!$C$3:$D$100,2,FALSE)</f>
        <v>MATH</v>
      </c>
      <c r="J510">
        <f>VLOOKUP(H510,ID!$C$3:$D$100,2,FALSE)</f>
        <v>48</v>
      </c>
      <c r="K510" t="s">
        <v>101</v>
      </c>
      <c r="L510" t="str">
        <f>VLOOKUP(K510,Localizacoes!$E$3:$F$100,2,FALSE)</f>
        <v>CAN</v>
      </c>
      <c r="M510" t="str">
        <f>VLOOKUP(K510,ID!$E$3:$F$100,2,FALSE)</f>
        <v>CAN</v>
      </c>
      <c r="N510" t="s">
        <v>286</v>
      </c>
      <c r="O510" t="str">
        <f>VLOOKUP(N510,Localizacoes!$G$3:$H$100,2,FALSE)</f>
        <v>QEL</v>
      </c>
      <c r="P510">
        <f>VLOOKUP(N510,ID!$G$3:$H$100,2,FALSE)</f>
        <v>152</v>
      </c>
      <c r="Q510" t="s">
        <v>446</v>
      </c>
      <c r="R510" t="str">
        <f>VLOOKUP(Q510,Localizacoes!$I$3:$J$100,2,FALSE)</f>
        <v>QEI</v>
      </c>
      <c r="S510" t="str">
        <f>VLOOKUP(Q510,ID!$I$3:$J$100,2,FALSE)</f>
        <v>QEI</v>
      </c>
      <c r="T510" s="4" t="s">
        <v>182</v>
      </c>
      <c r="U510" t="s">
        <v>265</v>
      </c>
      <c r="X510" t="s">
        <v>506</v>
      </c>
      <c r="Y510" t="s">
        <v>270</v>
      </c>
      <c r="Z510" t="str">
        <f t="shared" si="91"/>
        <v>Quadro Eléctrico de Instrumentação 01</v>
      </c>
      <c r="AA510"/>
      <c r="AD510" s="13" t="s">
        <v>267</v>
      </c>
      <c r="AF510" t="str">
        <f t="shared" si="103"/>
        <v>Quadro EléctricoQuadro Eléctrico de Instrumentação</v>
      </c>
      <c r="AG510" s="28" t="str">
        <f>VLOOKUP(AF510,Imagens!$C$2:$D$42,2,FALSE)</f>
        <v>65d1346bf3835</v>
      </c>
      <c r="AH510" t="str">
        <f>_xlfn.CONCAT(Imagens!$H$2,'registo_ativo-CDs (1)'!AG510)</f>
        <v>assets/imagens/products/65d1346bf3835</v>
      </c>
      <c r="AI510" s="67">
        <v>45372</v>
      </c>
      <c r="AK510" s="32"/>
    </row>
    <row r="511" spans="1:37" ht="16.8" customHeight="1" x14ac:dyDescent="0.3">
      <c r="A511">
        <v>15</v>
      </c>
      <c r="B511" t="str">
        <f t="shared" si="101"/>
        <v>CD48ENT146MCD01</v>
      </c>
      <c r="C511" t="str">
        <f t="shared" si="102"/>
        <v>CD-MATH-ENT-MDD-MCD-01</v>
      </c>
      <c r="E511" t="s">
        <v>37</v>
      </c>
      <c r="F511" t="str">
        <f>VLOOKUP(E511,Localizacoes!$A$3:$B$100,2,FALSE)</f>
        <v>CD</v>
      </c>
      <c r="G511" t="str">
        <f>VLOOKUP(E511,ID!$A$3:$B$100,2,FALSE)</f>
        <v>CD</v>
      </c>
      <c r="H511" s="14" t="s">
        <v>53</v>
      </c>
      <c r="I511" t="str">
        <f>VLOOKUP(H511,Localizacoes!$C$3:$D$100,2,FALSE)</f>
        <v>MATH</v>
      </c>
      <c r="J511">
        <f>VLOOKUP(H511,ID!$C$3:$D$100,2,FALSE)</f>
        <v>48</v>
      </c>
      <c r="K511" t="s">
        <v>323</v>
      </c>
      <c r="L511" t="str">
        <f>VLOOKUP(K511,Localizacoes!$E$3:$F$100,2,FALSE)</f>
        <v>ENT</v>
      </c>
      <c r="M511" t="str">
        <f>VLOOKUP(K511,ID!$E$3:$F$100,2,FALSE)</f>
        <v>ENT</v>
      </c>
      <c r="N511" t="s">
        <v>672</v>
      </c>
      <c r="O511" t="str">
        <f>VLOOKUP(N511,Localizacoes!$G$3:$H$100,2,FALSE)</f>
        <v>MDD</v>
      </c>
      <c r="P511">
        <f>VLOOKUP(N511,ID!$G$3:$H$100,2,FALSE)</f>
        <v>146</v>
      </c>
      <c r="Q511" t="s">
        <v>370</v>
      </c>
      <c r="R511" t="str">
        <f>VLOOKUP(Q511,Localizacoes!$I$3:$J$100,2,FALSE)</f>
        <v>MCD</v>
      </c>
      <c r="S511" t="str">
        <f>VLOOKUP(Q511,ID!$I$3:$J$100,2,FALSE)</f>
        <v>MCD</v>
      </c>
      <c r="T511" s="4" t="s">
        <v>182</v>
      </c>
      <c r="U511" t="s">
        <v>265</v>
      </c>
      <c r="X511" t="s">
        <v>506</v>
      </c>
      <c r="Y511" t="s">
        <v>270</v>
      </c>
      <c r="Z511" t="str">
        <f t="shared" si="91"/>
        <v>Macromedidor 01</v>
      </c>
      <c r="AA511"/>
      <c r="AD511" s="13" t="s">
        <v>266</v>
      </c>
      <c r="AF511" t="str">
        <f t="shared" si="103"/>
        <v>MedidorMacromedidor</v>
      </c>
      <c r="AG511" s="28" t="str">
        <f>VLOOKUP(AF511,Imagens!$C$2:$D$42,2,FALSE)</f>
        <v>65e8dd4a9cd58</v>
      </c>
      <c r="AH511" t="str">
        <f>_xlfn.CONCAT(Imagens!$H$2,'registo_ativo-CDs (1)'!AG511)</f>
        <v>assets/imagens/products/65e8dd4a9cd58</v>
      </c>
      <c r="AI511" s="67">
        <v>45344</v>
      </c>
      <c r="AK511" s="32"/>
    </row>
    <row r="512" spans="1:37" ht="16.8" customHeight="1" x14ac:dyDescent="0.3">
      <c r="A512">
        <v>15</v>
      </c>
      <c r="B512" t="str">
        <f t="shared" si="101"/>
        <v>CD48BBG146MCD01</v>
      </c>
      <c r="C512" t="str">
        <f t="shared" si="102"/>
        <v>CD-MATH-BBG-MDD-MCD-01</v>
      </c>
      <c r="E512" t="s">
        <v>37</v>
      </c>
      <c r="F512" t="str">
        <f>VLOOKUP(E512,Localizacoes!$A$3:$B$100,2,FALSE)</f>
        <v>CD</v>
      </c>
      <c r="G512" t="str">
        <f>VLOOKUP(E512,ID!$A$3:$B$100,2,FALSE)</f>
        <v>CD</v>
      </c>
      <c r="H512" s="14" t="s">
        <v>53</v>
      </c>
      <c r="I512" t="str">
        <f>VLOOKUP(H512,Localizacoes!$C$3:$D$100,2,FALSE)</f>
        <v>MATH</v>
      </c>
      <c r="J512">
        <f>VLOOKUP(H512,ID!$C$3:$D$100,2,FALSE)</f>
        <v>48</v>
      </c>
      <c r="K512" t="s">
        <v>274</v>
      </c>
      <c r="L512" t="str">
        <f>VLOOKUP(K512,Localizacoes!$E$3:$F$100,2,FALSE)</f>
        <v>BBG</v>
      </c>
      <c r="M512" t="str">
        <f>VLOOKUP(K512,ID!$E$3:$F$100,2,FALSE)</f>
        <v>BBG</v>
      </c>
      <c r="N512" t="s">
        <v>672</v>
      </c>
      <c r="O512" t="str">
        <f>VLOOKUP(N512,Localizacoes!$G$3:$H$100,2,FALSE)</f>
        <v>MDD</v>
      </c>
      <c r="P512">
        <f>VLOOKUP(N512,ID!$G$3:$H$100,2,FALSE)</f>
        <v>146</v>
      </c>
      <c r="Q512" t="s">
        <v>370</v>
      </c>
      <c r="R512" t="str">
        <f>VLOOKUP(Q512,Localizacoes!$I$3:$J$100,2,FALSE)</f>
        <v>MCD</v>
      </c>
      <c r="S512" t="str">
        <f>VLOOKUP(Q512,ID!$I$3:$J$100,2,FALSE)</f>
        <v>MCD</v>
      </c>
      <c r="T512" s="4" t="s">
        <v>182</v>
      </c>
      <c r="U512" t="s">
        <v>265</v>
      </c>
      <c r="X512" t="s">
        <v>506</v>
      </c>
      <c r="Y512" t="s">
        <v>270</v>
      </c>
      <c r="Z512" t="str">
        <f t="shared" si="91"/>
        <v>Macromedidor 01</v>
      </c>
      <c r="AA512"/>
      <c r="AD512" s="13" t="s">
        <v>266</v>
      </c>
      <c r="AF512" t="str">
        <f t="shared" si="103"/>
        <v>MedidorMacromedidor</v>
      </c>
      <c r="AG512" s="28" t="str">
        <f>VLOOKUP(AF512,Imagens!$C$2:$D$42,2,FALSE)</f>
        <v>65e8dd4a9cd58</v>
      </c>
      <c r="AH512" t="str">
        <f>_xlfn.CONCAT(Imagens!$H$2,'registo_ativo-CDs (1)'!AG512)</f>
        <v>assets/imagens/products/65e8dd4a9cd58</v>
      </c>
      <c r="AI512" s="67">
        <v>45344</v>
      </c>
      <c r="AK512" s="32"/>
    </row>
    <row r="513" spans="1:37" ht="15" customHeight="1" x14ac:dyDescent="0.3">
      <c r="A513">
        <f t="shared" ref="A513" si="104">LEN(B513)</f>
        <v>15</v>
      </c>
      <c r="B513" t="str">
        <f t="shared" si="101"/>
        <v>CD48BBG143PRO01</v>
      </c>
      <c r="C513" t="str">
        <f t="shared" si="102"/>
        <v>CD-MATH-BBG-GRU-PRO-01</v>
      </c>
      <c r="E513" t="s">
        <v>37</v>
      </c>
      <c r="F513" t="str">
        <f>VLOOKUP(E513,Localizacoes!$A$3:$B$100,2,FALSE)</f>
        <v>CD</v>
      </c>
      <c r="G513" t="str">
        <f>VLOOKUP(E513,ID!$A$3:$B$100,2,FALSE)</f>
        <v>CD</v>
      </c>
      <c r="H513" s="14" t="s">
        <v>53</v>
      </c>
      <c r="I513" t="str">
        <f>VLOOKUP(H513,Localizacoes!$C$3:$D$100,2,FALSE)</f>
        <v>MATH</v>
      </c>
      <c r="J513">
        <f>VLOOKUP(H513,ID!$C$3:$D$100,2,FALSE)</f>
        <v>48</v>
      </c>
      <c r="K513" t="s">
        <v>274</v>
      </c>
      <c r="L513" t="str">
        <f>VLOOKUP(K513,Localizacoes!$E$3:$F$100,2,FALSE)</f>
        <v>BBG</v>
      </c>
      <c r="M513" t="str">
        <f>VLOOKUP(K513,ID!$E$3:$F$100,2,FALSE)</f>
        <v>BBG</v>
      </c>
      <c r="N513" t="s">
        <v>104</v>
      </c>
      <c r="O513" t="str">
        <f>VLOOKUP(N513,Localizacoes!$G$3:$H$100,2,FALSE)</f>
        <v>GRU</v>
      </c>
      <c r="P513">
        <f>VLOOKUP(N513,ID!$G$3:$H$100,2,FALSE)</f>
        <v>143</v>
      </c>
      <c r="Q513" t="s">
        <v>153</v>
      </c>
      <c r="R513" t="str">
        <f>VLOOKUP(Q513,Localizacoes!$I$3:$J$100,2,FALSE)</f>
        <v>PRO</v>
      </c>
      <c r="S513" t="str">
        <f>VLOOKUP(Q513,ID!$I$3:$J$100,2,FALSE)</f>
        <v>PRO</v>
      </c>
      <c r="T513" s="4" t="s">
        <v>182</v>
      </c>
      <c r="U513" t="s">
        <v>264</v>
      </c>
      <c r="Y513" t="s">
        <v>270</v>
      </c>
      <c r="Z513" t="str">
        <f t="shared" ref="Z513" si="105">Q513&amp;" "&amp; T513</f>
        <v>Ponte Rolante 01</v>
      </c>
      <c r="AA513"/>
      <c r="AD513" s="13" t="s">
        <v>266</v>
      </c>
      <c r="AF513" t="str">
        <f t="shared" si="103"/>
        <v>GruaPonte Rolante</v>
      </c>
      <c r="AG513" s="28" t="str">
        <f>VLOOKUP(AF513,Imagens!$C$2:$D$42,2,FALSE)</f>
        <v>65c75d2748c4a</v>
      </c>
      <c r="AH513" t="str">
        <f>_xlfn.CONCAT(Imagens!$H$2,'registo_ativo-CDs (1)'!AG513)</f>
        <v>assets/imagens/products/65c75d2748c4a</v>
      </c>
      <c r="AI513" s="67">
        <v>45454</v>
      </c>
      <c r="AK513" s="32"/>
    </row>
    <row r="514" spans="1:37" ht="16.8" customHeight="1" x14ac:dyDescent="0.3">
      <c r="A514">
        <v>15</v>
      </c>
      <c r="B514" t="str">
        <f t="shared" si="101"/>
        <v>CD48SB1165TRA01</v>
      </c>
      <c r="C514" t="str">
        <f t="shared" si="102"/>
        <v>CD-MATH-SB1-SUB-TRA-01</v>
      </c>
      <c r="E514" t="s">
        <v>37</v>
      </c>
      <c r="F514" t="str">
        <f>VLOOKUP(E514,Localizacoes!$A$3:$B$100,2,FALSE)</f>
        <v>CD</v>
      </c>
      <c r="G514" t="str">
        <f>VLOOKUP(E514,ID!$A$3:$B$100,2,FALSE)</f>
        <v>CD</v>
      </c>
      <c r="H514" s="14" t="s">
        <v>53</v>
      </c>
      <c r="I514" t="str">
        <f>VLOOKUP(H514,Localizacoes!$C$3:$D$100,2,FALSE)</f>
        <v>MATH</v>
      </c>
      <c r="J514">
        <f>VLOOKUP(H514,ID!$C$3:$D$100,2,FALSE)</f>
        <v>48</v>
      </c>
      <c r="K514" t="s">
        <v>127</v>
      </c>
      <c r="L514" t="str">
        <f>VLOOKUP(K514,Localizacoes!$E$3:$F$100,2,FALSE)</f>
        <v>SB1</v>
      </c>
      <c r="M514" t="str">
        <f>VLOOKUP(K514,ID!$E$3:$F$100,2,FALSE)</f>
        <v>SB1</v>
      </c>
      <c r="N514" t="s">
        <v>112</v>
      </c>
      <c r="O514" t="str">
        <f>VLOOKUP(N514,Localizacoes!$G$3:$H$100,2,FALSE)</f>
        <v>SUB</v>
      </c>
      <c r="P514">
        <f>VLOOKUP(N514,ID!$G$3:$H$100,2,FALSE)</f>
        <v>165</v>
      </c>
      <c r="Q514" t="s">
        <v>176</v>
      </c>
      <c r="R514" t="str">
        <f>VLOOKUP(Q514,Localizacoes!$I$3:$J$100,2,FALSE)</f>
        <v>TRA</v>
      </c>
      <c r="S514" t="str">
        <f>VLOOKUP(Q514,ID!$I$3:$J$100,2,FALSE)</f>
        <v>TRA</v>
      </c>
      <c r="T514" s="4" t="s">
        <v>182</v>
      </c>
      <c r="U514" t="s">
        <v>265</v>
      </c>
      <c r="W514" t="s">
        <v>519</v>
      </c>
      <c r="X514" t="s">
        <v>6</v>
      </c>
      <c r="Y514" t="s">
        <v>270</v>
      </c>
      <c r="Z514" t="str">
        <f t="shared" si="91"/>
        <v>Transformador 01</v>
      </c>
      <c r="AA514"/>
      <c r="AD514" s="17" t="s">
        <v>267</v>
      </c>
      <c r="AF514" t="str">
        <f t="shared" si="103"/>
        <v>SubestaçãoTransformador</v>
      </c>
      <c r="AG514" s="28" t="str">
        <f>VLOOKUP(AF514,Imagens!$C$2:$D$42,2,FALSE)</f>
        <v>65e8d98d73a3d</v>
      </c>
      <c r="AH514" t="str">
        <f>_xlfn.CONCAT(Imagens!$H$2,'registo_ativo-CDs (1)'!AG514)</f>
        <v>assets/imagens/products/65e8d98d73a3d</v>
      </c>
      <c r="AI514" s="67">
        <v>45316</v>
      </c>
      <c r="AK514" s="32"/>
    </row>
    <row r="515" spans="1:37" ht="16.8" customHeight="1" x14ac:dyDescent="0.3">
      <c r="A515">
        <v>15</v>
      </c>
      <c r="B515" t="str">
        <f t="shared" si="101"/>
        <v>CD43BBG131BOM03</v>
      </c>
      <c r="C515" t="str">
        <f t="shared" si="102"/>
        <v>CD-KAT-BBG-EBC-BOM-03</v>
      </c>
      <c r="E515" t="s">
        <v>37</v>
      </c>
      <c r="F515" t="str">
        <f>VLOOKUP(E515,Localizacoes!$A$3:$B$100,2,FALSE)</f>
        <v>CD</v>
      </c>
      <c r="G515" t="str">
        <f>VLOOKUP(E515,ID!$A$3:$B$100,2,FALSE)</f>
        <v>CD</v>
      </c>
      <c r="H515" s="14" t="s">
        <v>52</v>
      </c>
      <c r="I515" t="str">
        <f>VLOOKUP(H515,Localizacoes!$C$3:$D$100,2,FALSE)</f>
        <v>KAT</v>
      </c>
      <c r="J515">
        <f>VLOOKUP(H515,ID!$C$3:$D$100,2,FALSE)</f>
        <v>43</v>
      </c>
      <c r="K515" t="s">
        <v>274</v>
      </c>
      <c r="L515" t="str">
        <f>VLOOKUP(K515,Localizacoes!$E$3:$F$100,2,FALSE)</f>
        <v>BBG</v>
      </c>
      <c r="M515" t="str">
        <f>VLOOKUP(K515,ID!$E$3:$F$100,2,FALSE)</f>
        <v>BBG</v>
      </c>
      <c r="N515" t="s">
        <v>704</v>
      </c>
      <c r="O515" t="str">
        <f>VLOOKUP(N515,Localizacoes!$G$3:$H$100,2,FALSE)</f>
        <v>EBC</v>
      </c>
      <c r="P515">
        <f>VLOOKUP(N515,ID!$G$3:$H$100,2,FALSE)</f>
        <v>131</v>
      </c>
      <c r="Q515" t="s">
        <v>150</v>
      </c>
      <c r="R515" t="str">
        <f>VLOOKUP(Q515,Localizacoes!$I$3:$J$100,2,FALSE)</f>
        <v>BOM</v>
      </c>
      <c r="S515" t="str">
        <f>VLOOKUP(Q515,ID!$I$3:$J$100,2,FALSE)</f>
        <v>BOM</v>
      </c>
      <c r="T515" s="4" t="s">
        <v>187</v>
      </c>
      <c r="U515" t="s">
        <v>264</v>
      </c>
      <c r="V515" t="s">
        <v>392</v>
      </c>
      <c r="W515" t="s">
        <v>520</v>
      </c>
      <c r="X515" t="s">
        <v>6</v>
      </c>
      <c r="Y515" t="s">
        <v>270</v>
      </c>
      <c r="Z515" t="str">
        <f t="shared" si="91"/>
        <v>Bomba 03</v>
      </c>
      <c r="AA515"/>
      <c r="AD515" s="13" t="s">
        <v>7</v>
      </c>
      <c r="AF515" t="str">
        <f t="shared" si="103"/>
        <v>Electrobomba centrífugaBomba</v>
      </c>
      <c r="AG515" s="28" t="str">
        <f>VLOOKUP(AF515,Imagens!$C$2:$D$42,2,FALSE)</f>
        <v>65e96125c1d11</v>
      </c>
      <c r="AH515" t="str">
        <f>_xlfn.CONCAT(Imagens!$H$2,'registo_ativo-CDs (1)'!AG515)</f>
        <v>assets/imagens/products/65e96125c1d11</v>
      </c>
      <c r="AI515" s="67">
        <v>45313</v>
      </c>
      <c r="AK515" s="32"/>
    </row>
    <row r="516" spans="1:37" ht="16.8" customHeight="1" x14ac:dyDescent="0.3">
      <c r="A516">
        <v>15</v>
      </c>
      <c r="B516" t="str">
        <f t="shared" si="101"/>
        <v>CD43BBG131MOT03</v>
      </c>
      <c r="C516" t="str">
        <f t="shared" si="102"/>
        <v>CD-KAT-BBG-EBC-MOT-03</v>
      </c>
      <c r="E516" t="s">
        <v>37</v>
      </c>
      <c r="F516" t="str">
        <f>VLOOKUP(E516,Localizacoes!$A$3:$B$100,2,FALSE)</f>
        <v>CD</v>
      </c>
      <c r="G516" t="str">
        <f>VLOOKUP(E516,ID!$A$3:$B$100,2,FALSE)</f>
        <v>CD</v>
      </c>
      <c r="H516" s="14" t="s">
        <v>52</v>
      </c>
      <c r="I516" t="str">
        <f>VLOOKUP(H516,Localizacoes!$C$3:$D$100,2,FALSE)</f>
        <v>KAT</v>
      </c>
      <c r="J516">
        <f>VLOOKUP(H516,ID!$C$3:$D$100,2,FALSE)</f>
        <v>43</v>
      </c>
      <c r="K516" t="s">
        <v>274</v>
      </c>
      <c r="L516" t="str">
        <f>VLOOKUP(K516,Localizacoes!$E$3:$F$100,2,FALSE)</f>
        <v>BBG</v>
      </c>
      <c r="M516" t="str">
        <f>VLOOKUP(K516,ID!$E$3:$F$100,2,FALSE)</f>
        <v>BBG</v>
      </c>
      <c r="N516" t="s">
        <v>704</v>
      </c>
      <c r="O516" t="str">
        <f>VLOOKUP(N516,Localizacoes!$G$3:$H$100,2,FALSE)</f>
        <v>EBC</v>
      </c>
      <c r="P516">
        <f>VLOOKUP(N516,ID!$G$3:$H$100,2,FALSE)</f>
        <v>131</v>
      </c>
      <c r="Q516" t="s">
        <v>21</v>
      </c>
      <c r="R516" t="str">
        <f>VLOOKUP(Q516,Localizacoes!$I$3:$J$100,2,FALSE)</f>
        <v>MOT</v>
      </c>
      <c r="S516" t="str">
        <f>VLOOKUP(Q516,ID!$I$3:$J$100,2,FALSE)</f>
        <v>MOT</v>
      </c>
      <c r="T516" s="4" t="s">
        <v>187</v>
      </c>
      <c r="U516" t="s">
        <v>265</v>
      </c>
      <c r="V516" t="s">
        <v>392</v>
      </c>
      <c r="W516" t="s">
        <v>521</v>
      </c>
      <c r="Y516" t="s">
        <v>270</v>
      </c>
      <c r="Z516" t="str">
        <f t="shared" si="91"/>
        <v>Motor 03</v>
      </c>
      <c r="AA516"/>
      <c r="AD516" s="13" t="s">
        <v>7</v>
      </c>
      <c r="AF516" t="str">
        <f t="shared" si="103"/>
        <v>Electrobomba centrífugaMotor</v>
      </c>
      <c r="AG516" s="28" t="str">
        <f>VLOOKUP(AF516,Imagens!$C$2:$D$42,2,FALSE)</f>
        <v>65d04210323a4</v>
      </c>
      <c r="AH516" t="str">
        <f>_xlfn.CONCAT(Imagens!$H$2,'registo_ativo-CDs (1)'!AG516)</f>
        <v>assets/imagens/products/65d04210323a4</v>
      </c>
      <c r="AI516" s="67">
        <v>45313</v>
      </c>
      <c r="AK516" s="32"/>
    </row>
    <row r="517" spans="1:37" ht="16.8" customHeight="1" x14ac:dyDescent="0.3">
      <c r="A517">
        <v>15</v>
      </c>
      <c r="B517" t="str">
        <f t="shared" si="101"/>
        <v>CD43BBG131QEA03</v>
      </c>
      <c r="C517" t="str">
        <f t="shared" si="102"/>
        <v>CD-KAT-BBG-EBC-QEA-03</v>
      </c>
      <c r="E517" t="s">
        <v>37</v>
      </c>
      <c r="F517" t="str">
        <f>VLOOKUP(E517,Localizacoes!$A$3:$B$100,2,FALSE)</f>
        <v>CD</v>
      </c>
      <c r="G517" t="str">
        <f>VLOOKUP(E517,ID!$A$3:$B$100,2,FALSE)</f>
        <v>CD</v>
      </c>
      <c r="H517" s="14" t="s">
        <v>52</v>
      </c>
      <c r="I517" t="str">
        <f>VLOOKUP(H517,Localizacoes!$C$3:$D$100,2,FALSE)</f>
        <v>KAT</v>
      </c>
      <c r="J517">
        <f>VLOOKUP(H517,ID!$C$3:$D$100,2,FALSE)</f>
        <v>43</v>
      </c>
      <c r="K517" t="s">
        <v>274</v>
      </c>
      <c r="L517" t="str">
        <f>VLOOKUP(K517,Localizacoes!$E$3:$F$100,2,FALSE)</f>
        <v>BBG</v>
      </c>
      <c r="M517" t="str">
        <f>VLOOKUP(K517,ID!$E$3:$F$100,2,FALSE)</f>
        <v>BBG</v>
      </c>
      <c r="N517" t="s">
        <v>704</v>
      </c>
      <c r="O517" t="str">
        <f>VLOOKUP(N517,Localizacoes!$G$3:$H$100,2,FALSE)</f>
        <v>EBC</v>
      </c>
      <c r="P517">
        <f>VLOOKUP(N517,ID!$G$3:$H$100,2,FALSE)</f>
        <v>131</v>
      </c>
      <c r="Q517" t="s">
        <v>154</v>
      </c>
      <c r="R517" t="str">
        <f>VLOOKUP(Q517,Localizacoes!$I$3:$J$100,2,FALSE)</f>
        <v>QEA</v>
      </c>
      <c r="S517" t="str">
        <f>VLOOKUP(Q517,ID!$I$3:$J$100,2,FALSE)</f>
        <v>QEA</v>
      </c>
      <c r="T517" s="4" t="s">
        <v>187</v>
      </c>
      <c r="U517" t="s">
        <v>265</v>
      </c>
      <c r="V517" t="s">
        <v>522</v>
      </c>
      <c r="W517" t="s">
        <v>523</v>
      </c>
      <c r="Y517" t="s">
        <v>270</v>
      </c>
      <c r="Z517" t="str">
        <f t="shared" si="91"/>
        <v>Quadros Eléctricos de Arranque 03</v>
      </c>
      <c r="AA517"/>
      <c r="AD517" s="13" t="s">
        <v>267</v>
      </c>
      <c r="AF517" t="str">
        <f t="shared" si="103"/>
        <v>Electrobomba centrífugaQuadros Eléctricos de Arranque</v>
      </c>
      <c r="AG517" s="28" t="str">
        <f>VLOOKUP(AF517,Imagens!$C$2:$D$42,2,FALSE)</f>
        <v>65e8d2fa35c12</v>
      </c>
      <c r="AH517" t="str">
        <f>_xlfn.CONCAT(Imagens!$H$2,'registo_ativo-CDs (1)'!AG517)</f>
        <v>assets/imagens/products/65e8d2fa35c12</v>
      </c>
      <c r="AI517" s="67">
        <v>45369</v>
      </c>
      <c r="AK517" s="32"/>
    </row>
    <row r="518" spans="1:37" ht="16.8" customHeight="1" x14ac:dyDescent="0.3">
      <c r="A518">
        <v>15</v>
      </c>
      <c r="B518" t="str">
        <f t="shared" si="101"/>
        <v>CD43BBG131VSU03</v>
      </c>
      <c r="C518" t="str">
        <f t="shared" si="102"/>
        <v>CD-KAT-BBG-EBC-VSU-03</v>
      </c>
      <c r="E518" t="s">
        <v>37</v>
      </c>
      <c r="F518" t="str">
        <f>VLOOKUP(E518,Localizacoes!$A$3:$B$100,2,FALSE)</f>
        <v>CD</v>
      </c>
      <c r="G518" t="str">
        <f>VLOOKUP(E518,ID!$A$3:$B$100,2,FALSE)</f>
        <v>CD</v>
      </c>
      <c r="H518" s="14" t="s">
        <v>52</v>
      </c>
      <c r="I518" t="str">
        <f>VLOOKUP(H518,Localizacoes!$C$3:$D$100,2,FALSE)</f>
        <v>KAT</v>
      </c>
      <c r="J518">
        <f>VLOOKUP(H518,ID!$C$3:$D$100,2,FALSE)</f>
        <v>43</v>
      </c>
      <c r="K518" t="s">
        <v>274</v>
      </c>
      <c r="L518" t="str">
        <f>VLOOKUP(K518,Localizacoes!$E$3:$F$100,2,FALSE)</f>
        <v>BBG</v>
      </c>
      <c r="M518" t="str">
        <f>VLOOKUP(K518,ID!$E$3:$F$100,2,FALSE)</f>
        <v>BBG</v>
      </c>
      <c r="N518" t="s">
        <v>704</v>
      </c>
      <c r="O518" t="str">
        <f>VLOOKUP(N518,Localizacoes!$G$3:$H$100,2,FALSE)</f>
        <v>EBC</v>
      </c>
      <c r="P518">
        <f>VLOOKUP(N518,ID!$G$3:$H$100,2,FALSE)</f>
        <v>131</v>
      </c>
      <c r="Q518" t="s">
        <v>276</v>
      </c>
      <c r="R518" t="str">
        <f>VLOOKUP(Q518,Localizacoes!$I$3:$J$100,2,FALSE)</f>
        <v>VSU</v>
      </c>
      <c r="S518" t="str">
        <f>VLOOKUP(Q518,ID!$I$3:$J$100,2,FALSE)</f>
        <v>VSU</v>
      </c>
      <c r="T518" s="4" t="s">
        <v>187</v>
      </c>
      <c r="U518" t="s">
        <v>264</v>
      </c>
      <c r="V518" t="s">
        <v>524</v>
      </c>
      <c r="W518" t="s">
        <v>525</v>
      </c>
      <c r="X518" t="s">
        <v>272</v>
      </c>
      <c r="Y518" t="s">
        <v>270</v>
      </c>
      <c r="Z518" t="str">
        <f t="shared" si="91"/>
        <v>Válvula Sucção 03</v>
      </c>
      <c r="AA518"/>
      <c r="AD518" s="13" t="s">
        <v>267</v>
      </c>
      <c r="AF518" t="str">
        <f t="shared" si="103"/>
        <v>Electrobomba centrífugaVálvula Sucção</v>
      </c>
      <c r="AG518" s="28" t="str">
        <f>VLOOKUP(AF518,Imagens!$C$2:$D$42,2,FALSE)</f>
        <v>65e8cda0676b7</v>
      </c>
      <c r="AH518" t="str">
        <f>_xlfn.CONCAT(Imagens!$H$2,'registo_ativo-CDs (1)'!AG518)</f>
        <v>assets/imagens/products/65e8cda0676b7</v>
      </c>
      <c r="AI518" s="67">
        <v>45369</v>
      </c>
      <c r="AK518" s="32"/>
    </row>
    <row r="519" spans="1:37" ht="16.8" customHeight="1" x14ac:dyDescent="0.3">
      <c r="A519">
        <v>15</v>
      </c>
      <c r="B519" t="str">
        <f t="shared" si="101"/>
        <v>CD43BBG131VDE03</v>
      </c>
      <c r="C519" t="str">
        <f t="shared" si="102"/>
        <v>CD-KAT-BBG-EBC-VDE-03</v>
      </c>
      <c r="E519" t="s">
        <v>37</v>
      </c>
      <c r="F519" t="str">
        <f>VLOOKUP(E519,Localizacoes!$A$3:$B$100,2,FALSE)</f>
        <v>CD</v>
      </c>
      <c r="G519" t="str">
        <f>VLOOKUP(E519,ID!$A$3:$B$100,2,FALSE)</f>
        <v>CD</v>
      </c>
      <c r="H519" s="14" t="s">
        <v>52</v>
      </c>
      <c r="I519" t="str">
        <f>VLOOKUP(H519,Localizacoes!$C$3:$D$100,2,FALSE)</f>
        <v>KAT</v>
      </c>
      <c r="J519">
        <f>VLOOKUP(H519,ID!$C$3:$D$100,2,FALSE)</f>
        <v>43</v>
      </c>
      <c r="K519" t="s">
        <v>274</v>
      </c>
      <c r="L519" t="str">
        <f>VLOOKUP(K519,Localizacoes!$E$3:$F$100,2,FALSE)</f>
        <v>BBG</v>
      </c>
      <c r="M519" t="str">
        <f>VLOOKUP(K519,ID!$E$3:$F$100,2,FALSE)</f>
        <v>BBG</v>
      </c>
      <c r="N519" t="s">
        <v>704</v>
      </c>
      <c r="O519" t="str">
        <f>VLOOKUP(N519,Localizacoes!$G$3:$H$100,2,FALSE)</f>
        <v>EBC</v>
      </c>
      <c r="P519">
        <f>VLOOKUP(N519,ID!$G$3:$H$100,2,FALSE)</f>
        <v>131</v>
      </c>
      <c r="Q519" t="s">
        <v>279</v>
      </c>
      <c r="R519" t="str">
        <f>VLOOKUP(Q519,Localizacoes!$I$3:$J$100,2,FALSE)</f>
        <v>VDE</v>
      </c>
      <c r="S519" t="str">
        <f>VLOOKUP(Q519,ID!$I$3:$J$100,2,FALSE)</f>
        <v>VDE</v>
      </c>
      <c r="T519" s="4" t="s">
        <v>187</v>
      </c>
      <c r="U519" t="s">
        <v>264</v>
      </c>
      <c r="V519" t="s">
        <v>526</v>
      </c>
      <c r="W519" t="s">
        <v>527</v>
      </c>
      <c r="Y519" t="s">
        <v>270</v>
      </c>
      <c r="Z519" t="str">
        <f t="shared" si="91"/>
        <v>Válvula Descarga 03</v>
      </c>
      <c r="AA519"/>
      <c r="AD519" s="13" t="s">
        <v>267</v>
      </c>
      <c r="AF519" t="str">
        <f t="shared" si="103"/>
        <v>Electrobomba centrífugaVálvula Descarga</v>
      </c>
      <c r="AG519" s="28" t="str">
        <f>VLOOKUP(AF519,Imagens!$C$2:$D$42,2,FALSE)</f>
        <v>65e8cda0676b7</v>
      </c>
      <c r="AH519" t="str">
        <f>_xlfn.CONCAT(Imagens!$H$2,'registo_ativo-CDs (1)'!AG519)</f>
        <v>assets/imagens/products/65e8cda0676b7</v>
      </c>
      <c r="AI519" s="67">
        <v>45369</v>
      </c>
      <c r="AK519" s="32"/>
    </row>
    <row r="520" spans="1:37" ht="16.8" customHeight="1" x14ac:dyDescent="0.3">
      <c r="A520">
        <v>15</v>
      </c>
      <c r="B520" t="str">
        <f t="shared" si="101"/>
        <v>CD43BBG131BOM02</v>
      </c>
      <c r="C520" t="str">
        <f t="shared" si="102"/>
        <v>CD-KAT-BBG-EBC-BOM-02</v>
      </c>
      <c r="E520" t="s">
        <v>37</v>
      </c>
      <c r="F520" t="str">
        <f>VLOOKUP(E520,Localizacoes!$A$3:$B$100,2,FALSE)</f>
        <v>CD</v>
      </c>
      <c r="G520" t="str">
        <f>VLOOKUP(E520,ID!$A$3:$B$100,2,FALSE)</f>
        <v>CD</v>
      </c>
      <c r="H520" s="14" t="s">
        <v>52</v>
      </c>
      <c r="I520" t="str">
        <f>VLOOKUP(H520,Localizacoes!$C$3:$D$100,2,FALSE)</f>
        <v>KAT</v>
      </c>
      <c r="J520">
        <f>VLOOKUP(H520,ID!$C$3:$D$100,2,FALSE)</f>
        <v>43</v>
      </c>
      <c r="K520" t="s">
        <v>274</v>
      </c>
      <c r="L520" t="str">
        <f>VLOOKUP(K520,Localizacoes!$E$3:$F$100,2,FALSE)</f>
        <v>BBG</v>
      </c>
      <c r="M520" t="str">
        <f>VLOOKUP(K520,ID!$E$3:$F$100,2,FALSE)</f>
        <v>BBG</v>
      </c>
      <c r="N520" t="s">
        <v>704</v>
      </c>
      <c r="O520" t="str">
        <f>VLOOKUP(N520,Localizacoes!$G$3:$H$100,2,FALSE)</f>
        <v>EBC</v>
      </c>
      <c r="P520">
        <f>VLOOKUP(N520,ID!$G$3:$H$100,2,FALSE)</f>
        <v>131</v>
      </c>
      <c r="Q520" t="s">
        <v>150</v>
      </c>
      <c r="R520" t="str">
        <f>VLOOKUP(Q520,Localizacoes!$I$3:$J$100,2,FALSE)</f>
        <v>BOM</v>
      </c>
      <c r="S520" t="str">
        <f>VLOOKUP(Q520,ID!$I$3:$J$100,2,FALSE)</f>
        <v>BOM</v>
      </c>
      <c r="T520" s="4" t="s">
        <v>186</v>
      </c>
      <c r="U520" t="s">
        <v>264</v>
      </c>
      <c r="V520" t="s">
        <v>392</v>
      </c>
      <c r="W520" t="s">
        <v>528</v>
      </c>
      <c r="Y520" t="s">
        <v>270</v>
      </c>
      <c r="Z520" t="str">
        <f t="shared" si="91"/>
        <v>Bomba 02</v>
      </c>
      <c r="AA520"/>
      <c r="AD520" s="13" t="s">
        <v>7</v>
      </c>
      <c r="AF520" t="str">
        <f t="shared" si="103"/>
        <v>Electrobomba centrífugaBomba</v>
      </c>
      <c r="AG520" s="28" t="str">
        <f>VLOOKUP(AF520,Imagens!$C$2:$D$42,2,FALSE)</f>
        <v>65e96125c1d11</v>
      </c>
      <c r="AH520" t="str">
        <f>_xlfn.CONCAT(Imagens!$H$2,'registo_ativo-CDs (1)'!AG520)</f>
        <v>assets/imagens/products/65e96125c1d11</v>
      </c>
      <c r="AI520" s="67">
        <v>45313</v>
      </c>
      <c r="AK520" s="32"/>
    </row>
    <row r="521" spans="1:37" ht="16.8" customHeight="1" x14ac:dyDescent="0.3">
      <c r="A521">
        <v>15</v>
      </c>
      <c r="B521" t="str">
        <f t="shared" si="101"/>
        <v>CD43BBG131MOT02</v>
      </c>
      <c r="C521" t="str">
        <f t="shared" si="102"/>
        <v>CD-KAT-BBG-EBC-MOT-02</v>
      </c>
      <c r="E521" t="s">
        <v>37</v>
      </c>
      <c r="F521" t="str">
        <f>VLOOKUP(E521,Localizacoes!$A$3:$B$100,2,FALSE)</f>
        <v>CD</v>
      </c>
      <c r="G521" t="str">
        <f>VLOOKUP(E521,ID!$A$3:$B$100,2,FALSE)</f>
        <v>CD</v>
      </c>
      <c r="H521" s="14" t="s">
        <v>52</v>
      </c>
      <c r="I521" t="str">
        <f>VLOOKUP(H521,Localizacoes!$C$3:$D$100,2,FALSE)</f>
        <v>KAT</v>
      </c>
      <c r="J521">
        <f>VLOOKUP(H521,ID!$C$3:$D$100,2,FALSE)</f>
        <v>43</v>
      </c>
      <c r="K521" t="s">
        <v>274</v>
      </c>
      <c r="L521" t="str">
        <f>VLOOKUP(K521,Localizacoes!$E$3:$F$100,2,FALSE)</f>
        <v>BBG</v>
      </c>
      <c r="M521" t="str">
        <f>VLOOKUP(K521,ID!$E$3:$F$100,2,FALSE)</f>
        <v>BBG</v>
      </c>
      <c r="N521" t="s">
        <v>704</v>
      </c>
      <c r="O521" t="str">
        <f>VLOOKUP(N521,Localizacoes!$G$3:$H$100,2,FALSE)</f>
        <v>EBC</v>
      </c>
      <c r="P521">
        <f>VLOOKUP(N521,ID!$G$3:$H$100,2,FALSE)</f>
        <v>131</v>
      </c>
      <c r="Q521" t="s">
        <v>21</v>
      </c>
      <c r="R521" t="str">
        <f>VLOOKUP(Q521,Localizacoes!$I$3:$J$100,2,FALSE)</f>
        <v>MOT</v>
      </c>
      <c r="S521" t="str">
        <f>VLOOKUP(Q521,ID!$I$3:$J$100,2,FALSE)</f>
        <v>MOT</v>
      </c>
      <c r="T521" s="4" t="s">
        <v>186</v>
      </c>
      <c r="U521" t="s">
        <v>265</v>
      </c>
      <c r="V521" t="s">
        <v>392</v>
      </c>
      <c r="W521" t="s">
        <v>529</v>
      </c>
      <c r="X521" t="s">
        <v>6</v>
      </c>
      <c r="Y521" t="s">
        <v>270</v>
      </c>
      <c r="Z521" t="str">
        <f t="shared" si="91"/>
        <v>Motor 02</v>
      </c>
      <c r="AA521"/>
      <c r="AD521" s="13" t="s">
        <v>7</v>
      </c>
      <c r="AF521" t="str">
        <f t="shared" si="103"/>
        <v>Electrobomba centrífugaMotor</v>
      </c>
      <c r="AG521" s="28" t="str">
        <f>VLOOKUP(AF521,Imagens!$C$2:$D$42,2,FALSE)</f>
        <v>65d04210323a4</v>
      </c>
      <c r="AH521" t="str">
        <f>_xlfn.CONCAT(Imagens!$H$2,'registo_ativo-CDs (1)'!AG521)</f>
        <v>assets/imagens/products/65d04210323a4</v>
      </c>
      <c r="AI521" s="67">
        <v>45313</v>
      </c>
      <c r="AK521" s="32"/>
    </row>
    <row r="522" spans="1:37" ht="16.8" customHeight="1" x14ac:dyDescent="0.3">
      <c r="A522">
        <v>15</v>
      </c>
      <c r="B522" t="str">
        <f t="shared" si="101"/>
        <v>CD43BBG131QEA02</v>
      </c>
      <c r="C522" t="str">
        <f t="shared" si="102"/>
        <v>CD-KAT-BBG-EBC-QEA-02</v>
      </c>
      <c r="E522" t="s">
        <v>37</v>
      </c>
      <c r="F522" t="str">
        <f>VLOOKUP(E522,Localizacoes!$A$3:$B$100,2,FALSE)</f>
        <v>CD</v>
      </c>
      <c r="G522" t="str">
        <f>VLOOKUP(E522,ID!$A$3:$B$100,2,FALSE)</f>
        <v>CD</v>
      </c>
      <c r="H522" s="14" t="s">
        <v>52</v>
      </c>
      <c r="I522" t="str">
        <f>VLOOKUP(H522,Localizacoes!$C$3:$D$100,2,FALSE)</f>
        <v>KAT</v>
      </c>
      <c r="J522">
        <f>VLOOKUP(H522,ID!$C$3:$D$100,2,FALSE)</f>
        <v>43</v>
      </c>
      <c r="K522" t="s">
        <v>274</v>
      </c>
      <c r="L522" t="str">
        <f>VLOOKUP(K522,Localizacoes!$E$3:$F$100,2,FALSE)</f>
        <v>BBG</v>
      </c>
      <c r="M522" t="str">
        <f>VLOOKUP(K522,ID!$E$3:$F$100,2,FALSE)</f>
        <v>BBG</v>
      </c>
      <c r="N522" t="s">
        <v>704</v>
      </c>
      <c r="O522" t="str">
        <f>VLOOKUP(N522,Localizacoes!$G$3:$H$100,2,FALSE)</f>
        <v>EBC</v>
      </c>
      <c r="P522">
        <f>VLOOKUP(N522,ID!$G$3:$H$100,2,FALSE)</f>
        <v>131</v>
      </c>
      <c r="Q522" t="s">
        <v>154</v>
      </c>
      <c r="R522" t="str">
        <f>VLOOKUP(Q522,Localizacoes!$I$3:$J$100,2,FALSE)</f>
        <v>QEA</v>
      </c>
      <c r="S522" t="str">
        <f>VLOOKUP(Q522,ID!$I$3:$J$100,2,FALSE)</f>
        <v>QEA</v>
      </c>
      <c r="T522" s="4" t="s">
        <v>186</v>
      </c>
      <c r="U522" t="s">
        <v>265</v>
      </c>
      <c r="V522" t="s">
        <v>522</v>
      </c>
      <c r="W522" t="s">
        <v>523</v>
      </c>
      <c r="Y522" t="s">
        <v>270</v>
      </c>
      <c r="Z522" t="str">
        <f t="shared" si="91"/>
        <v>Quadros Eléctricos de Arranque 02</v>
      </c>
      <c r="AA522"/>
      <c r="AD522" s="13" t="s">
        <v>267</v>
      </c>
      <c r="AF522" t="str">
        <f t="shared" si="103"/>
        <v>Electrobomba centrífugaQuadros Eléctricos de Arranque</v>
      </c>
      <c r="AG522" s="28" t="str">
        <f>VLOOKUP(AF522,Imagens!$C$2:$D$42,2,FALSE)</f>
        <v>65e8d2fa35c12</v>
      </c>
      <c r="AH522" t="str">
        <f>_xlfn.CONCAT(Imagens!$H$2,'registo_ativo-CDs (1)'!AG522)</f>
        <v>assets/imagens/products/65e8d2fa35c12</v>
      </c>
      <c r="AI522" s="67">
        <v>45369</v>
      </c>
      <c r="AK522" s="32"/>
    </row>
    <row r="523" spans="1:37" ht="16.8" customHeight="1" x14ac:dyDescent="0.3">
      <c r="A523">
        <v>15</v>
      </c>
      <c r="B523" t="str">
        <f t="shared" si="101"/>
        <v>CD43BBG131VSU02</v>
      </c>
      <c r="C523" t="str">
        <f t="shared" si="102"/>
        <v>CD-KAT-BBG-EBC-VSU-02</v>
      </c>
      <c r="E523" t="s">
        <v>37</v>
      </c>
      <c r="F523" t="str">
        <f>VLOOKUP(E523,Localizacoes!$A$3:$B$100,2,FALSE)</f>
        <v>CD</v>
      </c>
      <c r="G523" t="str">
        <f>VLOOKUP(E523,ID!$A$3:$B$100,2,FALSE)</f>
        <v>CD</v>
      </c>
      <c r="H523" s="14" t="s">
        <v>52</v>
      </c>
      <c r="I523" t="str">
        <f>VLOOKUP(H523,Localizacoes!$C$3:$D$100,2,FALSE)</f>
        <v>KAT</v>
      </c>
      <c r="J523">
        <f>VLOOKUP(H523,ID!$C$3:$D$100,2,FALSE)</f>
        <v>43</v>
      </c>
      <c r="K523" t="s">
        <v>274</v>
      </c>
      <c r="L523" t="str">
        <f>VLOOKUP(K523,Localizacoes!$E$3:$F$100,2,FALSE)</f>
        <v>BBG</v>
      </c>
      <c r="M523" t="str">
        <f>VLOOKUP(K523,ID!$E$3:$F$100,2,FALSE)</f>
        <v>BBG</v>
      </c>
      <c r="N523" t="s">
        <v>704</v>
      </c>
      <c r="O523" t="str">
        <f>VLOOKUP(N523,Localizacoes!$G$3:$H$100,2,FALSE)</f>
        <v>EBC</v>
      </c>
      <c r="P523">
        <f>VLOOKUP(N523,ID!$G$3:$H$100,2,FALSE)</f>
        <v>131</v>
      </c>
      <c r="Q523" t="s">
        <v>276</v>
      </c>
      <c r="R523" t="str">
        <f>VLOOKUP(Q523,Localizacoes!$I$3:$J$100,2,FALSE)</f>
        <v>VSU</v>
      </c>
      <c r="S523" t="str">
        <f>VLOOKUP(Q523,ID!$I$3:$J$100,2,FALSE)</f>
        <v>VSU</v>
      </c>
      <c r="T523" s="4" t="s">
        <v>186</v>
      </c>
      <c r="U523" t="s">
        <v>264</v>
      </c>
      <c r="V523" t="s">
        <v>524</v>
      </c>
      <c r="W523" t="s">
        <v>530</v>
      </c>
      <c r="Y523" t="s">
        <v>270</v>
      </c>
      <c r="Z523" t="str">
        <f t="shared" si="91"/>
        <v>Válvula Sucção 02</v>
      </c>
      <c r="AA523"/>
      <c r="AD523" s="13" t="s">
        <v>267</v>
      </c>
      <c r="AF523" t="str">
        <f t="shared" si="103"/>
        <v>Electrobomba centrífugaVálvula Sucção</v>
      </c>
      <c r="AG523" s="28" t="str">
        <f>VLOOKUP(AF523,Imagens!$C$2:$D$42,2,FALSE)</f>
        <v>65e8cda0676b7</v>
      </c>
      <c r="AH523" t="str">
        <f>_xlfn.CONCAT(Imagens!$H$2,'registo_ativo-CDs (1)'!AG523)</f>
        <v>assets/imagens/products/65e8cda0676b7</v>
      </c>
      <c r="AI523" s="67">
        <v>45369</v>
      </c>
      <c r="AK523" s="32"/>
    </row>
    <row r="524" spans="1:37" ht="16.8" customHeight="1" x14ac:dyDescent="0.3">
      <c r="A524">
        <v>15</v>
      </c>
      <c r="B524" t="str">
        <f t="shared" si="101"/>
        <v>CD43BBG131VDE02</v>
      </c>
      <c r="C524" t="str">
        <f t="shared" si="102"/>
        <v>CD-KAT-BBG-EBC-VDE-02</v>
      </c>
      <c r="E524" t="s">
        <v>37</v>
      </c>
      <c r="F524" t="str">
        <f>VLOOKUP(E524,Localizacoes!$A$3:$B$100,2,FALSE)</f>
        <v>CD</v>
      </c>
      <c r="G524" t="str">
        <f>VLOOKUP(E524,ID!$A$3:$B$100,2,FALSE)</f>
        <v>CD</v>
      </c>
      <c r="H524" s="14" t="s">
        <v>52</v>
      </c>
      <c r="I524" t="str">
        <f>VLOOKUP(H524,Localizacoes!$C$3:$D$100,2,FALSE)</f>
        <v>KAT</v>
      </c>
      <c r="J524">
        <f>VLOOKUP(H524,ID!$C$3:$D$100,2,FALSE)</f>
        <v>43</v>
      </c>
      <c r="K524" t="s">
        <v>274</v>
      </c>
      <c r="L524" t="str">
        <f>VLOOKUP(K524,Localizacoes!$E$3:$F$100,2,FALSE)</f>
        <v>BBG</v>
      </c>
      <c r="M524" t="str">
        <f>VLOOKUP(K524,ID!$E$3:$F$100,2,FALSE)</f>
        <v>BBG</v>
      </c>
      <c r="N524" t="s">
        <v>704</v>
      </c>
      <c r="O524" t="str">
        <f>VLOOKUP(N524,Localizacoes!$G$3:$H$100,2,FALSE)</f>
        <v>EBC</v>
      </c>
      <c r="P524">
        <f>VLOOKUP(N524,ID!$G$3:$H$100,2,FALSE)</f>
        <v>131</v>
      </c>
      <c r="Q524" t="s">
        <v>279</v>
      </c>
      <c r="R524" t="str">
        <f>VLOOKUP(Q524,Localizacoes!$I$3:$J$100,2,FALSE)</f>
        <v>VDE</v>
      </c>
      <c r="S524" t="str">
        <f>VLOOKUP(Q524,ID!$I$3:$J$100,2,FALSE)</f>
        <v>VDE</v>
      </c>
      <c r="T524" s="4" t="s">
        <v>186</v>
      </c>
      <c r="U524" t="s">
        <v>264</v>
      </c>
      <c r="V524" t="s">
        <v>526</v>
      </c>
      <c r="W524" t="s">
        <v>531</v>
      </c>
      <c r="Y524" t="s">
        <v>270</v>
      </c>
      <c r="Z524" t="str">
        <f t="shared" si="91"/>
        <v>Válvula Descarga 02</v>
      </c>
      <c r="AA524"/>
      <c r="AD524" s="13" t="s">
        <v>267</v>
      </c>
      <c r="AF524" t="str">
        <f t="shared" si="103"/>
        <v>Electrobomba centrífugaVálvula Descarga</v>
      </c>
      <c r="AG524" s="28" t="str">
        <f>VLOOKUP(AF524,Imagens!$C$2:$D$42,2,FALSE)</f>
        <v>65e8cda0676b7</v>
      </c>
      <c r="AH524" t="str">
        <f>_xlfn.CONCAT(Imagens!$H$2,'registo_ativo-CDs (1)'!AG524)</f>
        <v>assets/imagens/products/65e8cda0676b7</v>
      </c>
      <c r="AI524" s="67">
        <v>45369</v>
      </c>
      <c r="AK524" s="32"/>
    </row>
    <row r="525" spans="1:37" ht="16.8" customHeight="1" x14ac:dyDescent="0.3">
      <c r="A525">
        <v>15</v>
      </c>
      <c r="B525" t="str">
        <f t="shared" si="101"/>
        <v>CD43HTH133BOM01</v>
      </c>
      <c r="C525" t="str">
        <f t="shared" si="102"/>
        <v>CD-KAT-HTH-EBD-BOM-01</v>
      </c>
      <c r="E525" t="s">
        <v>37</v>
      </c>
      <c r="F525" t="str">
        <f>VLOOKUP(E525,Localizacoes!$A$3:$B$100,2,FALSE)</f>
        <v>CD</v>
      </c>
      <c r="G525" t="str">
        <f>VLOOKUP(E525,ID!$A$3:$B$100,2,FALSE)</f>
        <v>CD</v>
      </c>
      <c r="H525" s="14" t="s">
        <v>52</v>
      </c>
      <c r="I525" t="str">
        <f>VLOOKUP(H525,Localizacoes!$C$3:$D$100,2,FALSE)</f>
        <v>KAT</v>
      </c>
      <c r="J525">
        <f>VLOOKUP(H525,ID!$C$3:$D$100,2,FALSE)</f>
        <v>43</v>
      </c>
      <c r="K525" t="s">
        <v>138</v>
      </c>
      <c r="L525" t="str">
        <f>VLOOKUP(K525,Localizacoes!$E$3:$F$100,2,FALSE)</f>
        <v>HTH</v>
      </c>
      <c r="M525" t="str">
        <f>VLOOKUP(K525,ID!$E$3:$F$100,2,FALSE)</f>
        <v>HTH</v>
      </c>
      <c r="N525" t="s">
        <v>662</v>
      </c>
      <c r="O525" t="str">
        <f>VLOOKUP(N525,Localizacoes!$G$3:$H$100,2,FALSE)</f>
        <v>EBD</v>
      </c>
      <c r="P525">
        <f>VLOOKUP(N525,ID!$G$3:$H$100,2,FALSE)</f>
        <v>133</v>
      </c>
      <c r="Q525" t="s">
        <v>150</v>
      </c>
      <c r="R525" t="str">
        <f>VLOOKUP(Q525,Localizacoes!$I$3:$J$100,2,FALSE)</f>
        <v>BOM</v>
      </c>
      <c r="S525" t="str">
        <f>VLOOKUP(Q525,ID!$I$3:$J$100,2,FALSE)</f>
        <v>BOM</v>
      </c>
      <c r="T525" s="4" t="s">
        <v>182</v>
      </c>
      <c r="U525" t="s">
        <v>264</v>
      </c>
      <c r="V525" t="s">
        <v>532</v>
      </c>
      <c r="W525" t="s">
        <v>533</v>
      </c>
      <c r="X525" t="s">
        <v>272</v>
      </c>
      <c r="Y525" t="s">
        <v>270</v>
      </c>
      <c r="Z525" t="str">
        <f t="shared" si="91"/>
        <v>Bomba 01</v>
      </c>
      <c r="AA525"/>
      <c r="AD525" s="13" t="s">
        <v>7</v>
      </c>
      <c r="AF525" t="str">
        <f t="shared" si="103"/>
        <v>Electrobomba Doseadora de DiafragmaBomba</v>
      </c>
      <c r="AG525" s="28" t="str">
        <f>VLOOKUP(AF525,Imagens!$C$2:$D$42,2,FALSE)</f>
        <v>65e8d1ea50af1</v>
      </c>
      <c r="AH525" t="str">
        <f>_xlfn.CONCAT(Imagens!$H$2,'registo_ativo-CDs (1)'!AG525)</f>
        <v>assets/imagens/products/65e8d1ea50af1</v>
      </c>
      <c r="AI525" s="67">
        <v>45313</v>
      </c>
      <c r="AK525" s="32"/>
    </row>
    <row r="526" spans="1:37" ht="16.8" customHeight="1" x14ac:dyDescent="0.3">
      <c r="A526">
        <v>15</v>
      </c>
      <c r="B526" t="str">
        <f t="shared" si="101"/>
        <v>CD43HTH133BOM02</v>
      </c>
      <c r="C526" t="str">
        <f t="shared" si="102"/>
        <v>CD-KAT-HTH-EBD-BOM-02</v>
      </c>
      <c r="E526" t="s">
        <v>37</v>
      </c>
      <c r="F526" t="str">
        <f>VLOOKUP(E526,Localizacoes!$A$3:$B$100,2,FALSE)</f>
        <v>CD</v>
      </c>
      <c r="G526" t="str">
        <f>VLOOKUP(E526,ID!$A$3:$B$100,2,FALSE)</f>
        <v>CD</v>
      </c>
      <c r="H526" s="14" t="s">
        <v>52</v>
      </c>
      <c r="I526" t="str">
        <f>VLOOKUP(H526,Localizacoes!$C$3:$D$100,2,FALSE)</f>
        <v>KAT</v>
      </c>
      <c r="J526">
        <f>VLOOKUP(H526,ID!$C$3:$D$100,2,FALSE)</f>
        <v>43</v>
      </c>
      <c r="K526" t="s">
        <v>138</v>
      </c>
      <c r="L526" t="str">
        <f>VLOOKUP(K526,Localizacoes!$E$3:$F$100,2,FALSE)</f>
        <v>HTH</v>
      </c>
      <c r="M526" t="str">
        <f>VLOOKUP(K526,ID!$E$3:$F$100,2,FALSE)</f>
        <v>HTH</v>
      </c>
      <c r="N526" t="s">
        <v>662</v>
      </c>
      <c r="O526" t="str">
        <f>VLOOKUP(N526,Localizacoes!$G$3:$H$100,2,FALSE)</f>
        <v>EBD</v>
      </c>
      <c r="P526">
        <f>VLOOKUP(N526,ID!$G$3:$H$100,2,FALSE)</f>
        <v>133</v>
      </c>
      <c r="Q526" t="s">
        <v>150</v>
      </c>
      <c r="R526" t="str">
        <f>VLOOKUP(Q526,Localizacoes!$I$3:$J$100,2,FALSE)</f>
        <v>BOM</v>
      </c>
      <c r="S526" t="str">
        <f>VLOOKUP(Q526,ID!$I$3:$J$100,2,FALSE)</f>
        <v>BOM</v>
      </c>
      <c r="T526" s="4" t="s">
        <v>186</v>
      </c>
      <c r="U526" t="s">
        <v>264</v>
      </c>
      <c r="V526" t="s">
        <v>532</v>
      </c>
      <c r="W526" t="s">
        <v>533</v>
      </c>
      <c r="Y526" t="s">
        <v>270</v>
      </c>
      <c r="Z526" t="str">
        <f t="shared" ref="Z526:Z589" si="106">Q526&amp;" "&amp; T526</f>
        <v>Bomba 02</v>
      </c>
      <c r="AA526"/>
      <c r="AD526" s="13" t="s">
        <v>7</v>
      </c>
      <c r="AF526" t="str">
        <f t="shared" si="103"/>
        <v>Electrobomba Doseadora de DiafragmaBomba</v>
      </c>
      <c r="AG526" s="28" t="str">
        <f>VLOOKUP(AF526,Imagens!$C$2:$D$42,2,FALSE)</f>
        <v>65e8d1ea50af1</v>
      </c>
      <c r="AH526" t="str">
        <f>_xlfn.CONCAT(Imagens!$H$2,'registo_ativo-CDs (1)'!AG526)</f>
        <v>assets/imagens/products/65e8d1ea50af1</v>
      </c>
      <c r="AI526" s="67">
        <v>45313</v>
      </c>
      <c r="AK526" s="32"/>
    </row>
    <row r="527" spans="1:37" ht="16.8" customHeight="1" x14ac:dyDescent="0.3">
      <c r="A527">
        <v>15</v>
      </c>
      <c r="B527" t="str">
        <f t="shared" si="101"/>
        <v>CD43HTH103CEN01</v>
      </c>
      <c r="C527" t="str">
        <f t="shared" si="102"/>
        <v>CD-KAT-HTH-AGI-CEN-01</v>
      </c>
      <c r="E527" t="s">
        <v>37</v>
      </c>
      <c r="F527" t="str">
        <f>VLOOKUP(E527,Localizacoes!$A$3:$B$100,2,FALSE)</f>
        <v>CD</v>
      </c>
      <c r="G527" t="str">
        <f>VLOOKUP(E527,ID!$A$3:$B$100,2,FALSE)</f>
        <v>CD</v>
      </c>
      <c r="H527" s="14" t="s">
        <v>52</v>
      </c>
      <c r="I527" t="str">
        <f>VLOOKUP(H527,Localizacoes!$C$3:$D$100,2,FALSE)</f>
        <v>KAT</v>
      </c>
      <c r="J527">
        <f>VLOOKUP(H527,ID!$C$3:$D$100,2,FALSE)</f>
        <v>43</v>
      </c>
      <c r="K527" t="s">
        <v>138</v>
      </c>
      <c r="L527" t="str">
        <f>VLOOKUP(K527,Localizacoes!$E$3:$F$100,2,FALSE)</f>
        <v>HTH</v>
      </c>
      <c r="M527" t="str">
        <f>VLOOKUP(K527,ID!$E$3:$F$100,2,FALSE)</f>
        <v>HTH</v>
      </c>
      <c r="N527" t="s">
        <v>131</v>
      </c>
      <c r="O527" t="str">
        <f>VLOOKUP(N527,Localizacoes!$G$3:$H$100,2,FALSE)</f>
        <v>AGI</v>
      </c>
      <c r="P527">
        <f>VLOOKUP(N527,ID!$G$3:$H$100,2,FALSE)</f>
        <v>103</v>
      </c>
      <c r="Q527" t="s">
        <v>333</v>
      </c>
      <c r="R527" t="str">
        <f>VLOOKUP(Q527,Localizacoes!$I$3:$J$100,2,FALSE)</f>
        <v>CEN</v>
      </c>
      <c r="S527" t="str">
        <f>VLOOKUP(Q527,ID!$I$3:$J$100,2,FALSE)</f>
        <v>CEN</v>
      </c>
      <c r="T527" s="4" t="s">
        <v>182</v>
      </c>
      <c r="U527" t="s">
        <v>264</v>
      </c>
      <c r="V527" t="s">
        <v>534</v>
      </c>
      <c r="W527" t="s">
        <v>535</v>
      </c>
      <c r="Y527" t="s">
        <v>270</v>
      </c>
      <c r="Z527" t="str">
        <f t="shared" si="106"/>
        <v>Caixa de Engrenagem 01</v>
      </c>
      <c r="AA527"/>
      <c r="AD527" s="13" t="s">
        <v>7</v>
      </c>
      <c r="AF527" t="str">
        <f t="shared" si="103"/>
        <v>Agitador  Caixa de Engrenagem</v>
      </c>
      <c r="AG527" s="28" t="str">
        <f>VLOOKUP(AF527,Imagens!$C$2:$D$42,2,FALSE)</f>
        <v>65e8e1a7e4bd4</v>
      </c>
      <c r="AH527" t="str">
        <f>_xlfn.CONCAT(Imagens!$H$2,'registo_ativo-CDs (1)'!AG527)</f>
        <v>assets/imagens/products/65e8e1a7e4bd4</v>
      </c>
      <c r="AI527" s="67">
        <v>45313</v>
      </c>
      <c r="AK527" s="32"/>
    </row>
    <row r="528" spans="1:37" ht="16.8" customHeight="1" x14ac:dyDescent="0.3">
      <c r="A528">
        <v>15</v>
      </c>
      <c r="B528" t="str">
        <f t="shared" si="101"/>
        <v>CD43HTH103CEN02</v>
      </c>
      <c r="C528" t="str">
        <f t="shared" si="102"/>
        <v>CD-KAT-HTH-AGI-CEN-02</v>
      </c>
      <c r="E528" t="s">
        <v>37</v>
      </c>
      <c r="F528" t="str">
        <f>VLOOKUP(E528,Localizacoes!$A$3:$B$100,2,FALSE)</f>
        <v>CD</v>
      </c>
      <c r="G528" t="str">
        <f>VLOOKUP(E528,ID!$A$3:$B$100,2,FALSE)</f>
        <v>CD</v>
      </c>
      <c r="H528" s="14" t="s">
        <v>52</v>
      </c>
      <c r="I528" t="str">
        <f>VLOOKUP(H528,Localizacoes!$C$3:$D$100,2,FALSE)</f>
        <v>KAT</v>
      </c>
      <c r="J528">
        <f>VLOOKUP(H528,ID!$C$3:$D$100,2,FALSE)</f>
        <v>43</v>
      </c>
      <c r="K528" t="s">
        <v>138</v>
      </c>
      <c r="L528" t="str">
        <f>VLOOKUP(K528,Localizacoes!$E$3:$F$100,2,FALSE)</f>
        <v>HTH</v>
      </c>
      <c r="M528" t="str">
        <f>VLOOKUP(K528,ID!$E$3:$F$100,2,FALSE)</f>
        <v>HTH</v>
      </c>
      <c r="N528" t="s">
        <v>131</v>
      </c>
      <c r="O528" t="str">
        <f>VLOOKUP(N528,Localizacoes!$G$3:$H$100,2,FALSE)</f>
        <v>AGI</v>
      </c>
      <c r="P528">
        <f>VLOOKUP(N528,ID!$G$3:$H$100,2,FALSE)</f>
        <v>103</v>
      </c>
      <c r="Q528" t="s">
        <v>333</v>
      </c>
      <c r="R528" t="str">
        <f>VLOOKUP(Q528,Localizacoes!$I$3:$J$100,2,FALSE)</f>
        <v>CEN</v>
      </c>
      <c r="S528" t="str">
        <f>VLOOKUP(Q528,ID!$I$3:$J$100,2,FALSE)</f>
        <v>CEN</v>
      </c>
      <c r="T528" s="4" t="s">
        <v>186</v>
      </c>
      <c r="U528" t="s">
        <v>264</v>
      </c>
      <c r="V528" t="s">
        <v>534</v>
      </c>
      <c r="W528" t="s">
        <v>535</v>
      </c>
      <c r="Y528" t="s">
        <v>270</v>
      </c>
      <c r="Z528" t="str">
        <f t="shared" si="106"/>
        <v>Caixa de Engrenagem 02</v>
      </c>
      <c r="AA528"/>
      <c r="AD528" s="13" t="s">
        <v>7</v>
      </c>
      <c r="AF528" t="str">
        <f t="shared" si="103"/>
        <v>Agitador  Caixa de Engrenagem</v>
      </c>
      <c r="AG528" s="28" t="str">
        <f>VLOOKUP(AF528,Imagens!$C$2:$D$42,2,FALSE)</f>
        <v>65e8e1a7e4bd4</v>
      </c>
      <c r="AH528" t="str">
        <f>_xlfn.CONCAT(Imagens!$H$2,'registo_ativo-CDs (1)'!AG528)</f>
        <v>assets/imagens/products/65e8e1a7e4bd4</v>
      </c>
      <c r="AI528" s="67">
        <v>45313</v>
      </c>
      <c r="AK528" s="32"/>
    </row>
    <row r="529" spans="1:37" ht="16.8" customHeight="1" x14ac:dyDescent="0.3">
      <c r="A529">
        <v>15</v>
      </c>
      <c r="B529" t="str">
        <f t="shared" si="101"/>
        <v>CD43HTH152QEA01</v>
      </c>
      <c r="C529" t="str">
        <f t="shared" si="102"/>
        <v>CD-KAT-HTH-QEL-QEA-01</v>
      </c>
      <c r="E529" t="s">
        <v>37</v>
      </c>
      <c r="F529" t="str">
        <f>VLOOKUP(E529,Localizacoes!$A$3:$B$100,2,FALSE)</f>
        <v>CD</v>
      </c>
      <c r="G529" t="str">
        <f>VLOOKUP(E529,ID!$A$3:$B$100,2,FALSE)</f>
        <v>CD</v>
      </c>
      <c r="H529" s="14" t="s">
        <v>52</v>
      </c>
      <c r="I529" t="str">
        <f>VLOOKUP(H529,Localizacoes!$C$3:$D$100,2,FALSE)</f>
        <v>KAT</v>
      </c>
      <c r="J529">
        <f>VLOOKUP(H529,ID!$C$3:$D$100,2,FALSE)</f>
        <v>43</v>
      </c>
      <c r="K529" t="s">
        <v>138</v>
      </c>
      <c r="L529" t="str">
        <f>VLOOKUP(K529,Localizacoes!$E$3:$F$100,2,FALSE)</f>
        <v>HTH</v>
      </c>
      <c r="M529" t="str">
        <f>VLOOKUP(K529,ID!$E$3:$F$100,2,FALSE)</f>
        <v>HTH</v>
      </c>
      <c r="N529" t="s">
        <v>286</v>
      </c>
      <c r="O529" t="str">
        <f>VLOOKUP(N529,Localizacoes!$G$3:$H$100,2,FALSE)</f>
        <v>QEL</v>
      </c>
      <c r="P529">
        <f>VLOOKUP(N529,ID!$G$3:$H$100,2,FALSE)</f>
        <v>152</v>
      </c>
      <c r="Q529" t="s">
        <v>154</v>
      </c>
      <c r="R529" t="str">
        <f>VLOOKUP(Q529,Localizacoes!$I$3:$J$100,2,FALSE)</f>
        <v>QEA</v>
      </c>
      <c r="S529" t="str">
        <f>VLOOKUP(Q529,ID!$I$3:$J$100,2,FALSE)</f>
        <v>QEA</v>
      </c>
      <c r="T529" s="4" t="s">
        <v>182</v>
      </c>
      <c r="U529" t="s">
        <v>265</v>
      </c>
      <c r="Y529" t="s">
        <v>270</v>
      </c>
      <c r="Z529" t="str">
        <f t="shared" si="106"/>
        <v>Quadros Eléctricos de Arranque 01</v>
      </c>
      <c r="AA529"/>
      <c r="AD529" s="13" t="s">
        <v>267</v>
      </c>
      <c r="AF529" t="str">
        <f t="shared" si="103"/>
        <v>Quadro EléctricoQuadros Eléctricos de Arranque</v>
      </c>
      <c r="AG529" s="28" t="str">
        <f>VLOOKUP(AF529,Imagens!$C$2:$D$42,2,FALSE)</f>
        <v>65e8d2fa35c12</v>
      </c>
      <c r="AH529" t="str">
        <f>_xlfn.CONCAT(Imagens!$H$2,'registo_ativo-CDs (1)'!AG529)</f>
        <v>assets/imagens/products/65e8d2fa35c12</v>
      </c>
      <c r="AI529" s="67">
        <v>45369</v>
      </c>
      <c r="AK529" s="32"/>
    </row>
    <row r="530" spans="1:37" ht="16.8" customHeight="1" x14ac:dyDescent="0.3">
      <c r="A530">
        <v>15</v>
      </c>
      <c r="B530" t="str">
        <f t="shared" si="101"/>
        <v>CD43CAN152QBT01</v>
      </c>
      <c r="C530" t="str">
        <f t="shared" si="102"/>
        <v>CD-KAT-CAN-QEL-QBT-01</v>
      </c>
      <c r="E530" t="s">
        <v>37</v>
      </c>
      <c r="F530" t="str">
        <f>VLOOKUP(E530,Localizacoes!$A$3:$B$100,2,FALSE)</f>
        <v>CD</v>
      </c>
      <c r="G530" t="str">
        <f>VLOOKUP(E530,ID!$A$3:$B$100,2,FALSE)</f>
        <v>CD</v>
      </c>
      <c r="H530" s="14" t="s">
        <v>52</v>
      </c>
      <c r="I530" t="str">
        <f>VLOOKUP(H530,Localizacoes!$C$3:$D$100,2,FALSE)</f>
        <v>KAT</v>
      </c>
      <c r="J530">
        <f>VLOOKUP(H530,ID!$C$3:$D$100,2,FALSE)</f>
        <v>43</v>
      </c>
      <c r="K530" t="s">
        <v>101</v>
      </c>
      <c r="L530" t="str">
        <f>VLOOKUP(K530,Localizacoes!$E$3:$F$100,2,FALSE)</f>
        <v>CAN</v>
      </c>
      <c r="M530" t="str">
        <f>VLOOKUP(K530,ID!$E$3:$F$100,2,FALSE)</f>
        <v>CAN</v>
      </c>
      <c r="N530" t="s">
        <v>286</v>
      </c>
      <c r="O530" t="str">
        <f>VLOOKUP(N530,Localizacoes!$G$3:$H$100,2,FALSE)</f>
        <v>QEL</v>
      </c>
      <c r="P530">
        <f>VLOOKUP(N530,ID!$G$3:$H$100,2,FALSE)</f>
        <v>152</v>
      </c>
      <c r="Q530" t="s">
        <v>443</v>
      </c>
      <c r="R530" t="str">
        <f>VLOOKUP(Q530,Localizacoes!$I$3:$J$100,2,FALSE)</f>
        <v>QBT</v>
      </c>
      <c r="S530" t="str">
        <f>VLOOKUP(Q530,ID!$I$3:$J$100,2,FALSE)</f>
        <v>QBT</v>
      </c>
      <c r="T530" s="4" t="s">
        <v>182</v>
      </c>
      <c r="U530" t="s">
        <v>265</v>
      </c>
      <c r="Y530" t="s">
        <v>270</v>
      </c>
      <c r="Z530" t="str">
        <f t="shared" si="106"/>
        <v>Quadro de Baixa Tensão 01</v>
      </c>
      <c r="AA530"/>
      <c r="AD530" s="13" t="s">
        <v>267</v>
      </c>
      <c r="AF530" t="str">
        <f t="shared" si="103"/>
        <v>Quadro EléctricoQuadro de Baixa Tensão</v>
      </c>
      <c r="AG530" s="28" t="str">
        <f>VLOOKUP(AF530,Imagens!$C$2:$D$42,2,FALSE)</f>
        <v>65d1346bf3835</v>
      </c>
      <c r="AH530" t="str">
        <f>_xlfn.CONCAT(Imagens!$H$2,'registo_ativo-CDs (1)'!AG530)</f>
        <v>assets/imagens/products/65d1346bf3835</v>
      </c>
      <c r="AI530" s="67">
        <v>45369</v>
      </c>
      <c r="AK530" s="32"/>
    </row>
    <row r="531" spans="1:37" ht="16.8" customHeight="1" x14ac:dyDescent="0.3">
      <c r="A531">
        <v>15</v>
      </c>
      <c r="B531" t="str">
        <f t="shared" si="101"/>
        <v>CD43CAN152QBT02</v>
      </c>
      <c r="C531" t="str">
        <f t="shared" si="102"/>
        <v>CD-KAT-CAN-QEL-QBT-02</v>
      </c>
      <c r="E531" t="s">
        <v>37</v>
      </c>
      <c r="F531" t="str">
        <f>VLOOKUP(E531,Localizacoes!$A$3:$B$100,2,FALSE)</f>
        <v>CD</v>
      </c>
      <c r="G531" t="str">
        <f>VLOOKUP(E531,ID!$A$3:$B$100,2,FALSE)</f>
        <v>CD</v>
      </c>
      <c r="H531" s="14" t="s">
        <v>52</v>
      </c>
      <c r="I531" t="str">
        <f>VLOOKUP(H531,Localizacoes!$C$3:$D$100,2,FALSE)</f>
        <v>KAT</v>
      </c>
      <c r="J531">
        <f>VLOOKUP(H531,ID!$C$3:$D$100,2,FALSE)</f>
        <v>43</v>
      </c>
      <c r="K531" t="s">
        <v>101</v>
      </c>
      <c r="L531" t="str">
        <f>VLOOKUP(K531,Localizacoes!$E$3:$F$100,2,FALSE)</f>
        <v>CAN</v>
      </c>
      <c r="M531" t="str">
        <f>VLOOKUP(K531,ID!$E$3:$F$100,2,FALSE)</f>
        <v>CAN</v>
      </c>
      <c r="N531" t="s">
        <v>286</v>
      </c>
      <c r="O531" t="str">
        <f>VLOOKUP(N531,Localizacoes!$G$3:$H$100,2,FALSE)</f>
        <v>QEL</v>
      </c>
      <c r="P531">
        <f>VLOOKUP(N531,ID!$G$3:$H$100,2,FALSE)</f>
        <v>152</v>
      </c>
      <c r="Q531" t="s">
        <v>443</v>
      </c>
      <c r="R531" t="str">
        <f>VLOOKUP(Q531,Localizacoes!$I$3:$J$100,2,FALSE)</f>
        <v>QBT</v>
      </c>
      <c r="S531" t="str">
        <f>VLOOKUP(Q531,ID!$I$3:$J$100,2,FALSE)</f>
        <v>QBT</v>
      </c>
      <c r="T531" s="4" t="s">
        <v>186</v>
      </c>
      <c r="U531" t="s">
        <v>265</v>
      </c>
      <c r="Y531" t="s">
        <v>270</v>
      </c>
      <c r="Z531" t="str">
        <f t="shared" si="106"/>
        <v>Quadro de Baixa Tensão 02</v>
      </c>
      <c r="AA531"/>
      <c r="AD531" s="13" t="s">
        <v>267</v>
      </c>
      <c r="AF531" t="str">
        <f t="shared" si="103"/>
        <v>Quadro EléctricoQuadro de Baixa Tensão</v>
      </c>
      <c r="AG531" s="28" t="str">
        <f>VLOOKUP(AF531,Imagens!$C$2:$D$42,2,FALSE)</f>
        <v>65d1346bf3835</v>
      </c>
      <c r="AH531" t="str">
        <f>_xlfn.CONCAT(Imagens!$H$2,'registo_ativo-CDs (1)'!AG531)</f>
        <v>assets/imagens/products/65d1346bf3835</v>
      </c>
      <c r="AI531" s="67">
        <v>45369</v>
      </c>
      <c r="AK531" s="32"/>
    </row>
    <row r="532" spans="1:37" ht="16.8" customHeight="1" x14ac:dyDescent="0.3">
      <c r="A532">
        <v>15</v>
      </c>
      <c r="B532" t="str">
        <f t="shared" si="101"/>
        <v>CD43BBG152QBT01</v>
      </c>
      <c r="C532" t="str">
        <f t="shared" si="102"/>
        <v>CD-KAT-BBG-QEL-QBT-01</v>
      </c>
      <c r="E532" t="s">
        <v>37</v>
      </c>
      <c r="F532" t="str">
        <f>VLOOKUP(E532,Localizacoes!$A$3:$B$100,2,FALSE)</f>
        <v>CD</v>
      </c>
      <c r="G532" t="str">
        <f>VLOOKUP(E532,ID!$A$3:$B$100,2,FALSE)</f>
        <v>CD</v>
      </c>
      <c r="H532" s="14" t="s">
        <v>52</v>
      </c>
      <c r="I532" t="str">
        <f>VLOOKUP(H532,Localizacoes!$C$3:$D$100,2,FALSE)</f>
        <v>KAT</v>
      </c>
      <c r="J532">
        <f>VLOOKUP(H532,ID!$C$3:$D$100,2,FALSE)</f>
        <v>43</v>
      </c>
      <c r="K532" t="s">
        <v>274</v>
      </c>
      <c r="L532" t="str">
        <f>VLOOKUP(K532,Localizacoes!$E$3:$F$100,2,FALSE)</f>
        <v>BBG</v>
      </c>
      <c r="M532" t="str">
        <f>VLOOKUP(K532,ID!$E$3:$F$100,2,FALSE)</f>
        <v>BBG</v>
      </c>
      <c r="N532" t="s">
        <v>286</v>
      </c>
      <c r="O532" t="str">
        <f>VLOOKUP(N532,Localizacoes!$G$3:$H$100,2,FALSE)</f>
        <v>QEL</v>
      </c>
      <c r="P532">
        <f>VLOOKUP(N532,ID!$G$3:$H$100,2,FALSE)</f>
        <v>152</v>
      </c>
      <c r="Q532" t="s">
        <v>443</v>
      </c>
      <c r="R532" t="str">
        <f>VLOOKUP(Q532,Localizacoes!$I$3:$J$100,2,FALSE)</f>
        <v>QBT</v>
      </c>
      <c r="S532" t="str">
        <f>VLOOKUP(Q532,ID!$I$3:$J$100,2,FALSE)</f>
        <v>QBT</v>
      </c>
      <c r="T532" s="4" t="s">
        <v>182</v>
      </c>
      <c r="U532" t="s">
        <v>265</v>
      </c>
      <c r="X532" t="s">
        <v>6</v>
      </c>
      <c r="Y532" t="s">
        <v>270</v>
      </c>
      <c r="Z532" t="str">
        <f t="shared" si="106"/>
        <v>Quadro de Baixa Tensão 01</v>
      </c>
      <c r="AA532"/>
      <c r="AD532" s="13" t="s">
        <v>267</v>
      </c>
      <c r="AF532" t="str">
        <f t="shared" si="103"/>
        <v>Quadro EléctricoQuadro de Baixa Tensão</v>
      </c>
      <c r="AG532" s="28" t="str">
        <f>VLOOKUP(AF532,Imagens!$C$2:$D$42,2,FALSE)</f>
        <v>65d1346bf3835</v>
      </c>
      <c r="AH532" t="str">
        <f>_xlfn.CONCAT(Imagens!$H$2,'registo_ativo-CDs (1)'!AG532)</f>
        <v>assets/imagens/products/65d1346bf3835</v>
      </c>
      <c r="AI532" s="67">
        <v>45369</v>
      </c>
      <c r="AK532" s="32"/>
    </row>
    <row r="533" spans="1:37" ht="16.8" customHeight="1" x14ac:dyDescent="0.3">
      <c r="A533">
        <v>15</v>
      </c>
      <c r="B533" t="str">
        <f t="shared" si="101"/>
        <v>CD43ILU152QBT01</v>
      </c>
      <c r="C533" t="str">
        <f t="shared" si="102"/>
        <v>CD-KAT-ILU-QEL-QBT-01</v>
      </c>
      <c r="E533" t="s">
        <v>37</v>
      </c>
      <c r="F533" t="str">
        <f>VLOOKUP(E533,Localizacoes!$A$3:$B$100,2,FALSE)</f>
        <v>CD</v>
      </c>
      <c r="G533" t="str">
        <f>VLOOKUP(E533,ID!$A$3:$B$100,2,FALSE)</f>
        <v>CD</v>
      </c>
      <c r="H533" s="14" t="s">
        <v>52</v>
      </c>
      <c r="I533" t="str">
        <f>VLOOKUP(H533,Localizacoes!$C$3:$D$100,2,FALSE)</f>
        <v>KAT</v>
      </c>
      <c r="J533">
        <f>VLOOKUP(H533,ID!$C$3:$D$100,2,FALSE)</f>
        <v>43</v>
      </c>
      <c r="K533" t="s">
        <v>141</v>
      </c>
      <c r="L533" t="str">
        <f>VLOOKUP(K533,Localizacoes!$E$3:$F$100,2,FALSE)</f>
        <v>ILU</v>
      </c>
      <c r="M533" t="str">
        <f>VLOOKUP(K533,ID!$E$3:$F$100,2,FALSE)</f>
        <v>ILU</v>
      </c>
      <c r="N533" t="s">
        <v>286</v>
      </c>
      <c r="O533" t="str">
        <f>VLOOKUP(N533,Localizacoes!$G$3:$H$100,2,FALSE)</f>
        <v>QEL</v>
      </c>
      <c r="P533">
        <f>VLOOKUP(N533,ID!$G$3:$H$100,2,FALSE)</f>
        <v>152</v>
      </c>
      <c r="Q533" t="s">
        <v>443</v>
      </c>
      <c r="R533" t="str">
        <f>VLOOKUP(Q533,Localizacoes!$I$3:$J$100,2,FALSE)</f>
        <v>QBT</v>
      </c>
      <c r="S533" t="str">
        <f>VLOOKUP(Q533,ID!$I$3:$J$100,2,FALSE)</f>
        <v>QBT</v>
      </c>
      <c r="T533" s="4" t="s">
        <v>182</v>
      </c>
      <c r="U533" t="s">
        <v>265</v>
      </c>
      <c r="Y533" t="s">
        <v>270</v>
      </c>
      <c r="Z533" t="str">
        <f t="shared" si="106"/>
        <v>Quadro de Baixa Tensão 01</v>
      </c>
      <c r="AA533"/>
      <c r="AD533" s="13" t="s">
        <v>267</v>
      </c>
      <c r="AF533" t="str">
        <f t="shared" si="103"/>
        <v>Quadro EléctricoQuadro de Baixa Tensão</v>
      </c>
      <c r="AG533" s="28" t="str">
        <f>VLOOKUP(AF533,Imagens!$C$2:$D$42,2,FALSE)</f>
        <v>65d1346bf3835</v>
      </c>
      <c r="AH533" t="str">
        <f>_xlfn.CONCAT(Imagens!$H$2,'registo_ativo-CDs (1)'!AG533)</f>
        <v>assets/imagens/products/65d1346bf3835</v>
      </c>
      <c r="AI533" s="67">
        <v>45369</v>
      </c>
      <c r="AK533" s="32"/>
    </row>
    <row r="534" spans="1:37" ht="16.8" customHeight="1" x14ac:dyDescent="0.3">
      <c r="A534">
        <v>15</v>
      </c>
      <c r="B534" t="str">
        <f t="shared" si="101"/>
        <v>CD43ILU164QBT01</v>
      </c>
      <c r="C534" t="str">
        <f t="shared" si="102"/>
        <v>CD-KAT-ILU-SIL-QBT-01</v>
      </c>
      <c r="E534" t="s">
        <v>37</v>
      </c>
      <c r="F534" t="str">
        <f>VLOOKUP(E534,Localizacoes!$A$3:$B$100,2,FALSE)</f>
        <v>CD</v>
      </c>
      <c r="G534" t="str">
        <f>VLOOKUP(E534,ID!$A$3:$B$100,2,FALSE)</f>
        <v>CD</v>
      </c>
      <c r="H534" s="14" t="s">
        <v>52</v>
      </c>
      <c r="I534" t="str">
        <f>VLOOKUP(H534,Localizacoes!$C$3:$D$100,2,FALSE)</f>
        <v>KAT</v>
      </c>
      <c r="J534">
        <f>VLOOKUP(H534,ID!$C$3:$D$100,2,FALSE)</f>
        <v>43</v>
      </c>
      <c r="K534" t="s">
        <v>141</v>
      </c>
      <c r="L534" t="str">
        <f>VLOOKUP(K534,Localizacoes!$E$3:$F$100,2,FALSE)</f>
        <v>ILU</v>
      </c>
      <c r="M534" t="str">
        <f>VLOOKUP(K534,ID!$E$3:$F$100,2,FALSE)</f>
        <v>ILU</v>
      </c>
      <c r="N534" t="s">
        <v>688</v>
      </c>
      <c r="O534" t="str">
        <f>VLOOKUP(N534,Localizacoes!$G$3:$H$100,2,FALSE)</f>
        <v>SIL</v>
      </c>
      <c r="P534">
        <f>VLOOKUP(N534,ID!$G$3:$H$100,2,FALSE)</f>
        <v>164</v>
      </c>
      <c r="Q534" t="s">
        <v>443</v>
      </c>
      <c r="R534" t="str">
        <f>VLOOKUP(Q534,Localizacoes!$I$3:$J$100,2,FALSE)</f>
        <v>QBT</v>
      </c>
      <c r="S534" t="str">
        <f>VLOOKUP(Q534,ID!$I$3:$J$100,2,FALSE)</f>
        <v>QBT</v>
      </c>
      <c r="T534" s="4" t="s">
        <v>182</v>
      </c>
      <c r="U534" t="s">
        <v>265</v>
      </c>
      <c r="Y534" t="s">
        <v>270</v>
      </c>
      <c r="Z534" t="str">
        <f t="shared" si="106"/>
        <v>Quadro de Baixa Tensão 01</v>
      </c>
      <c r="AA534"/>
      <c r="AD534" s="13" t="s">
        <v>267</v>
      </c>
      <c r="AF534" t="str">
        <f t="shared" si="103"/>
        <v>Sistema de IluminaçãoQuadro de Baixa Tensão</v>
      </c>
      <c r="AG534" s="28" t="str">
        <f>VLOOKUP(AF534,Imagens!$C$2:$D$42,2,FALSE)</f>
        <v>65d1346bf3835</v>
      </c>
      <c r="AH534" t="str">
        <f>_xlfn.CONCAT(Imagens!$H$2,'registo_ativo-CDs (1)'!AG534)</f>
        <v>assets/imagens/products/65d1346bf3835</v>
      </c>
      <c r="AI534" s="67">
        <v>45369</v>
      </c>
      <c r="AK534" s="32"/>
    </row>
    <row r="535" spans="1:37" ht="16.8" customHeight="1" x14ac:dyDescent="0.3">
      <c r="A535">
        <v>15</v>
      </c>
      <c r="B535" t="str">
        <f t="shared" si="101"/>
        <v>CD43CAN152CAN01</v>
      </c>
      <c r="C535" t="str">
        <f t="shared" si="102"/>
        <v>CD-KAT-CAN-QEL-CAN-01</v>
      </c>
      <c r="E535" t="s">
        <v>37</v>
      </c>
      <c r="F535" t="str">
        <f>VLOOKUP(E535,Localizacoes!$A$3:$B$100,2,FALSE)</f>
        <v>CD</v>
      </c>
      <c r="G535" t="str">
        <f>VLOOKUP(E535,ID!$A$3:$B$100,2,FALSE)</f>
        <v>CD</v>
      </c>
      <c r="H535" s="14" t="s">
        <v>52</v>
      </c>
      <c r="I535" t="str">
        <f>VLOOKUP(H535,Localizacoes!$C$3:$D$100,2,FALSE)</f>
        <v>KAT</v>
      </c>
      <c r="J535">
        <f>VLOOKUP(H535,ID!$C$3:$D$100,2,FALSE)</f>
        <v>43</v>
      </c>
      <c r="K535" t="s">
        <v>101</v>
      </c>
      <c r="L535" t="str">
        <f>VLOOKUP(K535,Localizacoes!$E$3:$F$100,2,FALSE)</f>
        <v>CAN</v>
      </c>
      <c r="M535" t="str">
        <f>VLOOKUP(K535,ID!$E$3:$F$100,2,FALSE)</f>
        <v>CAN</v>
      </c>
      <c r="N535" t="s">
        <v>286</v>
      </c>
      <c r="O535" t="str">
        <f>VLOOKUP(N535,Localizacoes!$G$3:$H$100,2,FALSE)</f>
        <v>QEL</v>
      </c>
      <c r="P535">
        <f>VLOOKUP(N535,ID!$G$3:$H$100,2,FALSE)</f>
        <v>152</v>
      </c>
      <c r="Q535" t="s">
        <v>101</v>
      </c>
      <c r="R535" t="str">
        <f>VLOOKUP(Q535,Localizacoes!$I$3:$J$100,2,FALSE)</f>
        <v>CAN</v>
      </c>
      <c r="S535" t="str">
        <f>VLOOKUP(Q535,ID!$I$3:$J$100,2,FALSE)</f>
        <v>CAN</v>
      </c>
      <c r="T535" s="4" t="s">
        <v>182</v>
      </c>
      <c r="U535" t="s">
        <v>265</v>
      </c>
      <c r="Y535" t="s">
        <v>270</v>
      </c>
      <c r="Z535" t="str">
        <f t="shared" si="106"/>
        <v>Canalização Eléctrica 01</v>
      </c>
      <c r="AA535"/>
      <c r="AD535" s="13" t="s">
        <v>266</v>
      </c>
      <c r="AF535" t="str">
        <f t="shared" si="103"/>
        <v>Quadro EléctricoCanalização Eléctrica</v>
      </c>
      <c r="AG535" s="28" t="str">
        <f>VLOOKUP(AF535,Imagens!$C$2:$D$42,2,FALSE)</f>
        <v>65e8e4bb71249</v>
      </c>
      <c r="AH535" t="str">
        <f>_xlfn.CONCAT(Imagens!$H$2,'registo_ativo-CDs (1)'!AG535)</f>
        <v>assets/imagens/products/65e8e4bb71249</v>
      </c>
      <c r="AI535" s="67">
        <v>45453</v>
      </c>
      <c r="AK535" s="32"/>
    </row>
    <row r="536" spans="1:37" ht="16.8" customHeight="1" x14ac:dyDescent="0.3">
      <c r="A536">
        <v>15</v>
      </c>
      <c r="B536" t="str">
        <f t="shared" si="101"/>
        <v>CD43CAN152QEI01</v>
      </c>
      <c r="C536" t="str">
        <f t="shared" si="102"/>
        <v>CD-KAT-CAN-QEL-QEI-01</v>
      </c>
      <c r="E536" t="s">
        <v>37</v>
      </c>
      <c r="F536" t="str">
        <f>VLOOKUP(E536,Localizacoes!$A$3:$B$100,2,FALSE)</f>
        <v>CD</v>
      </c>
      <c r="G536" t="str">
        <f>VLOOKUP(E536,ID!$A$3:$B$100,2,FALSE)</f>
        <v>CD</v>
      </c>
      <c r="H536" s="14" t="s">
        <v>52</v>
      </c>
      <c r="I536" t="str">
        <f>VLOOKUP(H536,Localizacoes!$C$3:$D$100,2,FALSE)</f>
        <v>KAT</v>
      </c>
      <c r="J536">
        <f>VLOOKUP(H536,ID!$C$3:$D$100,2,FALSE)</f>
        <v>43</v>
      </c>
      <c r="K536" t="s">
        <v>101</v>
      </c>
      <c r="L536" t="str">
        <f>VLOOKUP(K536,Localizacoes!$E$3:$F$100,2,FALSE)</f>
        <v>CAN</v>
      </c>
      <c r="M536" t="str">
        <f>VLOOKUP(K536,ID!$E$3:$F$100,2,FALSE)</f>
        <v>CAN</v>
      </c>
      <c r="N536" t="s">
        <v>286</v>
      </c>
      <c r="O536" t="str">
        <f>VLOOKUP(N536,Localizacoes!$G$3:$H$100,2,FALSE)</f>
        <v>QEL</v>
      </c>
      <c r="P536">
        <f>VLOOKUP(N536,ID!$G$3:$H$100,2,FALSE)</f>
        <v>152</v>
      </c>
      <c r="Q536" t="s">
        <v>446</v>
      </c>
      <c r="R536" t="str">
        <f>VLOOKUP(Q536,Localizacoes!$I$3:$J$100,2,FALSE)</f>
        <v>QEI</v>
      </c>
      <c r="S536" t="str">
        <f>VLOOKUP(Q536,ID!$I$3:$J$100,2,FALSE)</f>
        <v>QEI</v>
      </c>
      <c r="T536" s="4" t="s">
        <v>182</v>
      </c>
      <c r="U536" t="s">
        <v>265</v>
      </c>
      <c r="Y536" t="s">
        <v>270</v>
      </c>
      <c r="Z536" t="str">
        <f t="shared" si="106"/>
        <v>Quadro Eléctrico de Instrumentação 01</v>
      </c>
      <c r="AA536"/>
      <c r="AD536" s="13" t="s">
        <v>267</v>
      </c>
      <c r="AF536" t="str">
        <f t="shared" si="103"/>
        <v>Quadro EléctricoQuadro Eléctrico de Instrumentação</v>
      </c>
      <c r="AG536" s="28" t="str">
        <f>VLOOKUP(AF536,Imagens!$C$2:$D$42,2,FALSE)</f>
        <v>65d1346bf3835</v>
      </c>
      <c r="AH536" t="str">
        <f>_xlfn.CONCAT(Imagens!$H$2,'registo_ativo-CDs (1)'!AG536)</f>
        <v>assets/imagens/products/65d1346bf3835</v>
      </c>
      <c r="AI536" s="67">
        <v>45369</v>
      </c>
      <c r="AK536" s="32"/>
    </row>
    <row r="537" spans="1:37" ht="16.8" customHeight="1" x14ac:dyDescent="0.3">
      <c r="A537">
        <v>15</v>
      </c>
      <c r="B537" t="str">
        <f t="shared" si="101"/>
        <v>CD43BBG146MCD01</v>
      </c>
      <c r="C537" t="str">
        <f t="shared" si="102"/>
        <v>CD-KAT-BBG-MDD-MCD-01</v>
      </c>
      <c r="E537" t="s">
        <v>37</v>
      </c>
      <c r="F537" t="str">
        <f>VLOOKUP(E537,Localizacoes!$A$3:$B$100,2,FALSE)</f>
        <v>CD</v>
      </c>
      <c r="G537" t="str">
        <f>VLOOKUP(E537,ID!$A$3:$B$100,2,FALSE)</f>
        <v>CD</v>
      </c>
      <c r="H537" s="14" t="s">
        <v>52</v>
      </c>
      <c r="I537" t="str">
        <f>VLOOKUP(H537,Localizacoes!$C$3:$D$100,2,FALSE)</f>
        <v>KAT</v>
      </c>
      <c r="J537">
        <f>VLOOKUP(H537,ID!$C$3:$D$100,2,FALSE)</f>
        <v>43</v>
      </c>
      <c r="K537" t="s">
        <v>274</v>
      </c>
      <c r="L537" t="str">
        <f>VLOOKUP(K537,Localizacoes!$E$3:$F$100,2,FALSE)</f>
        <v>BBG</v>
      </c>
      <c r="M537" t="str">
        <f>VLOOKUP(K537,ID!$E$3:$F$100,2,FALSE)</f>
        <v>BBG</v>
      </c>
      <c r="N537" t="s">
        <v>672</v>
      </c>
      <c r="O537" t="str">
        <f>VLOOKUP(N537,Localizacoes!$G$3:$H$100,2,FALSE)</f>
        <v>MDD</v>
      </c>
      <c r="P537">
        <f>VLOOKUP(N537,ID!$G$3:$H$100,2,FALSE)</f>
        <v>146</v>
      </c>
      <c r="Q537" t="s">
        <v>370</v>
      </c>
      <c r="R537" t="str">
        <f>VLOOKUP(Q537,Localizacoes!$I$3:$J$100,2,FALSE)</f>
        <v>MCD</v>
      </c>
      <c r="S537" t="str">
        <f>VLOOKUP(Q537,ID!$I$3:$J$100,2,FALSE)</f>
        <v>MCD</v>
      </c>
      <c r="T537" s="4" t="s">
        <v>182</v>
      </c>
      <c r="U537" t="s">
        <v>265</v>
      </c>
      <c r="V537" t="s">
        <v>536</v>
      </c>
      <c r="W537" t="s">
        <v>537</v>
      </c>
      <c r="Y537" t="s">
        <v>270</v>
      </c>
      <c r="Z537" t="str">
        <f t="shared" si="106"/>
        <v>Macromedidor 01</v>
      </c>
      <c r="AA537"/>
      <c r="AD537" s="13" t="s">
        <v>266</v>
      </c>
      <c r="AF537" t="str">
        <f t="shared" si="103"/>
        <v>MedidorMacromedidor</v>
      </c>
      <c r="AG537" s="28" t="str">
        <f>VLOOKUP(AF537,Imagens!$C$2:$D$42,2,FALSE)</f>
        <v>65e8dd4a9cd58</v>
      </c>
      <c r="AH537" t="str">
        <f>_xlfn.CONCAT(Imagens!$H$2,'registo_ativo-CDs (1)'!AG537)</f>
        <v>assets/imagens/products/65e8dd4a9cd58</v>
      </c>
      <c r="AI537" s="67">
        <v>45341</v>
      </c>
      <c r="AK537" s="32"/>
    </row>
    <row r="538" spans="1:37" ht="16.8" customHeight="1" x14ac:dyDescent="0.3">
      <c r="A538">
        <v>15</v>
      </c>
      <c r="B538" t="str">
        <f t="shared" si="101"/>
        <v>CD43BBG146MCD02</v>
      </c>
      <c r="C538" t="str">
        <f t="shared" si="102"/>
        <v>CD-KAT-BBG-MDD-MCD-02</v>
      </c>
      <c r="E538" t="s">
        <v>37</v>
      </c>
      <c r="F538" t="str">
        <f>VLOOKUP(E538,Localizacoes!$A$3:$B$100,2,FALSE)</f>
        <v>CD</v>
      </c>
      <c r="G538" t="str">
        <f>VLOOKUP(E538,ID!$A$3:$B$100,2,FALSE)</f>
        <v>CD</v>
      </c>
      <c r="H538" s="14" t="s">
        <v>52</v>
      </c>
      <c r="I538" t="str">
        <f>VLOOKUP(H538,Localizacoes!$C$3:$D$100,2,FALSE)</f>
        <v>KAT</v>
      </c>
      <c r="J538">
        <f>VLOOKUP(H538,ID!$C$3:$D$100,2,FALSE)</f>
        <v>43</v>
      </c>
      <c r="K538" t="s">
        <v>274</v>
      </c>
      <c r="L538" t="str">
        <f>VLOOKUP(K538,Localizacoes!$E$3:$F$100,2,FALSE)</f>
        <v>BBG</v>
      </c>
      <c r="M538" t="str">
        <f>VLOOKUP(K538,ID!$E$3:$F$100,2,FALSE)</f>
        <v>BBG</v>
      </c>
      <c r="N538" t="s">
        <v>672</v>
      </c>
      <c r="O538" t="str">
        <f>VLOOKUP(N538,Localizacoes!$G$3:$H$100,2,FALSE)</f>
        <v>MDD</v>
      </c>
      <c r="P538">
        <f>VLOOKUP(N538,ID!$G$3:$H$100,2,FALSE)</f>
        <v>146</v>
      </c>
      <c r="Q538" t="s">
        <v>370</v>
      </c>
      <c r="R538" t="str">
        <f>VLOOKUP(Q538,Localizacoes!$I$3:$J$100,2,FALSE)</f>
        <v>MCD</v>
      </c>
      <c r="S538" t="str">
        <f>VLOOKUP(Q538,ID!$I$3:$J$100,2,FALSE)</f>
        <v>MCD</v>
      </c>
      <c r="T538" s="4" t="s">
        <v>186</v>
      </c>
      <c r="U538" t="s">
        <v>265</v>
      </c>
      <c r="V538" t="s">
        <v>536</v>
      </c>
      <c r="W538" t="s">
        <v>538</v>
      </c>
      <c r="Y538" t="s">
        <v>270</v>
      </c>
      <c r="Z538" t="str">
        <f t="shared" si="106"/>
        <v>Macromedidor 02</v>
      </c>
      <c r="AA538"/>
      <c r="AD538" s="13" t="s">
        <v>266</v>
      </c>
      <c r="AF538" t="str">
        <f t="shared" si="103"/>
        <v>MedidorMacromedidor</v>
      </c>
      <c r="AG538" s="28" t="str">
        <f>VLOOKUP(AF538,Imagens!$C$2:$D$42,2,FALSE)</f>
        <v>65e8dd4a9cd58</v>
      </c>
      <c r="AH538" t="str">
        <f>_xlfn.CONCAT(Imagens!$H$2,'registo_ativo-CDs (1)'!AG538)</f>
        <v>assets/imagens/products/65e8dd4a9cd58</v>
      </c>
      <c r="AI538" s="67">
        <v>45341</v>
      </c>
      <c r="AK538" s="32"/>
    </row>
    <row r="539" spans="1:37" ht="15" customHeight="1" x14ac:dyDescent="0.3">
      <c r="A539">
        <f t="shared" ref="A539" si="107">LEN(B539)</f>
        <v>15</v>
      </c>
      <c r="B539" t="str">
        <f t="shared" si="101"/>
        <v>CD43ECA143PRO01</v>
      </c>
      <c r="C539" t="str">
        <f t="shared" si="102"/>
        <v>CD-KAT-ECA-GRU-PRO-01</v>
      </c>
      <c r="E539" t="s">
        <v>37</v>
      </c>
      <c r="F539" t="str">
        <f>VLOOKUP(E539,Localizacoes!$A$3:$B$100,2,FALSE)</f>
        <v>CD</v>
      </c>
      <c r="G539" t="str">
        <f>VLOOKUP(E539,ID!$A$3:$B$100,2,FALSE)</f>
        <v>CD</v>
      </c>
      <c r="H539" s="14" t="s">
        <v>52</v>
      </c>
      <c r="I539" t="str">
        <f>VLOOKUP(H539,Localizacoes!$C$3:$D$100,2,FALSE)</f>
        <v>KAT</v>
      </c>
      <c r="J539">
        <f>VLOOKUP(H539,ID!$C$3:$D$100,2,FALSE)</f>
        <v>43</v>
      </c>
      <c r="K539" t="s">
        <v>285</v>
      </c>
      <c r="L539" t="str">
        <f>VLOOKUP(K539,Localizacoes!$E$3:$F$100,2,FALSE)</f>
        <v>ECA</v>
      </c>
      <c r="M539" t="str">
        <f>VLOOKUP(K539,ID!$E$3:$F$100,2,FALSE)</f>
        <v>ECA</v>
      </c>
      <c r="N539" t="s">
        <v>104</v>
      </c>
      <c r="O539" t="str">
        <f>VLOOKUP(N539,Localizacoes!$G$3:$H$100,2,FALSE)</f>
        <v>GRU</v>
      </c>
      <c r="P539">
        <f>VLOOKUP(N539,ID!$G$3:$H$100,2,FALSE)</f>
        <v>143</v>
      </c>
      <c r="Q539" t="s">
        <v>153</v>
      </c>
      <c r="R539" t="str">
        <f>VLOOKUP(Q539,Localizacoes!$I$3:$J$100,2,FALSE)</f>
        <v>PRO</v>
      </c>
      <c r="S539" t="str">
        <f>VLOOKUP(Q539,ID!$I$3:$J$100,2,FALSE)</f>
        <v>PRO</v>
      </c>
      <c r="T539" s="4" t="s">
        <v>182</v>
      </c>
      <c r="U539" t="s">
        <v>264</v>
      </c>
      <c r="Y539" t="s">
        <v>270</v>
      </c>
      <c r="Z539" t="str">
        <f t="shared" si="106"/>
        <v>Ponte Rolante 01</v>
      </c>
      <c r="AA539"/>
      <c r="AD539" s="13" t="s">
        <v>266</v>
      </c>
      <c r="AF539" t="str">
        <f t="shared" si="103"/>
        <v>GruaPonte Rolante</v>
      </c>
      <c r="AG539" s="28" t="str">
        <f>VLOOKUP(AF539,Imagens!$C$2:$D$42,2,FALSE)</f>
        <v>65c75d2748c4a</v>
      </c>
      <c r="AH539" t="str">
        <f>_xlfn.CONCAT(Imagens!$H$2,'registo_ativo-CDs (1)'!AG539)</f>
        <v>assets/imagens/products/65c75d2748c4a</v>
      </c>
      <c r="AI539" s="67">
        <v>45454</v>
      </c>
      <c r="AK539" s="32"/>
    </row>
    <row r="540" spans="1:37" ht="16.8" customHeight="1" x14ac:dyDescent="0.3">
      <c r="A540">
        <v>15</v>
      </c>
      <c r="B540" t="str">
        <f t="shared" si="101"/>
        <v>CD43SB1165TRA01</v>
      </c>
      <c r="C540" t="str">
        <f t="shared" si="102"/>
        <v>CD-KAT-SB1-SUB-TRA-01</v>
      </c>
      <c r="E540" t="s">
        <v>37</v>
      </c>
      <c r="F540" t="str">
        <f>VLOOKUP(E540,Localizacoes!$A$3:$B$100,2,FALSE)</f>
        <v>CD</v>
      </c>
      <c r="G540" t="str">
        <f>VLOOKUP(E540,ID!$A$3:$B$100,2,FALSE)</f>
        <v>CD</v>
      </c>
      <c r="H540" s="14" t="s">
        <v>52</v>
      </c>
      <c r="I540" t="str">
        <f>VLOOKUP(H540,Localizacoes!$C$3:$D$100,2,FALSE)</f>
        <v>KAT</v>
      </c>
      <c r="J540">
        <f>VLOOKUP(H540,ID!$C$3:$D$100,2,FALSE)</f>
        <v>43</v>
      </c>
      <c r="K540" t="s">
        <v>127</v>
      </c>
      <c r="L540" t="str">
        <f>VLOOKUP(K540,Localizacoes!$E$3:$F$100,2,FALSE)</f>
        <v>SB1</v>
      </c>
      <c r="M540" t="str">
        <f>VLOOKUP(K540,ID!$E$3:$F$100,2,FALSE)</f>
        <v>SB1</v>
      </c>
      <c r="N540" t="s">
        <v>112</v>
      </c>
      <c r="O540" t="str">
        <f>VLOOKUP(N540,Localizacoes!$G$3:$H$100,2,FALSE)</f>
        <v>SUB</v>
      </c>
      <c r="P540">
        <f>VLOOKUP(N540,ID!$G$3:$H$100,2,FALSE)</f>
        <v>165</v>
      </c>
      <c r="Q540" t="s">
        <v>176</v>
      </c>
      <c r="R540" t="str">
        <f>VLOOKUP(Q540,Localizacoes!$I$3:$J$100,2,FALSE)</f>
        <v>TRA</v>
      </c>
      <c r="S540" t="str">
        <f>VLOOKUP(Q540,ID!$I$3:$J$100,2,FALSE)</f>
        <v>TRA</v>
      </c>
      <c r="T540" s="4" t="s">
        <v>182</v>
      </c>
      <c r="U540" t="s">
        <v>265</v>
      </c>
      <c r="V540" t="s">
        <v>539</v>
      </c>
      <c r="W540" t="s">
        <v>540</v>
      </c>
      <c r="Y540" t="s">
        <v>270</v>
      </c>
      <c r="Z540" t="str">
        <f t="shared" si="106"/>
        <v>Transformador 01</v>
      </c>
      <c r="AA540"/>
      <c r="AD540" s="13" t="s">
        <v>267</v>
      </c>
      <c r="AF540" t="str">
        <f t="shared" si="103"/>
        <v>SubestaçãoTransformador</v>
      </c>
      <c r="AG540" s="28" t="str">
        <f>VLOOKUP(AF540,Imagens!$C$2:$D$42,2,FALSE)</f>
        <v>65e8d98d73a3d</v>
      </c>
      <c r="AH540" t="str">
        <f>_xlfn.CONCAT(Imagens!$H$2,'registo_ativo-CDs (1)'!AG540)</f>
        <v>assets/imagens/products/65e8d98d73a3d</v>
      </c>
      <c r="AI540" s="67">
        <v>45313</v>
      </c>
      <c r="AK540" s="32"/>
    </row>
    <row r="541" spans="1:37" ht="16.8" customHeight="1" x14ac:dyDescent="0.3">
      <c r="A541">
        <f t="shared" ref="A541:A549" si="108">LEN(B541)</f>
        <v>15</v>
      </c>
      <c r="B541" t="str">
        <f t="shared" si="101"/>
        <v>PS40BBG141CME01</v>
      </c>
      <c r="C541" t="str">
        <f t="shared" si="102"/>
        <v>PSAA-HUL-BBG-FUR-CME-01</v>
      </c>
      <c r="E541" t="s">
        <v>38</v>
      </c>
      <c r="F541" t="str">
        <f>VLOOKUP(E541,Localizacoes!$A$3:$B$100,2,FALSE)</f>
        <v>PSAA</v>
      </c>
      <c r="G541" t="str">
        <f>VLOOKUP(E541,ID!$A$3:$B$100,2,FALSE)</f>
        <v>PS</v>
      </c>
      <c r="H541" s="14" t="s">
        <v>56</v>
      </c>
      <c r="I541" t="str">
        <f>VLOOKUP(H541,Localizacoes!$C$3:$D$100,2,FALSE)</f>
        <v>HUL</v>
      </c>
      <c r="J541">
        <f>VLOOKUP(H541,ID!$C$3:$D$100,2,FALSE)</f>
        <v>40</v>
      </c>
      <c r="K541" t="s">
        <v>274</v>
      </c>
      <c r="L541" t="str">
        <f>VLOOKUP(K541,Localizacoes!$E$3:$F$100,2,FALSE)</f>
        <v>BBG</v>
      </c>
      <c r="M541" t="str">
        <f>VLOOKUP(K541,ID!$E$3:$F$100,2,FALSE)</f>
        <v>BBG</v>
      </c>
      <c r="N541" t="s">
        <v>603</v>
      </c>
      <c r="O541" t="str">
        <f>VLOOKUP(N541,Localizacoes!$G$3:$H$100,2,FALSE)</f>
        <v>FUR</v>
      </c>
      <c r="P541">
        <f>VLOOKUP(N541,ID!$G$3:$H$100,2,FALSE)</f>
        <v>141</v>
      </c>
      <c r="Q541" t="s">
        <v>642</v>
      </c>
      <c r="R541" t="str">
        <f>VLOOKUP(Q541,Localizacoes!$I$3:$J$100,2,FALSE)</f>
        <v>CME</v>
      </c>
      <c r="S541" t="str">
        <f>VLOOKUP(Q541,ID!$I$3:$J$100,2,FALSE)</f>
        <v>CME</v>
      </c>
      <c r="T541" s="4" t="s">
        <v>182</v>
      </c>
      <c r="U541" t="s">
        <v>265</v>
      </c>
      <c r="Y541" t="s">
        <v>270</v>
      </c>
      <c r="Z541" t="str">
        <f t="shared" si="106"/>
        <v>Componentes mecânicos 01</v>
      </c>
      <c r="AD541" s="13" t="s">
        <v>266</v>
      </c>
      <c r="AF541" t="str">
        <f t="shared" si="103"/>
        <v>FuroComponentes mecânicos</v>
      </c>
      <c r="AG541" s="28" t="str">
        <f>VLOOKUP(AF541,Imagens!$C$2:$D$42,2,FALSE)</f>
        <v>511e9f0a</v>
      </c>
      <c r="AH541" t="str">
        <f>_xlfn.CONCAT(Imagens!$H$2,'registo_ativo-CDs (1)'!AG541)</f>
        <v>assets/imagens/products/511e9f0a</v>
      </c>
      <c r="AI541" s="67">
        <v>45357</v>
      </c>
    </row>
    <row r="542" spans="1:37" ht="16.8" customHeight="1" x14ac:dyDescent="0.3">
      <c r="A542">
        <f t="shared" si="108"/>
        <v>15</v>
      </c>
      <c r="B542" t="str">
        <f t="shared" si="101"/>
        <v>PS40BBG152QEA01</v>
      </c>
      <c r="C542" t="str">
        <f t="shared" si="102"/>
        <v>PSAA-HUL-BBG-QEL-QEA-01</v>
      </c>
      <c r="E542" t="s">
        <v>38</v>
      </c>
      <c r="F542" t="str">
        <f>VLOOKUP(E542,Localizacoes!$A$3:$B$100,2,FALSE)</f>
        <v>PSAA</v>
      </c>
      <c r="G542" t="str">
        <f>VLOOKUP(E542,ID!$A$3:$B$100,2,FALSE)</f>
        <v>PS</v>
      </c>
      <c r="H542" s="14" t="s">
        <v>56</v>
      </c>
      <c r="I542" t="str">
        <f>VLOOKUP(H542,Localizacoes!$C$3:$D$100,2,FALSE)</f>
        <v>HUL</v>
      </c>
      <c r="J542">
        <f>VLOOKUP(H542,ID!$C$3:$D$100,2,FALSE)</f>
        <v>40</v>
      </c>
      <c r="K542" t="s">
        <v>274</v>
      </c>
      <c r="L542" t="str">
        <f>VLOOKUP(K542,Localizacoes!$E$3:$F$100,2,FALSE)</f>
        <v>BBG</v>
      </c>
      <c r="M542" t="str">
        <f>VLOOKUP(K542,ID!$E$3:$F$100,2,FALSE)</f>
        <v>BBG</v>
      </c>
      <c r="N542" t="s">
        <v>286</v>
      </c>
      <c r="O542" t="str">
        <f>VLOOKUP(N542,Localizacoes!$G$3:$H$100,2,FALSE)</f>
        <v>QEL</v>
      </c>
      <c r="P542">
        <f>VLOOKUP(N542,ID!$G$3:$H$100,2,FALSE)</f>
        <v>152</v>
      </c>
      <c r="Q542" t="s">
        <v>154</v>
      </c>
      <c r="R542" t="str">
        <f>VLOOKUP(Q542,Localizacoes!$I$3:$J$100,2,FALSE)</f>
        <v>QEA</v>
      </c>
      <c r="S542" t="str">
        <f>VLOOKUP(Q542,ID!$I$3:$J$100,2,FALSE)</f>
        <v>QEA</v>
      </c>
      <c r="T542" s="4" t="s">
        <v>182</v>
      </c>
      <c r="U542" t="s">
        <v>265</v>
      </c>
      <c r="Y542" t="s">
        <v>270</v>
      </c>
      <c r="Z542" t="str">
        <f t="shared" si="106"/>
        <v>Quadros Eléctricos de Arranque 01</v>
      </c>
      <c r="AD542" s="13" t="s">
        <v>266</v>
      </c>
      <c r="AF542" t="str">
        <f t="shared" si="103"/>
        <v>Quadro EléctricoQuadros Eléctricos de Arranque</v>
      </c>
      <c r="AG542" s="28" t="str">
        <f>VLOOKUP(AF542,Imagens!$C$2:$D$42,2,FALSE)</f>
        <v>65e8d2fa35c12</v>
      </c>
      <c r="AH542" t="str">
        <f>_xlfn.CONCAT(Imagens!$H$2,'registo_ativo-CDs (1)'!AG542)</f>
        <v>assets/imagens/products/65e8d2fa35c12</v>
      </c>
      <c r="AI542" s="67">
        <v>45357</v>
      </c>
    </row>
    <row r="543" spans="1:37" ht="16.8" customHeight="1" x14ac:dyDescent="0.3">
      <c r="A543">
        <f t="shared" si="108"/>
        <v>15</v>
      </c>
      <c r="B543" t="str">
        <f t="shared" si="101"/>
        <v>PS40ILU164ILL01</v>
      </c>
      <c r="C543" t="str">
        <f t="shared" si="102"/>
        <v>PSAA-HUL-ILU-SIL-ILL-01</v>
      </c>
      <c r="E543" t="s">
        <v>38</v>
      </c>
      <c r="F543" t="str">
        <f>VLOOKUP(E543,Localizacoes!$A$3:$B$100,2,FALSE)</f>
        <v>PSAA</v>
      </c>
      <c r="G543" t="str">
        <f>VLOOKUP(E543,ID!$A$3:$B$100,2,FALSE)</f>
        <v>PS</v>
      </c>
      <c r="H543" s="14" t="s">
        <v>56</v>
      </c>
      <c r="I543" t="str">
        <f>VLOOKUP(H543,Localizacoes!$C$3:$D$100,2,FALSE)</f>
        <v>HUL</v>
      </c>
      <c r="J543">
        <f>VLOOKUP(H543,ID!$C$3:$D$100,2,FALSE)</f>
        <v>40</v>
      </c>
      <c r="K543" t="s">
        <v>141</v>
      </c>
      <c r="L543" t="str">
        <f>VLOOKUP(K543,Localizacoes!$E$3:$F$100,2,FALSE)</f>
        <v>ILU</v>
      </c>
      <c r="M543" t="str">
        <f>VLOOKUP(K543,ID!$E$3:$F$100,2,FALSE)</f>
        <v>ILU</v>
      </c>
      <c r="N543" t="s">
        <v>688</v>
      </c>
      <c r="O543" t="str">
        <f>VLOOKUP(N543,Localizacoes!$G$3:$H$100,2,FALSE)</f>
        <v>SIL</v>
      </c>
      <c r="P543">
        <f>VLOOKUP(N543,ID!$G$3:$H$100,2,FALSE)</f>
        <v>164</v>
      </c>
      <c r="Q543" t="s">
        <v>141</v>
      </c>
      <c r="R543" t="str">
        <f>VLOOKUP(Q543,Localizacoes!$I$3:$J$100,2,FALSE)</f>
        <v>ILL</v>
      </c>
      <c r="S543" t="str">
        <f>VLOOKUP(Q543,ID!$I$3:$J$100,2,FALSE)</f>
        <v>ILL</v>
      </c>
      <c r="T543" s="4" t="s">
        <v>182</v>
      </c>
      <c r="U543" t="s">
        <v>265</v>
      </c>
      <c r="Y543" t="s">
        <v>270</v>
      </c>
      <c r="Z543" t="str">
        <f t="shared" si="106"/>
        <v>Iluminação 01</v>
      </c>
      <c r="AD543" s="13" t="s">
        <v>266</v>
      </c>
      <c r="AF543" t="str">
        <f t="shared" si="103"/>
        <v>Sistema de IluminaçãoIluminação</v>
      </c>
      <c r="AG543" s="28" t="str">
        <f>VLOOKUP(AF543,Imagens!$C$2:$D$42,2,FALSE)</f>
        <v>65e8e579bfe6c</v>
      </c>
      <c r="AH543" t="str">
        <f>_xlfn.CONCAT(Imagens!$H$2,'registo_ativo-CDs (1)'!AG543)</f>
        <v>assets/imagens/products/65e8e579bfe6c</v>
      </c>
      <c r="AI543" s="67">
        <v>45301</v>
      </c>
    </row>
    <row r="544" spans="1:37" ht="16.8" customHeight="1" x14ac:dyDescent="0.3">
      <c r="A544">
        <f t="shared" si="108"/>
        <v>15</v>
      </c>
      <c r="B544" t="str">
        <f t="shared" si="101"/>
        <v>PS40CAN152CAN01</v>
      </c>
      <c r="C544" t="str">
        <f t="shared" si="102"/>
        <v>PSAA-HUL-CAN-QEL-CAN-01</v>
      </c>
      <c r="E544" t="s">
        <v>38</v>
      </c>
      <c r="F544" t="str">
        <f>VLOOKUP(E544,Localizacoes!$A$3:$B$100,2,FALSE)</f>
        <v>PSAA</v>
      </c>
      <c r="G544" t="str">
        <f>VLOOKUP(E544,ID!$A$3:$B$100,2,FALSE)</f>
        <v>PS</v>
      </c>
      <c r="H544" s="14" t="s">
        <v>56</v>
      </c>
      <c r="I544" t="str">
        <f>VLOOKUP(H544,Localizacoes!$C$3:$D$100,2,FALSE)</f>
        <v>HUL</v>
      </c>
      <c r="J544">
        <f>VLOOKUP(H544,ID!$C$3:$D$100,2,FALSE)</f>
        <v>40</v>
      </c>
      <c r="K544" t="s">
        <v>101</v>
      </c>
      <c r="L544" t="str">
        <f>VLOOKUP(K544,Localizacoes!$E$3:$F$100,2,FALSE)</f>
        <v>CAN</v>
      </c>
      <c r="M544" t="str">
        <f>VLOOKUP(K544,ID!$E$3:$F$100,2,FALSE)</f>
        <v>CAN</v>
      </c>
      <c r="N544" t="s">
        <v>286</v>
      </c>
      <c r="O544" t="str">
        <f>VLOOKUP(N544,Localizacoes!$G$3:$H$100,2,FALSE)</f>
        <v>QEL</v>
      </c>
      <c r="P544">
        <f>VLOOKUP(N544,ID!$G$3:$H$100,2,FALSE)</f>
        <v>152</v>
      </c>
      <c r="Q544" t="s">
        <v>101</v>
      </c>
      <c r="R544" t="str">
        <f>VLOOKUP(Q544,Localizacoes!$I$3:$J$100,2,FALSE)</f>
        <v>CAN</v>
      </c>
      <c r="S544" t="str">
        <f>VLOOKUP(Q544,ID!$I$3:$J$100,2,FALSE)</f>
        <v>CAN</v>
      </c>
      <c r="T544" s="4" t="s">
        <v>182</v>
      </c>
      <c r="U544" t="s">
        <v>264</v>
      </c>
      <c r="Y544" t="s">
        <v>270</v>
      </c>
      <c r="Z544" t="str">
        <f t="shared" si="106"/>
        <v>Canalização Eléctrica 01</v>
      </c>
      <c r="AD544" s="13" t="s">
        <v>266</v>
      </c>
      <c r="AF544" t="str">
        <f t="shared" si="103"/>
        <v>Quadro EléctricoCanalização Eléctrica</v>
      </c>
      <c r="AG544" s="28" t="str">
        <f>VLOOKUP(AF544,Imagens!$C$2:$D$42,2,FALSE)</f>
        <v>65e8e4bb71249</v>
      </c>
      <c r="AH544" t="str">
        <f>_xlfn.CONCAT(Imagens!$H$2,'registo_ativo-CDs (1)'!AG544)</f>
        <v>assets/imagens/products/65e8e4bb71249</v>
      </c>
      <c r="AI544" s="67">
        <v>45357</v>
      </c>
    </row>
    <row r="545" spans="1:35" ht="16.8" customHeight="1" x14ac:dyDescent="0.3">
      <c r="A545">
        <f t="shared" si="108"/>
        <v>15</v>
      </c>
      <c r="B545" t="str">
        <f t="shared" si="101"/>
        <v>PS40BBG141CME02</v>
      </c>
      <c r="C545" t="str">
        <f t="shared" si="102"/>
        <v>PSAA-HUL-BBG-FUR-CME-02</v>
      </c>
      <c r="E545" t="s">
        <v>38</v>
      </c>
      <c r="F545" t="str">
        <f>VLOOKUP(E545,Localizacoes!$A$3:$B$100,2,FALSE)</f>
        <v>PSAA</v>
      </c>
      <c r="G545" t="str">
        <f>VLOOKUP(E545,ID!$A$3:$B$100,2,FALSE)</f>
        <v>PS</v>
      </c>
      <c r="H545" s="14" t="s">
        <v>56</v>
      </c>
      <c r="I545" t="str">
        <f>VLOOKUP(H545,Localizacoes!$C$3:$D$100,2,FALSE)</f>
        <v>HUL</v>
      </c>
      <c r="J545">
        <f>VLOOKUP(H545,ID!$C$3:$D$100,2,FALSE)</f>
        <v>40</v>
      </c>
      <c r="K545" t="s">
        <v>274</v>
      </c>
      <c r="L545" t="str">
        <f>VLOOKUP(K545,Localizacoes!$E$3:$F$100,2,FALSE)</f>
        <v>BBG</v>
      </c>
      <c r="M545" t="str">
        <f>VLOOKUP(K545,ID!$E$3:$F$100,2,FALSE)</f>
        <v>BBG</v>
      </c>
      <c r="N545" t="s">
        <v>603</v>
      </c>
      <c r="O545" t="str">
        <f>VLOOKUP(N545,Localizacoes!$G$3:$H$100,2,FALSE)</f>
        <v>FUR</v>
      </c>
      <c r="P545">
        <f>VLOOKUP(N545,ID!$G$3:$H$100,2,FALSE)</f>
        <v>141</v>
      </c>
      <c r="Q545" t="s">
        <v>642</v>
      </c>
      <c r="R545" t="str">
        <f>VLOOKUP(Q545,Localizacoes!$I$3:$J$100,2,FALSE)</f>
        <v>CME</v>
      </c>
      <c r="S545" t="str">
        <f>VLOOKUP(Q545,ID!$I$3:$J$100,2,FALSE)</f>
        <v>CME</v>
      </c>
      <c r="T545" s="4" t="s">
        <v>186</v>
      </c>
      <c r="U545" t="s">
        <v>265</v>
      </c>
      <c r="Y545" t="s">
        <v>270</v>
      </c>
      <c r="Z545" t="str">
        <f t="shared" si="106"/>
        <v>Componentes mecânicos 02</v>
      </c>
      <c r="AD545" s="13" t="s">
        <v>266</v>
      </c>
      <c r="AF545" t="str">
        <f t="shared" si="103"/>
        <v>FuroComponentes mecânicos</v>
      </c>
      <c r="AG545" s="28" t="str">
        <f>VLOOKUP(AF545,Imagens!$C$2:$D$42,2,FALSE)</f>
        <v>511e9f0a</v>
      </c>
      <c r="AH545" t="str">
        <f>_xlfn.CONCAT(Imagens!$H$2,'registo_ativo-CDs (1)'!AG545)</f>
        <v>assets/imagens/products/511e9f0a</v>
      </c>
      <c r="AI545" s="67">
        <v>45357</v>
      </c>
    </row>
    <row r="546" spans="1:35" ht="16.8" customHeight="1" x14ac:dyDescent="0.3">
      <c r="A546">
        <f t="shared" si="108"/>
        <v>15</v>
      </c>
      <c r="B546" t="str">
        <f t="shared" si="101"/>
        <v>PS40BBG152QEA02</v>
      </c>
      <c r="C546" t="str">
        <f t="shared" si="102"/>
        <v>PSAA-HUL-BBG-QEL-QEA-02</v>
      </c>
      <c r="E546" t="s">
        <v>38</v>
      </c>
      <c r="F546" t="str">
        <f>VLOOKUP(E546,Localizacoes!$A$3:$B$100,2,FALSE)</f>
        <v>PSAA</v>
      </c>
      <c r="G546" t="str">
        <f>VLOOKUP(E546,ID!$A$3:$B$100,2,FALSE)</f>
        <v>PS</v>
      </c>
      <c r="H546" s="14" t="s">
        <v>56</v>
      </c>
      <c r="I546" t="str">
        <f>VLOOKUP(H546,Localizacoes!$C$3:$D$100,2,FALSE)</f>
        <v>HUL</v>
      </c>
      <c r="J546">
        <f>VLOOKUP(H546,ID!$C$3:$D$100,2,FALSE)</f>
        <v>40</v>
      </c>
      <c r="K546" t="s">
        <v>274</v>
      </c>
      <c r="L546" t="str">
        <f>VLOOKUP(K546,Localizacoes!$E$3:$F$100,2,FALSE)</f>
        <v>BBG</v>
      </c>
      <c r="M546" t="str">
        <f>VLOOKUP(K546,ID!$E$3:$F$100,2,FALSE)</f>
        <v>BBG</v>
      </c>
      <c r="N546" t="s">
        <v>286</v>
      </c>
      <c r="O546" t="str">
        <f>VLOOKUP(N546,Localizacoes!$G$3:$H$100,2,FALSE)</f>
        <v>QEL</v>
      </c>
      <c r="P546">
        <f>VLOOKUP(N546,ID!$G$3:$H$100,2,FALSE)</f>
        <v>152</v>
      </c>
      <c r="Q546" t="s">
        <v>154</v>
      </c>
      <c r="R546" t="str">
        <f>VLOOKUP(Q546,Localizacoes!$I$3:$J$100,2,FALSE)</f>
        <v>QEA</v>
      </c>
      <c r="S546" t="str">
        <f>VLOOKUP(Q546,ID!$I$3:$J$100,2,FALSE)</f>
        <v>QEA</v>
      </c>
      <c r="T546" s="4" t="s">
        <v>186</v>
      </c>
      <c r="U546" t="s">
        <v>265</v>
      </c>
      <c r="Y546" t="s">
        <v>270</v>
      </c>
      <c r="Z546" t="str">
        <f t="shared" si="106"/>
        <v>Quadros Eléctricos de Arranque 02</v>
      </c>
      <c r="AD546" s="13" t="s">
        <v>266</v>
      </c>
      <c r="AF546" t="str">
        <f t="shared" si="103"/>
        <v>Quadro EléctricoQuadros Eléctricos de Arranque</v>
      </c>
      <c r="AG546" s="28" t="str">
        <f>VLOOKUP(AF546,Imagens!$C$2:$D$42,2,FALSE)</f>
        <v>65e8d2fa35c12</v>
      </c>
      <c r="AH546" t="str">
        <f>_xlfn.CONCAT(Imagens!$H$2,'registo_ativo-CDs (1)'!AG546)</f>
        <v>assets/imagens/products/65e8d2fa35c12</v>
      </c>
      <c r="AI546" s="67">
        <v>45357</v>
      </c>
    </row>
    <row r="547" spans="1:35" ht="16.8" customHeight="1" x14ac:dyDescent="0.3">
      <c r="A547">
        <f t="shared" si="108"/>
        <v>15</v>
      </c>
      <c r="B547" t="str">
        <f t="shared" si="101"/>
        <v>PS40ILU164ILL02</v>
      </c>
      <c r="C547" t="str">
        <f t="shared" si="102"/>
        <v>PSAA-HUL-ILU-SIL-ILL-02</v>
      </c>
      <c r="E547" t="s">
        <v>38</v>
      </c>
      <c r="F547" t="str">
        <f>VLOOKUP(E547,Localizacoes!$A$3:$B$100,2,FALSE)</f>
        <v>PSAA</v>
      </c>
      <c r="G547" t="str">
        <f>VLOOKUP(E547,ID!$A$3:$B$100,2,FALSE)</f>
        <v>PS</v>
      </c>
      <c r="H547" s="14" t="s">
        <v>56</v>
      </c>
      <c r="I547" t="str">
        <f>VLOOKUP(H547,Localizacoes!$C$3:$D$100,2,FALSE)</f>
        <v>HUL</v>
      </c>
      <c r="J547">
        <f>VLOOKUP(H547,ID!$C$3:$D$100,2,FALSE)</f>
        <v>40</v>
      </c>
      <c r="K547" t="s">
        <v>141</v>
      </c>
      <c r="L547" t="str">
        <f>VLOOKUP(K547,Localizacoes!$E$3:$F$100,2,FALSE)</f>
        <v>ILU</v>
      </c>
      <c r="M547" t="str">
        <f>VLOOKUP(K547,ID!$E$3:$F$100,2,FALSE)</f>
        <v>ILU</v>
      </c>
      <c r="N547" t="s">
        <v>688</v>
      </c>
      <c r="O547" t="str">
        <f>VLOOKUP(N547,Localizacoes!$G$3:$H$100,2,FALSE)</f>
        <v>SIL</v>
      </c>
      <c r="P547">
        <f>VLOOKUP(N547,ID!$G$3:$H$100,2,FALSE)</f>
        <v>164</v>
      </c>
      <c r="Q547" t="s">
        <v>141</v>
      </c>
      <c r="R547" t="str">
        <f>VLOOKUP(Q547,Localizacoes!$I$3:$J$100,2,FALSE)</f>
        <v>ILL</v>
      </c>
      <c r="S547" t="str">
        <f>VLOOKUP(Q547,ID!$I$3:$J$100,2,FALSE)</f>
        <v>ILL</v>
      </c>
      <c r="T547" s="4" t="s">
        <v>186</v>
      </c>
      <c r="U547" t="s">
        <v>265</v>
      </c>
      <c r="Y547" t="s">
        <v>270</v>
      </c>
      <c r="Z547" t="str">
        <f t="shared" si="106"/>
        <v>Iluminação 02</v>
      </c>
      <c r="AD547" s="13" t="s">
        <v>266</v>
      </c>
      <c r="AF547" t="str">
        <f t="shared" si="103"/>
        <v>Sistema de IluminaçãoIluminação</v>
      </c>
      <c r="AG547" s="28" t="str">
        <f>VLOOKUP(AF547,Imagens!$C$2:$D$42,2,FALSE)</f>
        <v>65e8e579bfe6c</v>
      </c>
      <c r="AH547" t="str">
        <f>_xlfn.CONCAT(Imagens!$H$2,'registo_ativo-CDs (1)'!AG547)</f>
        <v>assets/imagens/products/65e8e579bfe6c</v>
      </c>
      <c r="AI547" s="67">
        <v>45301</v>
      </c>
    </row>
    <row r="548" spans="1:35" ht="16.8" customHeight="1" x14ac:dyDescent="0.3">
      <c r="A548">
        <f t="shared" si="108"/>
        <v>15</v>
      </c>
      <c r="B548" t="str">
        <f t="shared" si="101"/>
        <v>PS40CAN152CAN02</v>
      </c>
      <c r="C548" t="str">
        <f t="shared" si="102"/>
        <v>PSAA-HUL-CAN-QEL-CAN-02</v>
      </c>
      <c r="E548" t="s">
        <v>38</v>
      </c>
      <c r="F548" t="str">
        <f>VLOOKUP(E548,Localizacoes!$A$3:$B$100,2,FALSE)</f>
        <v>PSAA</v>
      </c>
      <c r="G548" t="str">
        <f>VLOOKUP(E548,ID!$A$3:$B$100,2,FALSE)</f>
        <v>PS</v>
      </c>
      <c r="H548" s="14" t="s">
        <v>56</v>
      </c>
      <c r="I548" t="str">
        <f>VLOOKUP(H548,Localizacoes!$C$3:$D$100,2,FALSE)</f>
        <v>HUL</v>
      </c>
      <c r="J548">
        <f>VLOOKUP(H548,ID!$C$3:$D$100,2,FALSE)</f>
        <v>40</v>
      </c>
      <c r="K548" t="s">
        <v>101</v>
      </c>
      <c r="L548" t="str">
        <f>VLOOKUP(K548,Localizacoes!$E$3:$F$100,2,FALSE)</f>
        <v>CAN</v>
      </c>
      <c r="M548" t="str">
        <f>VLOOKUP(K548,ID!$E$3:$F$100,2,FALSE)</f>
        <v>CAN</v>
      </c>
      <c r="N548" t="s">
        <v>286</v>
      </c>
      <c r="O548" t="str">
        <f>VLOOKUP(N548,Localizacoes!$G$3:$H$100,2,FALSE)</f>
        <v>QEL</v>
      </c>
      <c r="P548">
        <f>VLOOKUP(N548,ID!$G$3:$H$100,2,FALSE)</f>
        <v>152</v>
      </c>
      <c r="Q548" t="s">
        <v>101</v>
      </c>
      <c r="R548" t="str">
        <f>VLOOKUP(Q548,Localizacoes!$I$3:$J$100,2,FALSE)</f>
        <v>CAN</v>
      </c>
      <c r="S548" t="str">
        <f>VLOOKUP(Q548,ID!$I$3:$J$100,2,FALSE)</f>
        <v>CAN</v>
      </c>
      <c r="T548" s="4" t="s">
        <v>186</v>
      </c>
      <c r="U548" t="s">
        <v>264</v>
      </c>
      <c r="Y548" t="s">
        <v>270</v>
      </c>
      <c r="Z548" t="str">
        <f t="shared" si="106"/>
        <v>Canalização Eléctrica 02</v>
      </c>
      <c r="AD548" s="13" t="s">
        <v>266</v>
      </c>
      <c r="AF548" t="str">
        <f t="shared" si="103"/>
        <v>Quadro EléctricoCanalização Eléctrica</v>
      </c>
      <c r="AG548" s="28" t="str">
        <f>VLOOKUP(AF548,Imagens!$C$2:$D$42,2,FALSE)</f>
        <v>65e8e4bb71249</v>
      </c>
      <c r="AH548" t="str">
        <f>_xlfn.CONCAT(Imagens!$H$2,'registo_ativo-CDs (1)'!AG548)</f>
        <v>assets/imagens/products/65e8e4bb71249</v>
      </c>
      <c r="AI548" s="67">
        <v>45357</v>
      </c>
    </row>
    <row r="549" spans="1:35" ht="16.8" customHeight="1" x14ac:dyDescent="0.3">
      <c r="A549">
        <f t="shared" si="108"/>
        <v>15</v>
      </c>
      <c r="B549" t="str">
        <f t="shared" si="101"/>
        <v>PS55BBG131BOM01</v>
      </c>
      <c r="C549" t="str">
        <f t="shared" si="102"/>
        <v>PSAA-RM-BBG-EBC-BOM-01</v>
      </c>
      <c r="E549" t="s">
        <v>38</v>
      </c>
      <c r="F549" t="str">
        <f>VLOOKUP(E549,Localizacoes!$A$3:$B$100,2,FALSE)</f>
        <v>PSAA</v>
      </c>
      <c r="G549" t="str">
        <f>VLOOKUP(E549,ID!$A$3:$B$100,2,FALSE)</f>
        <v>PS</v>
      </c>
      <c r="H549" s="14" t="s">
        <v>34</v>
      </c>
      <c r="I549" t="str">
        <f>VLOOKUP(H549,Localizacoes!$C$3:$D$100,2,FALSE)</f>
        <v>RM</v>
      </c>
      <c r="J549">
        <f>VLOOKUP(H549,ID!$C$3:$D$100,2,FALSE)</f>
        <v>55</v>
      </c>
      <c r="K549" t="s">
        <v>274</v>
      </c>
      <c r="L549" t="str">
        <f>VLOOKUP(K549,Localizacoes!$E$3:$F$100,2,FALSE)</f>
        <v>BBG</v>
      </c>
      <c r="M549" t="str">
        <f>VLOOKUP(K549,ID!$E$3:$F$100,2,FALSE)</f>
        <v>BBG</v>
      </c>
      <c r="N549" t="s">
        <v>704</v>
      </c>
      <c r="O549" t="str">
        <f>VLOOKUP(N549,Localizacoes!$G$3:$H$100,2,FALSE)</f>
        <v>EBC</v>
      </c>
      <c r="P549">
        <f>VLOOKUP(N549,ID!$G$3:$H$100,2,FALSE)</f>
        <v>131</v>
      </c>
      <c r="Q549" t="s">
        <v>150</v>
      </c>
      <c r="R549" t="str">
        <f>VLOOKUP(Q549,Localizacoes!$I$3:$J$100,2,FALSE)</f>
        <v>BOM</v>
      </c>
      <c r="S549" t="str">
        <f>VLOOKUP(Q549,ID!$I$3:$J$100,2,FALSE)</f>
        <v>BOM</v>
      </c>
      <c r="T549" s="4" t="s">
        <v>182</v>
      </c>
      <c r="U549" t="s">
        <v>264</v>
      </c>
      <c r="Y549" t="s">
        <v>270</v>
      </c>
      <c r="Z549" t="str">
        <f t="shared" si="106"/>
        <v>Bomba 01</v>
      </c>
      <c r="AD549" s="13" t="s">
        <v>7</v>
      </c>
      <c r="AF549" t="str">
        <f t="shared" si="103"/>
        <v>Electrobomba centrífugaBomba</v>
      </c>
      <c r="AG549" s="28" t="str">
        <f>VLOOKUP(AF549,Imagens!$C$2:$D$42,2,FALSE)</f>
        <v>65e96125c1d11</v>
      </c>
      <c r="AH549" t="str">
        <f>_xlfn.CONCAT(Imagens!$H$2,'registo_ativo-CDs (1)'!AG549)</f>
        <v>assets/imagens/products/65e96125c1d11</v>
      </c>
      <c r="AI549" s="67">
        <v>45301</v>
      </c>
    </row>
    <row r="550" spans="1:35" ht="16.8" customHeight="1" x14ac:dyDescent="0.3">
      <c r="A550">
        <f t="shared" ref="A550:A594" si="109">LEN(B550)</f>
        <v>15</v>
      </c>
      <c r="B550" t="str">
        <f t="shared" si="101"/>
        <v>PS55BBG131MOT01</v>
      </c>
      <c r="C550" t="str">
        <f t="shared" si="102"/>
        <v>PSAA-RM-BBG-EBC-MOT-01</v>
      </c>
      <c r="E550" t="s">
        <v>38</v>
      </c>
      <c r="F550" t="str">
        <f>VLOOKUP(E550,Localizacoes!$A$3:$B$100,2,FALSE)</f>
        <v>PSAA</v>
      </c>
      <c r="G550" t="str">
        <f>VLOOKUP(E550,ID!$A$3:$B$100,2,FALSE)</f>
        <v>PS</v>
      </c>
      <c r="H550" s="14" t="s">
        <v>34</v>
      </c>
      <c r="I550" t="str">
        <f>VLOOKUP(H550,Localizacoes!$C$3:$D$100,2,FALSE)</f>
        <v>RM</v>
      </c>
      <c r="J550">
        <f>VLOOKUP(H550,ID!$C$3:$D$100,2,FALSE)</f>
        <v>55</v>
      </c>
      <c r="K550" t="s">
        <v>274</v>
      </c>
      <c r="L550" t="str">
        <f>VLOOKUP(K550,Localizacoes!$E$3:$F$100,2,FALSE)</f>
        <v>BBG</v>
      </c>
      <c r="M550" t="str">
        <f>VLOOKUP(K550,ID!$E$3:$F$100,2,FALSE)</f>
        <v>BBG</v>
      </c>
      <c r="N550" t="s">
        <v>704</v>
      </c>
      <c r="O550" t="str">
        <f>VLOOKUP(N550,Localizacoes!$G$3:$H$100,2,FALSE)</f>
        <v>EBC</v>
      </c>
      <c r="P550">
        <f>VLOOKUP(N550,ID!$G$3:$H$100,2,FALSE)</f>
        <v>131</v>
      </c>
      <c r="Q550" t="s">
        <v>21</v>
      </c>
      <c r="R550" t="str">
        <f>VLOOKUP(Q550,Localizacoes!$I$3:$J$100,2,FALSE)</f>
        <v>MOT</v>
      </c>
      <c r="S550" t="str">
        <f>VLOOKUP(Q550,ID!$I$3:$J$100,2,FALSE)</f>
        <v>MOT</v>
      </c>
      <c r="T550" s="4" t="s">
        <v>182</v>
      </c>
      <c r="U550" t="s">
        <v>265</v>
      </c>
      <c r="Y550" t="s">
        <v>270</v>
      </c>
      <c r="Z550" t="str">
        <f t="shared" si="106"/>
        <v>Motor 01</v>
      </c>
      <c r="AD550" s="13" t="s">
        <v>7</v>
      </c>
      <c r="AF550" t="str">
        <f t="shared" si="103"/>
        <v>Electrobomba centrífugaMotor</v>
      </c>
      <c r="AG550" s="28" t="str">
        <f>VLOOKUP(AF550,Imagens!$C$2:$D$42,2,FALSE)</f>
        <v>65d04210323a4</v>
      </c>
      <c r="AH550" t="str">
        <f>_xlfn.CONCAT(Imagens!$H$2,'registo_ativo-CDs (1)'!AG550)</f>
        <v>assets/imagens/products/65d04210323a4</v>
      </c>
      <c r="AI550" s="67">
        <v>45301</v>
      </c>
    </row>
    <row r="551" spans="1:35" ht="16.8" customHeight="1" x14ac:dyDescent="0.3">
      <c r="A551">
        <f t="shared" si="109"/>
        <v>15</v>
      </c>
      <c r="B551" t="str">
        <f t="shared" si="101"/>
        <v>PS55BBG131QEA01</v>
      </c>
      <c r="C551" t="str">
        <f t="shared" si="102"/>
        <v>PSAA-RM-BBG-EBC-QEA-01</v>
      </c>
      <c r="E551" t="s">
        <v>38</v>
      </c>
      <c r="F551" t="str">
        <f>VLOOKUP(E551,Localizacoes!$A$3:$B$100,2,FALSE)</f>
        <v>PSAA</v>
      </c>
      <c r="G551" t="str">
        <f>VLOOKUP(E551,ID!$A$3:$B$100,2,FALSE)</f>
        <v>PS</v>
      </c>
      <c r="H551" s="14" t="s">
        <v>34</v>
      </c>
      <c r="I551" t="str">
        <f>VLOOKUP(H551,Localizacoes!$C$3:$D$100,2,FALSE)</f>
        <v>RM</v>
      </c>
      <c r="J551">
        <f>VLOOKUP(H551,ID!$C$3:$D$100,2,FALSE)</f>
        <v>55</v>
      </c>
      <c r="K551" t="s">
        <v>274</v>
      </c>
      <c r="L551" t="str">
        <f>VLOOKUP(K551,Localizacoes!$E$3:$F$100,2,FALSE)</f>
        <v>BBG</v>
      </c>
      <c r="M551" t="str">
        <f>VLOOKUP(K551,ID!$E$3:$F$100,2,FALSE)</f>
        <v>BBG</v>
      </c>
      <c r="N551" t="s">
        <v>704</v>
      </c>
      <c r="O551" t="str">
        <f>VLOOKUP(N551,Localizacoes!$G$3:$H$100,2,FALSE)</f>
        <v>EBC</v>
      </c>
      <c r="P551">
        <f>VLOOKUP(N551,ID!$G$3:$H$100,2,FALSE)</f>
        <v>131</v>
      </c>
      <c r="Q551" t="s">
        <v>154</v>
      </c>
      <c r="R551" t="str">
        <f>VLOOKUP(Q551,Localizacoes!$I$3:$J$100,2,FALSE)</f>
        <v>QEA</v>
      </c>
      <c r="S551" t="str">
        <f>VLOOKUP(Q551,ID!$I$3:$J$100,2,FALSE)</f>
        <v>QEA</v>
      </c>
      <c r="T551" s="4" t="s">
        <v>182</v>
      </c>
      <c r="U551" t="s">
        <v>265</v>
      </c>
      <c r="Y551" t="s">
        <v>270</v>
      </c>
      <c r="Z551" t="str">
        <f t="shared" si="106"/>
        <v>Quadros Eléctricos de Arranque 01</v>
      </c>
      <c r="AD551" s="13" t="s">
        <v>267</v>
      </c>
      <c r="AF551" t="str">
        <f t="shared" si="103"/>
        <v>Electrobomba centrífugaQuadros Eléctricos de Arranque</v>
      </c>
      <c r="AG551" s="28" t="str">
        <f>VLOOKUP(AF551,Imagens!$C$2:$D$42,2,FALSE)</f>
        <v>65e8d2fa35c12</v>
      </c>
      <c r="AH551" t="str">
        <f>_xlfn.CONCAT(Imagens!$H$2,'registo_ativo-CDs (1)'!AG551)</f>
        <v>assets/imagens/products/65e8d2fa35c12</v>
      </c>
      <c r="AI551" s="67">
        <v>45357</v>
      </c>
    </row>
    <row r="552" spans="1:35" ht="16.8" customHeight="1" x14ac:dyDescent="0.3">
      <c r="A552">
        <f t="shared" si="109"/>
        <v>15</v>
      </c>
      <c r="B552" t="str">
        <f t="shared" si="101"/>
        <v>PS55BBG131VSU01</v>
      </c>
      <c r="C552" t="str">
        <f t="shared" si="102"/>
        <v>PSAA-RM-BBG-EBC-VSU-01</v>
      </c>
      <c r="E552" t="s">
        <v>38</v>
      </c>
      <c r="F552" t="str">
        <f>VLOOKUP(E552,Localizacoes!$A$3:$B$100,2,FALSE)</f>
        <v>PSAA</v>
      </c>
      <c r="G552" t="str">
        <f>VLOOKUP(E552,ID!$A$3:$B$100,2,FALSE)</f>
        <v>PS</v>
      </c>
      <c r="H552" s="14" t="s">
        <v>34</v>
      </c>
      <c r="I552" t="str">
        <f>VLOOKUP(H552,Localizacoes!$C$3:$D$100,2,FALSE)</f>
        <v>RM</v>
      </c>
      <c r="J552">
        <f>VLOOKUP(H552,ID!$C$3:$D$100,2,FALSE)</f>
        <v>55</v>
      </c>
      <c r="K552" t="s">
        <v>274</v>
      </c>
      <c r="L552" t="str">
        <f>VLOOKUP(K552,Localizacoes!$E$3:$F$100,2,FALSE)</f>
        <v>BBG</v>
      </c>
      <c r="M552" t="str">
        <f>VLOOKUP(K552,ID!$E$3:$F$100,2,FALSE)</f>
        <v>BBG</v>
      </c>
      <c r="N552" t="s">
        <v>704</v>
      </c>
      <c r="O552" t="str">
        <f>VLOOKUP(N552,Localizacoes!$G$3:$H$100,2,FALSE)</f>
        <v>EBC</v>
      </c>
      <c r="P552">
        <f>VLOOKUP(N552,ID!$G$3:$H$100,2,FALSE)</f>
        <v>131</v>
      </c>
      <c r="Q552" t="s">
        <v>276</v>
      </c>
      <c r="R552" t="str">
        <f>VLOOKUP(Q552,Localizacoes!$I$3:$J$100,2,FALSE)</f>
        <v>VSU</v>
      </c>
      <c r="S552" t="str">
        <f>VLOOKUP(Q552,ID!$I$3:$J$100,2,FALSE)</f>
        <v>VSU</v>
      </c>
      <c r="T552" s="4" t="s">
        <v>182</v>
      </c>
      <c r="U552" t="s">
        <v>264</v>
      </c>
      <c r="Y552" t="s">
        <v>270</v>
      </c>
      <c r="Z552" t="str">
        <f t="shared" si="106"/>
        <v>Válvula Sucção 01</v>
      </c>
      <c r="AD552" s="13" t="s">
        <v>267</v>
      </c>
      <c r="AF552" t="str">
        <f t="shared" si="103"/>
        <v>Electrobomba centrífugaVálvula Sucção</v>
      </c>
      <c r="AG552" s="28" t="str">
        <f>VLOOKUP(AF552,Imagens!$C$2:$D$42,2,FALSE)</f>
        <v>65e8cda0676b7</v>
      </c>
      <c r="AH552" t="str">
        <f>_xlfn.CONCAT(Imagens!$H$2,'registo_ativo-CDs (1)'!AG552)</f>
        <v>assets/imagens/products/65e8cda0676b7</v>
      </c>
      <c r="AI552" s="67">
        <v>45357</v>
      </c>
    </row>
    <row r="553" spans="1:35" ht="16.8" customHeight="1" x14ac:dyDescent="0.3">
      <c r="A553">
        <f t="shared" si="109"/>
        <v>15</v>
      </c>
      <c r="B553" t="str">
        <f t="shared" si="101"/>
        <v>PS55BBG131VDE01</v>
      </c>
      <c r="C553" t="str">
        <f t="shared" si="102"/>
        <v>PSAA-RM-BBG-EBC-VDE-01</v>
      </c>
      <c r="E553" t="s">
        <v>38</v>
      </c>
      <c r="F553" t="str">
        <f>VLOOKUP(E553,Localizacoes!$A$3:$B$100,2,FALSE)</f>
        <v>PSAA</v>
      </c>
      <c r="G553" t="str">
        <f>VLOOKUP(E553,ID!$A$3:$B$100,2,FALSE)</f>
        <v>PS</v>
      </c>
      <c r="H553" s="14" t="s">
        <v>34</v>
      </c>
      <c r="I553" t="str">
        <f>VLOOKUP(H553,Localizacoes!$C$3:$D$100,2,FALSE)</f>
        <v>RM</v>
      </c>
      <c r="J553">
        <f>VLOOKUP(H553,ID!$C$3:$D$100,2,FALSE)</f>
        <v>55</v>
      </c>
      <c r="K553" t="s">
        <v>274</v>
      </c>
      <c r="L553" t="str">
        <f>VLOOKUP(K553,Localizacoes!$E$3:$F$100,2,FALSE)</f>
        <v>BBG</v>
      </c>
      <c r="M553" t="str">
        <f>VLOOKUP(K553,ID!$E$3:$F$100,2,FALSE)</f>
        <v>BBG</v>
      </c>
      <c r="N553" t="s">
        <v>704</v>
      </c>
      <c r="O553" t="str">
        <f>VLOOKUP(N553,Localizacoes!$G$3:$H$100,2,FALSE)</f>
        <v>EBC</v>
      </c>
      <c r="P553">
        <f>VLOOKUP(N553,ID!$G$3:$H$100,2,FALSE)</f>
        <v>131</v>
      </c>
      <c r="Q553" t="s">
        <v>279</v>
      </c>
      <c r="R553" t="str">
        <f>VLOOKUP(Q553,Localizacoes!$I$3:$J$100,2,FALSE)</f>
        <v>VDE</v>
      </c>
      <c r="S553" t="str">
        <f>VLOOKUP(Q553,ID!$I$3:$J$100,2,FALSE)</f>
        <v>VDE</v>
      </c>
      <c r="T553" s="4" t="s">
        <v>182</v>
      </c>
      <c r="U553" t="s">
        <v>264</v>
      </c>
      <c r="Y553" t="s">
        <v>270</v>
      </c>
      <c r="Z553" t="str">
        <f t="shared" si="106"/>
        <v>Válvula Descarga 01</v>
      </c>
      <c r="AD553" s="13" t="s">
        <v>267</v>
      </c>
      <c r="AF553" t="str">
        <f t="shared" si="103"/>
        <v>Electrobomba centrífugaVálvula Descarga</v>
      </c>
      <c r="AG553" s="28" t="str">
        <f>VLOOKUP(AF553,Imagens!$C$2:$D$42,2,FALSE)</f>
        <v>65e8cda0676b7</v>
      </c>
      <c r="AH553" t="str">
        <f>_xlfn.CONCAT(Imagens!$H$2,'registo_ativo-CDs (1)'!AG553)</f>
        <v>assets/imagens/products/65e8cda0676b7</v>
      </c>
      <c r="AI553" s="67">
        <v>45357</v>
      </c>
    </row>
    <row r="554" spans="1:35" ht="16.8" customHeight="1" x14ac:dyDescent="0.3">
      <c r="A554">
        <f t="shared" si="109"/>
        <v>15</v>
      </c>
      <c r="B554" t="str">
        <f t="shared" si="101"/>
        <v>PS55BBG131BOM02</v>
      </c>
      <c r="C554" t="str">
        <f t="shared" si="102"/>
        <v>PSAA-RM-BBG-EBC-BOM-02</v>
      </c>
      <c r="E554" t="s">
        <v>38</v>
      </c>
      <c r="F554" t="str">
        <f>VLOOKUP(E554,Localizacoes!$A$3:$B$100,2,FALSE)</f>
        <v>PSAA</v>
      </c>
      <c r="G554" t="str">
        <f>VLOOKUP(E554,ID!$A$3:$B$100,2,FALSE)</f>
        <v>PS</v>
      </c>
      <c r="H554" s="14" t="s">
        <v>34</v>
      </c>
      <c r="I554" t="str">
        <f>VLOOKUP(H554,Localizacoes!$C$3:$D$100,2,FALSE)</f>
        <v>RM</v>
      </c>
      <c r="J554">
        <f>VLOOKUP(H554,ID!$C$3:$D$100,2,FALSE)</f>
        <v>55</v>
      </c>
      <c r="K554" t="s">
        <v>274</v>
      </c>
      <c r="L554" t="str">
        <f>VLOOKUP(K554,Localizacoes!$E$3:$F$100,2,FALSE)</f>
        <v>BBG</v>
      </c>
      <c r="M554" t="str">
        <f>VLOOKUP(K554,ID!$E$3:$F$100,2,FALSE)</f>
        <v>BBG</v>
      </c>
      <c r="N554" t="s">
        <v>704</v>
      </c>
      <c r="O554" t="str">
        <f>VLOOKUP(N554,Localizacoes!$G$3:$H$100,2,FALSE)</f>
        <v>EBC</v>
      </c>
      <c r="P554">
        <f>VLOOKUP(N554,ID!$G$3:$H$100,2,FALSE)</f>
        <v>131</v>
      </c>
      <c r="Q554" t="s">
        <v>150</v>
      </c>
      <c r="R554" t="str">
        <f>VLOOKUP(Q554,Localizacoes!$I$3:$J$100,2,FALSE)</f>
        <v>BOM</v>
      </c>
      <c r="S554" t="str">
        <f>VLOOKUP(Q554,ID!$I$3:$J$100,2,FALSE)</f>
        <v>BOM</v>
      </c>
      <c r="T554" s="4" t="s">
        <v>186</v>
      </c>
      <c r="U554" t="s">
        <v>264</v>
      </c>
      <c r="Y554" t="s">
        <v>270</v>
      </c>
      <c r="Z554" t="str">
        <f t="shared" si="106"/>
        <v>Bomba 02</v>
      </c>
      <c r="AD554" s="13" t="s">
        <v>7</v>
      </c>
      <c r="AF554" t="str">
        <f t="shared" si="103"/>
        <v>Electrobomba centrífugaBomba</v>
      </c>
      <c r="AG554" s="28" t="str">
        <f>VLOOKUP(AF554,Imagens!$C$2:$D$42,2,FALSE)</f>
        <v>65e96125c1d11</v>
      </c>
      <c r="AH554" t="str">
        <f>_xlfn.CONCAT(Imagens!$H$2,'registo_ativo-CDs (1)'!AG554)</f>
        <v>assets/imagens/products/65e96125c1d11</v>
      </c>
      <c r="AI554" s="67">
        <v>45301</v>
      </c>
    </row>
    <row r="555" spans="1:35" ht="16.8" customHeight="1" x14ac:dyDescent="0.3">
      <c r="A555">
        <f t="shared" si="109"/>
        <v>15</v>
      </c>
      <c r="B555" t="str">
        <f t="shared" si="101"/>
        <v>PS55BBG131MOT02</v>
      </c>
      <c r="C555" t="str">
        <f t="shared" si="102"/>
        <v>PSAA-RM-BBG-EBC-MOT-02</v>
      </c>
      <c r="E555" t="s">
        <v>38</v>
      </c>
      <c r="F555" t="str">
        <f>VLOOKUP(E555,Localizacoes!$A$3:$B$100,2,FALSE)</f>
        <v>PSAA</v>
      </c>
      <c r="G555" t="str">
        <f>VLOOKUP(E555,ID!$A$3:$B$100,2,FALSE)</f>
        <v>PS</v>
      </c>
      <c r="H555" s="14" t="s">
        <v>34</v>
      </c>
      <c r="I555" t="str">
        <f>VLOOKUP(H555,Localizacoes!$C$3:$D$100,2,FALSE)</f>
        <v>RM</v>
      </c>
      <c r="J555">
        <f>VLOOKUP(H555,ID!$C$3:$D$100,2,FALSE)</f>
        <v>55</v>
      </c>
      <c r="K555" t="s">
        <v>274</v>
      </c>
      <c r="L555" t="str">
        <f>VLOOKUP(K555,Localizacoes!$E$3:$F$100,2,FALSE)</f>
        <v>BBG</v>
      </c>
      <c r="M555" t="str">
        <f>VLOOKUP(K555,ID!$E$3:$F$100,2,FALSE)</f>
        <v>BBG</v>
      </c>
      <c r="N555" t="s">
        <v>704</v>
      </c>
      <c r="O555" t="str">
        <f>VLOOKUP(N555,Localizacoes!$G$3:$H$100,2,FALSE)</f>
        <v>EBC</v>
      </c>
      <c r="P555">
        <f>VLOOKUP(N555,ID!$G$3:$H$100,2,FALSE)</f>
        <v>131</v>
      </c>
      <c r="Q555" t="s">
        <v>21</v>
      </c>
      <c r="R555" t="str">
        <f>VLOOKUP(Q555,Localizacoes!$I$3:$J$100,2,FALSE)</f>
        <v>MOT</v>
      </c>
      <c r="S555" t="str">
        <f>VLOOKUP(Q555,ID!$I$3:$J$100,2,FALSE)</f>
        <v>MOT</v>
      </c>
      <c r="T555" s="4" t="s">
        <v>186</v>
      </c>
      <c r="U555" t="s">
        <v>265</v>
      </c>
      <c r="Y555" t="s">
        <v>270</v>
      </c>
      <c r="Z555" t="str">
        <f t="shared" si="106"/>
        <v>Motor 02</v>
      </c>
      <c r="AD555" s="13" t="s">
        <v>7</v>
      </c>
      <c r="AF555" t="str">
        <f t="shared" si="103"/>
        <v>Electrobomba centrífugaMotor</v>
      </c>
      <c r="AG555" s="28" t="str">
        <f>VLOOKUP(AF555,Imagens!$C$2:$D$42,2,FALSE)</f>
        <v>65d04210323a4</v>
      </c>
      <c r="AH555" t="str">
        <f>_xlfn.CONCAT(Imagens!$H$2,'registo_ativo-CDs (1)'!AG555)</f>
        <v>assets/imagens/products/65d04210323a4</v>
      </c>
      <c r="AI555" s="67">
        <v>45301</v>
      </c>
    </row>
    <row r="556" spans="1:35" ht="16.8" customHeight="1" x14ac:dyDescent="0.3">
      <c r="A556">
        <f t="shared" si="109"/>
        <v>15</v>
      </c>
      <c r="B556" t="str">
        <f t="shared" si="101"/>
        <v>PS55BBG131QEA02</v>
      </c>
      <c r="C556" t="str">
        <f t="shared" si="102"/>
        <v>PSAA-RM-BBG-EBC-QEA-02</v>
      </c>
      <c r="E556" t="s">
        <v>38</v>
      </c>
      <c r="F556" t="str">
        <f>VLOOKUP(E556,Localizacoes!$A$3:$B$100,2,FALSE)</f>
        <v>PSAA</v>
      </c>
      <c r="G556" t="str">
        <f>VLOOKUP(E556,ID!$A$3:$B$100,2,FALSE)</f>
        <v>PS</v>
      </c>
      <c r="H556" s="14" t="s">
        <v>34</v>
      </c>
      <c r="I556" t="str">
        <f>VLOOKUP(H556,Localizacoes!$C$3:$D$100,2,FALSE)</f>
        <v>RM</v>
      </c>
      <c r="J556">
        <f>VLOOKUP(H556,ID!$C$3:$D$100,2,FALSE)</f>
        <v>55</v>
      </c>
      <c r="K556" t="s">
        <v>274</v>
      </c>
      <c r="L556" t="str">
        <f>VLOOKUP(K556,Localizacoes!$E$3:$F$100,2,FALSE)</f>
        <v>BBG</v>
      </c>
      <c r="M556" t="str">
        <f>VLOOKUP(K556,ID!$E$3:$F$100,2,FALSE)</f>
        <v>BBG</v>
      </c>
      <c r="N556" t="s">
        <v>704</v>
      </c>
      <c r="O556" t="str">
        <f>VLOOKUP(N556,Localizacoes!$G$3:$H$100,2,FALSE)</f>
        <v>EBC</v>
      </c>
      <c r="P556">
        <f>VLOOKUP(N556,ID!$G$3:$H$100,2,FALSE)</f>
        <v>131</v>
      </c>
      <c r="Q556" t="s">
        <v>154</v>
      </c>
      <c r="R556" t="str">
        <f>VLOOKUP(Q556,Localizacoes!$I$3:$J$100,2,FALSE)</f>
        <v>QEA</v>
      </c>
      <c r="S556" t="str">
        <f>VLOOKUP(Q556,ID!$I$3:$J$100,2,FALSE)</f>
        <v>QEA</v>
      </c>
      <c r="T556" s="4" t="s">
        <v>186</v>
      </c>
      <c r="U556" t="s">
        <v>265</v>
      </c>
      <c r="Y556" t="s">
        <v>270</v>
      </c>
      <c r="Z556" t="str">
        <f t="shared" si="106"/>
        <v>Quadros Eléctricos de Arranque 02</v>
      </c>
      <c r="AD556" s="13" t="s">
        <v>267</v>
      </c>
      <c r="AF556" t="str">
        <f t="shared" si="103"/>
        <v>Electrobomba centrífugaQuadros Eléctricos de Arranque</v>
      </c>
      <c r="AG556" s="28" t="str">
        <f>VLOOKUP(AF556,Imagens!$C$2:$D$42,2,FALSE)</f>
        <v>65e8d2fa35c12</v>
      </c>
      <c r="AH556" t="str">
        <f>_xlfn.CONCAT(Imagens!$H$2,'registo_ativo-CDs (1)'!AG556)</f>
        <v>assets/imagens/products/65e8d2fa35c12</v>
      </c>
      <c r="AI556" s="67">
        <v>45357</v>
      </c>
    </row>
    <row r="557" spans="1:35" ht="16.8" customHeight="1" x14ac:dyDescent="0.3">
      <c r="A557">
        <f t="shared" si="109"/>
        <v>15</v>
      </c>
      <c r="B557" t="str">
        <f t="shared" si="101"/>
        <v>PS55BBG131VSU02</v>
      </c>
      <c r="C557" t="str">
        <f t="shared" si="102"/>
        <v>PSAA-RM-BBG-EBC-VSU-02</v>
      </c>
      <c r="E557" t="s">
        <v>38</v>
      </c>
      <c r="F557" t="str">
        <f>VLOOKUP(E557,Localizacoes!$A$3:$B$100,2,FALSE)</f>
        <v>PSAA</v>
      </c>
      <c r="G557" t="str">
        <f>VLOOKUP(E557,ID!$A$3:$B$100,2,FALSE)</f>
        <v>PS</v>
      </c>
      <c r="H557" s="14" t="s">
        <v>34</v>
      </c>
      <c r="I557" t="str">
        <f>VLOOKUP(H557,Localizacoes!$C$3:$D$100,2,FALSE)</f>
        <v>RM</v>
      </c>
      <c r="J557">
        <f>VLOOKUP(H557,ID!$C$3:$D$100,2,FALSE)</f>
        <v>55</v>
      </c>
      <c r="K557" t="s">
        <v>274</v>
      </c>
      <c r="L557" t="str">
        <f>VLOOKUP(K557,Localizacoes!$E$3:$F$100,2,FALSE)</f>
        <v>BBG</v>
      </c>
      <c r="M557" t="str">
        <f>VLOOKUP(K557,ID!$E$3:$F$100,2,FALSE)</f>
        <v>BBG</v>
      </c>
      <c r="N557" t="s">
        <v>704</v>
      </c>
      <c r="O557" t="str">
        <f>VLOOKUP(N557,Localizacoes!$G$3:$H$100,2,FALSE)</f>
        <v>EBC</v>
      </c>
      <c r="P557">
        <f>VLOOKUP(N557,ID!$G$3:$H$100,2,FALSE)</f>
        <v>131</v>
      </c>
      <c r="Q557" t="s">
        <v>276</v>
      </c>
      <c r="R557" t="str">
        <f>VLOOKUP(Q557,Localizacoes!$I$3:$J$100,2,FALSE)</f>
        <v>VSU</v>
      </c>
      <c r="S557" t="str">
        <f>VLOOKUP(Q557,ID!$I$3:$J$100,2,FALSE)</f>
        <v>VSU</v>
      </c>
      <c r="T557" s="4" t="s">
        <v>186</v>
      </c>
      <c r="U557" t="s">
        <v>264</v>
      </c>
      <c r="Y557" t="s">
        <v>270</v>
      </c>
      <c r="Z557" t="str">
        <f t="shared" si="106"/>
        <v>Válvula Sucção 02</v>
      </c>
      <c r="AD557" s="13" t="s">
        <v>267</v>
      </c>
      <c r="AF557" t="str">
        <f t="shared" si="103"/>
        <v>Electrobomba centrífugaVálvula Sucção</v>
      </c>
      <c r="AG557" s="28" t="str">
        <f>VLOOKUP(AF557,Imagens!$C$2:$D$42,2,FALSE)</f>
        <v>65e8cda0676b7</v>
      </c>
      <c r="AH557" t="str">
        <f>_xlfn.CONCAT(Imagens!$H$2,'registo_ativo-CDs (1)'!AG557)</f>
        <v>assets/imagens/products/65e8cda0676b7</v>
      </c>
      <c r="AI557" s="67">
        <v>45357</v>
      </c>
    </row>
    <row r="558" spans="1:35" ht="16.8" customHeight="1" x14ac:dyDescent="0.3">
      <c r="A558">
        <f t="shared" si="109"/>
        <v>15</v>
      </c>
      <c r="B558" t="str">
        <f t="shared" si="101"/>
        <v>PS55BBG131VDE02</v>
      </c>
      <c r="C558" t="str">
        <f t="shared" si="102"/>
        <v>PSAA-RM-BBG-EBC-VDE-02</v>
      </c>
      <c r="E558" t="s">
        <v>38</v>
      </c>
      <c r="F558" t="str">
        <f>VLOOKUP(E558,Localizacoes!$A$3:$B$100,2,FALSE)</f>
        <v>PSAA</v>
      </c>
      <c r="G558" t="str">
        <f>VLOOKUP(E558,ID!$A$3:$B$100,2,FALSE)</f>
        <v>PS</v>
      </c>
      <c r="H558" s="14" t="s">
        <v>34</v>
      </c>
      <c r="I558" t="str">
        <f>VLOOKUP(H558,Localizacoes!$C$3:$D$100,2,FALSE)</f>
        <v>RM</v>
      </c>
      <c r="J558">
        <f>VLOOKUP(H558,ID!$C$3:$D$100,2,FALSE)</f>
        <v>55</v>
      </c>
      <c r="K558" t="s">
        <v>274</v>
      </c>
      <c r="L558" t="str">
        <f>VLOOKUP(K558,Localizacoes!$E$3:$F$100,2,FALSE)</f>
        <v>BBG</v>
      </c>
      <c r="M558" t="str">
        <f>VLOOKUP(K558,ID!$E$3:$F$100,2,FALSE)</f>
        <v>BBG</v>
      </c>
      <c r="N558" t="s">
        <v>704</v>
      </c>
      <c r="O558" t="str">
        <f>VLOOKUP(N558,Localizacoes!$G$3:$H$100,2,FALSE)</f>
        <v>EBC</v>
      </c>
      <c r="P558">
        <f>VLOOKUP(N558,ID!$G$3:$H$100,2,FALSE)</f>
        <v>131</v>
      </c>
      <c r="Q558" t="s">
        <v>279</v>
      </c>
      <c r="R558" t="str">
        <f>VLOOKUP(Q558,Localizacoes!$I$3:$J$100,2,FALSE)</f>
        <v>VDE</v>
      </c>
      <c r="S558" t="str">
        <f>VLOOKUP(Q558,ID!$I$3:$J$100,2,FALSE)</f>
        <v>VDE</v>
      </c>
      <c r="T558" s="4" t="s">
        <v>186</v>
      </c>
      <c r="U558" t="s">
        <v>264</v>
      </c>
      <c r="Y558" t="s">
        <v>270</v>
      </c>
      <c r="Z558" t="str">
        <f t="shared" si="106"/>
        <v>Válvula Descarga 02</v>
      </c>
      <c r="AD558" s="13" t="s">
        <v>267</v>
      </c>
      <c r="AF558" t="str">
        <f t="shared" si="103"/>
        <v>Electrobomba centrífugaVálvula Descarga</v>
      </c>
      <c r="AG558" s="28" t="str">
        <f>VLOOKUP(AF558,Imagens!$C$2:$D$42,2,FALSE)</f>
        <v>65e8cda0676b7</v>
      </c>
      <c r="AH558" t="str">
        <f>_xlfn.CONCAT(Imagens!$H$2,'registo_ativo-CDs (1)'!AG558)</f>
        <v>assets/imagens/products/65e8cda0676b7</v>
      </c>
      <c r="AI558" s="67">
        <v>45357</v>
      </c>
    </row>
    <row r="559" spans="1:35" ht="16.8" customHeight="1" x14ac:dyDescent="0.3">
      <c r="A559">
        <f t="shared" si="109"/>
        <v>15</v>
      </c>
      <c r="B559" t="str">
        <f t="shared" si="101"/>
        <v>PS55ILU164ILL01</v>
      </c>
      <c r="C559" t="str">
        <f t="shared" si="102"/>
        <v>PSAA-RM-ILU-SIL-CEL-01</v>
      </c>
      <c r="E559" t="s">
        <v>38</v>
      </c>
      <c r="F559" t="str">
        <f>VLOOKUP(E559,Localizacoes!$A$3:$B$100,2,FALSE)</f>
        <v>PSAA</v>
      </c>
      <c r="G559" t="str">
        <f>VLOOKUP(E559,ID!$A$3:$B$100,2,FALSE)</f>
        <v>PS</v>
      </c>
      <c r="H559" s="14" t="s">
        <v>34</v>
      </c>
      <c r="I559" t="str">
        <f>VLOOKUP(H559,Localizacoes!$C$3:$D$100,2,FALSE)</f>
        <v>RM</v>
      </c>
      <c r="J559">
        <f>VLOOKUP(H559,ID!$C$3:$D$100,2,FALSE)</f>
        <v>55</v>
      </c>
      <c r="K559" t="s">
        <v>141</v>
      </c>
      <c r="L559" t="str">
        <f>VLOOKUP(K559,Localizacoes!$E$3:$F$100,2,FALSE)</f>
        <v>ILU</v>
      </c>
      <c r="M559" t="str">
        <f>VLOOKUP(K559,ID!$E$3:$F$100,2,FALSE)</f>
        <v>ILU</v>
      </c>
      <c r="N559" t="s">
        <v>688</v>
      </c>
      <c r="O559" t="str">
        <f>VLOOKUP(N559,Localizacoes!$G$3:$H$100,2,FALSE)</f>
        <v>SIL</v>
      </c>
      <c r="P559">
        <f>VLOOKUP(N559,ID!$G$3:$H$100,2,FALSE)</f>
        <v>164</v>
      </c>
      <c r="Q559" t="s">
        <v>141</v>
      </c>
      <c r="R559" t="s">
        <v>541</v>
      </c>
      <c r="S559" t="str">
        <f>VLOOKUP(Q559,ID!$I$3:$J$100,2,FALSE)</f>
        <v>ILL</v>
      </c>
      <c r="T559" s="4" t="s">
        <v>182</v>
      </c>
      <c r="U559" t="s">
        <v>265</v>
      </c>
      <c r="Y559" t="s">
        <v>270</v>
      </c>
      <c r="Z559" t="str">
        <f t="shared" si="106"/>
        <v>Iluminação 01</v>
      </c>
      <c r="AD559" s="13" t="s">
        <v>267</v>
      </c>
      <c r="AF559" t="str">
        <f t="shared" si="103"/>
        <v>Sistema de IluminaçãoIluminação</v>
      </c>
      <c r="AG559" s="28" t="str">
        <f>VLOOKUP(AF559,Imagens!$C$2:$D$42,2,FALSE)</f>
        <v>65e8e579bfe6c</v>
      </c>
      <c r="AH559" t="str">
        <f>_xlfn.CONCAT(Imagens!$H$2,'registo_ativo-CDs (1)'!AG559)</f>
        <v>assets/imagens/products/65e8e579bfe6c</v>
      </c>
      <c r="AI559" s="67">
        <v>45301</v>
      </c>
    </row>
    <row r="560" spans="1:35" ht="16.8" customHeight="1" x14ac:dyDescent="0.3">
      <c r="A560">
        <f t="shared" si="109"/>
        <v>15</v>
      </c>
      <c r="B560" t="str">
        <f t="shared" si="101"/>
        <v>PS55CAN152CAN01</v>
      </c>
      <c r="C560" t="str">
        <f t="shared" si="102"/>
        <v>PSAA-RM-CAN-QEL-CEL-01</v>
      </c>
      <c r="E560" t="s">
        <v>38</v>
      </c>
      <c r="F560" t="str">
        <f>VLOOKUP(E560,Localizacoes!$A$3:$B$100,2,FALSE)</f>
        <v>PSAA</v>
      </c>
      <c r="G560" t="str">
        <f>VLOOKUP(E560,ID!$A$3:$B$100,2,FALSE)</f>
        <v>PS</v>
      </c>
      <c r="H560" s="14" t="s">
        <v>34</v>
      </c>
      <c r="I560" t="str">
        <f>VLOOKUP(H560,Localizacoes!$C$3:$D$100,2,FALSE)</f>
        <v>RM</v>
      </c>
      <c r="J560">
        <f>VLOOKUP(H560,ID!$C$3:$D$100,2,FALSE)</f>
        <v>55</v>
      </c>
      <c r="K560" t="s">
        <v>101</v>
      </c>
      <c r="L560" t="str">
        <f>VLOOKUP(K560,Localizacoes!$E$3:$F$100,2,FALSE)</f>
        <v>CAN</v>
      </c>
      <c r="M560" t="str">
        <f>VLOOKUP(K560,ID!$E$3:$F$100,2,FALSE)</f>
        <v>CAN</v>
      </c>
      <c r="N560" t="s">
        <v>286</v>
      </c>
      <c r="O560" t="str">
        <f>VLOOKUP(N560,Localizacoes!$G$3:$H$100,2,FALSE)</f>
        <v>QEL</v>
      </c>
      <c r="P560">
        <f>VLOOKUP(N560,ID!$G$3:$H$100,2,FALSE)</f>
        <v>152</v>
      </c>
      <c r="Q560" t="s">
        <v>101</v>
      </c>
      <c r="R560" t="s">
        <v>541</v>
      </c>
      <c r="S560" t="str">
        <f>VLOOKUP(Q560,ID!$I$3:$J$100,2,FALSE)</f>
        <v>CAN</v>
      </c>
      <c r="T560" s="4" t="s">
        <v>182</v>
      </c>
      <c r="U560" t="s">
        <v>265</v>
      </c>
      <c r="Y560" t="s">
        <v>270</v>
      </c>
      <c r="Z560" t="str">
        <f t="shared" si="106"/>
        <v>Canalização Eléctrica 01</v>
      </c>
      <c r="AD560" s="13" t="s">
        <v>266</v>
      </c>
      <c r="AF560" t="str">
        <f t="shared" si="103"/>
        <v>Quadro EléctricoCanalização Eléctrica</v>
      </c>
      <c r="AG560" s="28" t="str">
        <f>VLOOKUP(AF560,Imagens!$C$2:$D$42,2,FALSE)</f>
        <v>65e8e4bb71249</v>
      </c>
      <c r="AH560" t="str">
        <f>_xlfn.CONCAT(Imagens!$H$2,'registo_ativo-CDs (1)'!AG560)</f>
        <v>assets/imagens/products/65e8e4bb71249</v>
      </c>
      <c r="AI560" s="67">
        <v>45469</v>
      </c>
    </row>
    <row r="561" spans="1:35" ht="16.8" customHeight="1" x14ac:dyDescent="0.3">
      <c r="A561">
        <f t="shared" si="109"/>
        <v>15</v>
      </c>
      <c r="B561" t="str">
        <f t="shared" si="101"/>
        <v>PS55SB1165TRA01</v>
      </c>
      <c r="C561" t="str">
        <f t="shared" si="102"/>
        <v>PSAA-RM-SB1-SUB-TRA-01</v>
      </c>
      <c r="E561" t="s">
        <v>38</v>
      </c>
      <c r="F561" t="str">
        <f>VLOOKUP(E561,Localizacoes!$A$3:$B$100,2,FALSE)</f>
        <v>PSAA</v>
      </c>
      <c r="G561" t="str">
        <f>VLOOKUP(E561,ID!$A$3:$B$100,2,FALSE)</f>
        <v>PS</v>
      </c>
      <c r="H561" s="14" t="s">
        <v>34</v>
      </c>
      <c r="I561" t="str">
        <f>VLOOKUP(H561,Localizacoes!$C$3:$D$100,2,FALSE)</f>
        <v>RM</v>
      </c>
      <c r="J561">
        <f>VLOOKUP(H561,ID!$C$3:$D$100,2,FALSE)</f>
        <v>55</v>
      </c>
      <c r="K561" t="s">
        <v>127</v>
      </c>
      <c r="L561" t="str">
        <f>VLOOKUP(K561,Localizacoes!$E$3:$F$100,2,FALSE)</f>
        <v>SB1</v>
      </c>
      <c r="M561" t="str">
        <f>VLOOKUP(K561,ID!$E$3:$F$100,2,FALSE)</f>
        <v>SB1</v>
      </c>
      <c r="N561" t="s">
        <v>112</v>
      </c>
      <c r="O561" t="str">
        <f>VLOOKUP(N561,Localizacoes!$G$3:$H$100,2,FALSE)</f>
        <v>SUB</v>
      </c>
      <c r="P561">
        <f>VLOOKUP(N561,ID!$G$3:$H$100,2,FALSE)</f>
        <v>165</v>
      </c>
      <c r="Q561" t="s">
        <v>176</v>
      </c>
      <c r="R561" t="str">
        <f>VLOOKUP(Q561,Localizacoes!$I$3:$J$100,2,FALSE)</f>
        <v>TRA</v>
      </c>
      <c r="S561" t="str">
        <f>VLOOKUP(Q561,ID!$I$3:$J$100,2,FALSE)</f>
        <v>TRA</v>
      </c>
      <c r="T561" s="4" t="s">
        <v>182</v>
      </c>
      <c r="U561" t="s">
        <v>265</v>
      </c>
      <c r="Y561" t="s">
        <v>270</v>
      </c>
      <c r="Z561" t="str">
        <f t="shared" si="106"/>
        <v>Transformador 01</v>
      </c>
      <c r="AD561" s="13" t="s">
        <v>267</v>
      </c>
      <c r="AF561" t="str">
        <f t="shared" si="103"/>
        <v>SubestaçãoTransformador</v>
      </c>
      <c r="AG561" s="28" t="str">
        <f>VLOOKUP(AF561,Imagens!$C$2:$D$42,2,FALSE)</f>
        <v>65e8d98d73a3d</v>
      </c>
      <c r="AH561" t="str">
        <f>_xlfn.CONCAT(Imagens!$H$2,'registo_ativo-CDs (1)'!AG561)</f>
        <v>assets/imagens/products/65e8d98d73a3d</v>
      </c>
      <c r="AI561" s="67">
        <v>45301</v>
      </c>
    </row>
    <row r="562" spans="1:35" ht="16.8" customHeight="1" x14ac:dyDescent="0.3">
      <c r="A562">
        <f t="shared" si="109"/>
        <v>15</v>
      </c>
      <c r="B562" t="str">
        <f t="shared" si="101"/>
        <v>PS51BBG131BOM01</v>
      </c>
      <c r="C562" t="str">
        <f t="shared" si="102"/>
        <v>PSAA-MAX-BBG-EBC-BOM-01</v>
      </c>
      <c r="E562" t="s">
        <v>38</v>
      </c>
      <c r="F562" t="str">
        <f>VLOOKUP(E562,Localizacoes!$A$3:$B$100,2,FALSE)</f>
        <v>PSAA</v>
      </c>
      <c r="G562" t="str">
        <f>VLOOKUP(E562,ID!$A$3:$B$100,2,FALSE)</f>
        <v>PS</v>
      </c>
      <c r="H562" s="14" t="s">
        <v>32</v>
      </c>
      <c r="I562" t="str">
        <f>VLOOKUP(H562,Localizacoes!$C$3:$D$100,2,FALSE)</f>
        <v>MAX</v>
      </c>
      <c r="J562">
        <f>VLOOKUP(H562,ID!$C$3:$D$100,2,FALSE)</f>
        <v>51</v>
      </c>
      <c r="K562" t="s">
        <v>274</v>
      </c>
      <c r="L562" t="str">
        <f>VLOOKUP(K562,Localizacoes!$E$3:$F$100,2,FALSE)</f>
        <v>BBG</v>
      </c>
      <c r="M562" t="str">
        <f>VLOOKUP(K562,ID!$E$3:$F$100,2,FALSE)</f>
        <v>BBG</v>
      </c>
      <c r="N562" t="s">
        <v>704</v>
      </c>
      <c r="O562" t="str">
        <f>VLOOKUP(N562,Localizacoes!$G$3:$H$100,2,FALSE)</f>
        <v>EBC</v>
      </c>
      <c r="P562">
        <f>VLOOKUP(N562,ID!$G$3:$H$100,2,FALSE)</f>
        <v>131</v>
      </c>
      <c r="Q562" t="s">
        <v>150</v>
      </c>
      <c r="R562" t="str">
        <f>VLOOKUP(Q562,Localizacoes!$I$3:$J$100,2,FALSE)</f>
        <v>BOM</v>
      </c>
      <c r="S562" t="str">
        <f>VLOOKUP(Q562,ID!$I$3:$J$100,2,FALSE)</f>
        <v>BOM</v>
      </c>
      <c r="T562" s="4" t="s">
        <v>182</v>
      </c>
      <c r="U562" t="s">
        <v>264</v>
      </c>
      <c r="Y562" t="s">
        <v>270</v>
      </c>
      <c r="Z562" t="str">
        <f t="shared" si="106"/>
        <v>Bomba 01</v>
      </c>
      <c r="AD562" s="13" t="s">
        <v>266</v>
      </c>
      <c r="AF562" t="str">
        <f t="shared" si="103"/>
        <v>Electrobomba centrífugaBomba</v>
      </c>
      <c r="AG562" s="28" t="str">
        <f>VLOOKUP(AF562,Imagens!$C$2:$D$42,2,FALSE)</f>
        <v>65e96125c1d11</v>
      </c>
      <c r="AH562" t="str">
        <f>_xlfn.CONCAT(Imagens!$H$2,'registo_ativo-CDs (1)'!AG562)</f>
        <v>assets/imagens/products/65e96125c1d11</v>
      </c>
      <c r="AI562" s="67">
        <v>45306</v>
      </c>
    </row>
    <row r="563" spans="1:35" ht="16.8" customHeight="1" x14ac:dyDescent="0.3">
      <c r="A563">
        <f t="shared" si="109"/>
        <v>15</v>
      </c>
      <c r="B563" t="str">
        <f t="shared" si="101"/>
        <v>PS51BBG131MOT01</v>
      </c>
      <c r="C563" t="str">
        <f t="shared" si="102"/>
        <v>PSAA-MAX-BBG-EBC-MOT-01</v>
      </c>
      <c r="E563" t="s">
        <v>38</v>
      </c>
      <c r="F563" t="str">
        <f>VLOOKUP(E563,Localizacoes!$A$3:$B$100,2,FALSE)</f>
        <v>PSAA</v>
      </c>
      <c r="G563" t="str">
        <f>VLOOKUP(E563,ID!$A$3:$B$100,2,FALSE)</f>
        <v>PS</v>
      </c>
      <c r="H563" s="14" t="s">
        <v>32</v>
      </c>
      <c r="I563" t="str">
        <f>VLOOKUP(H563,Localizacoes!$C$3:$D$100,2,FALSE)</f>
        <v>MAX</v>
      </c>
      <c r="J563">
        <f>VLOOKUP(H563,ID!$C$3:$D$100,2,FALSE)</f>
        <v>51</v>
      </c>
      <c r="K563" t="s">
        <v>274</v>
      </c>
      <c r="L563" t="str">
        <f>VLOOKUP(K563,Localizacoes!$E$3:$F$100,2,FALSE)</f>
        <v>BBG</v>
      </c>
      <c r="M563" t="str">
        <f>VLOOKUP(K563,ID!$E$3:$F$100,2,FALSE)</f>
        <v>BBG</v>
      </c>
      <c r="N563" t="s">
        <v>704</v>
      </c>
      <c r="O563" t="str">
        <f>VLOOKUP(N563,Localizacoes!$G$3:$H$100,2,FALSE)</f>
        <v>EBC</v>
      </c>
      <c r="P563">
        <f>VLOOKUP(N563,ID!$G$3:$H$100,2,FALSE)</f>
        <v>131</v>
      </c>
      <c r="Q563" t="s">
        <v>21</v>
      </c>
      <c r="R563" t="str">
        <f>VLOOKUP(Q563,Localizacoes!$I$3:$J$100,2,FALSE)</f>
        <v>MOT</v>
      </c>
      <c r="S563" t="str">
        <f>VLOOKUP(Q563,ID!$I$3:$J$100,2,FALSE)</f>
        <v>MOT</v>
      </c>
      <c r="T563" s="4" t="s">
        <v>182</v>
      </c>
      <c r="U563" t="s">
        <v>265</v>
      </c>
      <c r="Y563" t="s">
        <v>270</v>
      </c>
      <c r="Z563" t="str">
        <f t="shared" si="106"/>
        <v>Motor 01</v>
      </c>
      <c r="AD563" s="13" t="s">
        <v>266</v>
      </c>
      <c r="AF563" t="str">
        <f t="shared" si="103"/>
        <v>Electrobomba centrífugaMotor</v>
      </c>
      <c r="AG563" s="28" t="str">
        <f>VLOOKUP(AF563,Imagens!$C$2:$D$42,2,FALSE)</f>
        <v>65d04210323a4</v>
      </c>
      <c r="AH563" t="str">
        <f>_xlfn.CONCAT(Imagens!$H$2,'registo_ativo-CDs (1)'!AG563)</f>
        <v>assets/imagens/products/65d04210323a4</v>
      </c>
      <c r="AI563" s="67">
        <v>45306</v>
      </c>
    </row>
    <row r="564" spans="1:35" ht="16.8" customHeight="1" x14ac:dyDescent="0.3">
      <c r="A564">
        <f t="shared" si="109"/>
        <v>15</v>
      </c>
      <c r="B564" t="str">
        <f t="shared" si="101"/>
        <v>PS51BBG131QEA01</v>
      </c>
      <c r="C564" t="str">
        <f t="shared" si="102"/>
        <v>PSAA-MAX-BBG-EBC-QEA-01</v>
      </c>
      <c r="E564" t="s">
        <v>38</v>
      </c>
      <c r="F564" t="str">
        <f>VLOOKUP(E564,Localizacoes!$A$3:$B$100,2,FALSE)</f>
        <v>PSAA</v>
      </c>
      <c r="G564" t="str">
        <f>VLOOKUP(E564,ID!$A$3:$B$100,2,FALSE)</f>
        <v>PS</v>
      </c>
      <c r="H564" s="14" t="s">
        <v>32</v>
      </c>
      <c r="I564" t="str">
        <f>VLOOKUP(H564,Localizacoes!$C$3:$D$100,2,FALSE)</f>
        <v>MAX</v>
      </c>
      <c r="J564">
        <f>VLOOKUP(H564,ID!$C$3:$D$100,2,FALSE)</f>
        <v>51</v>
      </c>
      <c r="K564" t="s">
        <v>274</v>
      </c>
      <c r="L564" t="str">
        <f>VLOOKUP(K564,Localizacoes!$E$3:$F$100,2,FALSE)</f>
        <v>BBG</v>
      </c>
      <c r="M564" t="str">
        <f>VLOOKUP(K564,ID!$E$3:$F$100,2,FALSE)</f>
        <v>BBG</v>
      </c>
      <c r="N564" t="s">
        <v>704</v>
      </c>
      <c r="O564" t="str">
        <f>VLOOKUP(N564,Localizacoes!$G$3:$H$100,2,FALSE)</f>
        <v>EBC</v>
      </c>
      <c r="P564">
        <f>VLOOKUP(N564,ID!$G$3:$H$100,2,FALSE)</f>
        <v>131</v>
      </c>
      <c r="Q564" t="s">
        <v>154</v>
      </c>
      <c r="R564" t="str">
        <f>VLOOKUP(Q564,Localizacoes!$I$3:$J$100,2,FALSE)</f>
        <v>QEA</v>
      </c>
      <c r="S564" t="str">
        <f>VLOOKUP(Q564,ID!$I$3:$J$100,2,FALSE)</f>
        <v>QEA</v>
      </c>
      <c r="T564" s="4" t="s">
        <v>182</v>
      </c>
      <c r="U564" t="s">
        <v>265</v>
      </c>
      <c r="Y564" t="s">
        <v>270</v>
      </c>
      <c r="Z564" t="str">
        <f t="shared" si="106"/>
        <v>Quadros Eléctricos de Arranque 01</v>
      </c>
      <c r="AD564" s="13" t="s">
        <v>266</v>
      </c>
      <c r="AF564" t="str">
        <f t="shared" si="103"/>
        <v>Electrobomba centrífugaQuadros Eléctricos de Arranque</v>
      </c>
      <c r="AG564" s="28" t="str">
        <f>VLOOKUP(AF564,Imagens!$C$2:$D$42,2,FALSE)</f>
        <v>65e8d2fa35c12</v>
      </c>
      <c r="AH564" t="str">
        <f>_xlfn.CONCAT(Imagens!$H$2,'registo_ativo-CDs (1)'!AG564)</f>
        <v>assets/imagens/products/65e8d2fa35c12</v>
      </c>
      <c r="AI564" s="67">
        <v>45362</v>
      </c>
    </row>
    <row r="565" spans="1:35" ht="16.8" customHeight="1" x14ac:dyDescent="0.3">
      <c r="A565">
        <f t="shared" si="109"/>
        <v>15</v>
      </c>
      <c r="B565" t="str">
        <f t="shared" si="101"/>
        <v>PS51BBG131VSU01</v>
      </c>
      <c r="C565" t="str">
        <f t="shared" si="102"/>
        <v>PSAA-MAX-BBG-EBC-VSU-01</v>
      </c>
      <c r="E565" t="s">
        <v>38</v>
      </c>
      <c r="F565" t="str">
        <f>VLOOKUP(E565,Localizacoes!$A$3:$B$100,2,FALSE)</f>
        <v>PSAA</v>
      </c>
      <c r="G565" t="str">
        <f>VLOOKUP(E565,ID!$A$3:$B$100,2,FALSE)</f>
        <v>PS</v>
      </c>
      <c r="H565" s="14" t="s">
        <v>32</v>
      </c>
      <c r="I565" t="str">
        <f>VLOOKUP(H565,Localizacoes!$C$3:$D$100,2,FALSE)</f>
        <v>MAX</v>
      </c>
      <c r="J565">
        <f>VLOOKUP(H565,ID!$C$3:$D$100,2,FALSE)</f>
        <v>51</v>
      </c>
      <c r="K565" t="s">
        <v>274</v>
      </c>
      <c r="L565" t="str">
        <f>VLOOKUP(K565,Localizacoes!$E$3:$F$100,2,FALSE)</f>
        <v>BBG</v>
      </c>
      <c r="M565" t="str">
        <f>VLOOKUP(K565,ID!$E$3:$F$100,2,FALSE)</f>
        <v>BBG</v>
      </c>
      <c r="N565" t="s">
        <v>704</v>
      </c>
      <c r="O565" t="str">
        <f>VLOOKUP(N565,Localizacoes!$G$3:$H$100,2,FALSE)</f>
        <v>EBC</v>
      </c>
      <c r="P565">
        <f>VLOOKUP(N565,ID!$G$3:$H$100,2,FALSE)</f>
        <v>131</v>
      </c>
      <c r="Q565" t="s">
        <v>276</v>
      </c>
      <c r="R565" t="str">
        <f>VLOOKUP(Q565,Localizacoes!$I$3:$J$100,2,FALSE)</f>
        <v>VSU</v>
      </c>
      <c r="S565" t="str">
        <f>VLOOKUP(Q565,ID!$I$3:$J$100,2,FALSE)</f>
        <v>VSU</v>
      </c>
      <c r="T565" s="4" t="s">
        <v>182</v>
      </c>
      <c r="U565" t="s">
        <v>264</v>
      </c>
      <c r="Y565" t="s">
        <v>270</v>
      </c>
      <c r="Z565" t="str">
        <f t="shared" si="106"/>
        <v>Válvula Sucção 01</v>
      </c>
      <c r="AD565" s="13" t="s">
        <v>266</v>
      </c>
      <c r="AF565" t="str">
        <f t="shared" si="103"/>
        <v>Electrobomba centrífugaVálvula Sucção</v>
      </c>
      <c r="AG565" s="28" t="str">
        <f>VLOOKUP(AF565,Imagens!$C$2:$D$42,2,FALSE)</f>
        <v>65e8cda0676b7</v>
      </c>
      <c r="AH565" t="str">
        <f>_xlfn.CONCAT(Imagens!$H$2,'registo_ativo-CDs (1)'!AG565)</f>
        <v>assets/imagens/products/65e8cda0676b7</v>
      </c>
      <c r="AI565" s="67">
        <v>45362</v>
      </c>
    </row>
    <row r="566" spans="1:35" ht="16.8" customHeight="1" x14ac:dyDescent="0.3">
      <c r="A566">
        <f t="shared" si="109"/>
        <v>15</v>
      </c>
      <c r="B566" t="str">
        <f t="shared" si="101"/>
        <v>PS51BBG131VDE01</v>
      </c>
      <c r="C566" t="str">
        <f t="shared" si="102"/>
        <v>PSAA-MAX-BBG-EBC-VDE-01</v>
      </c>
      <c r="E566" t="s">
        <v>38</v>
      </c>
      <c r="F566" t="str">
        <f>VLOOKUP(E566,Localizacoes!$A$3:$B$100,2,FALSE)</f>
        <v>PSAA</v>
      </c>
      <c r="G566" t="str">
        <f>VLOOKUP(E566,ID!$A$3:$B$100,2,FALSE)</f>
        <v>PS</v>
      </c>
      <c r="H566" s="14" t="s">
        <v>32</v>
      </c>
      <c r="I566" t="str">
        <f>VLOOKUP(H566,Localizacoes!$C$3:$D$100,2,FALSE)</f>
        <v>MAX</v>
      </c>
      <c r="J566">
        <f>VLOOKUP(H566,ID!$C$3:$D$100,2,FALSE)</f>
        <v>51</v>
      </c>
      <c r="K566" t="s">
        <v>274</v>
      </c>
      <c r="L566" t="str">
        <f>VLOOKUP(K566,Localizacoes!$E$3:$F$100,2,FALSE)</f>
        <v>BBG</v>
      </c>
      <c r="M566" t="str">
        <f>VLOOKUP(K566,ID!$E$3:$F$100,2,FALSE)</f>
        <v>BBG</v>
      </c>
      <c r="N566" t="s">
        <v>704</v>
      </c>
      <c r="O566" t="str">
        <f>VLOOKUP(N566,Localizacoes!$G$3:$H$100,2,FALSE)</f>
        <v>EBC</v>
      </c>
      <c r="P566">
        <f>VLOOKUP(N566,ID!$G$3:$H$100,2,FALSE)</f>
        <v>131</v>
      </c>
      <c r="Q566" t="s">
        <v>279</v>
      </c>
      <c r="R566" t="str">
        <f>VLOOKUP(Q566,Localizacoes!$I$3:$J$100,2,FALSE)</f>
        <v>VDE</v>
      </c>
      <c r="S566" t="str">
        <f>VLOOKUP(Q566,ID!$I$3:$J$100,2,FALSE)</f>
        <v>VDE</v>
      </c>
      <c r="T566" s="4" t="s">
        <v>182</v>
      </c>
      <c r="U566" t="s">
        <v>264</v>
      </c>
      <c r="Y566" t="s">
        <v>270</v>
      </c>
      <c r="Z566" t="str">
        <f t="shared" si="106"/>
        <v>Válvula Descarga 01</v>
      </c>
      <c r="AD566" s="13" t="s">
        <v>266</v>
      </c>
      <c r="AF566" t="str">
        <f t="shared" si="103"/>
        <v>Electrobomba centrífugaVálvula Descarga</v>
      </c>
      <c r="AG566" s="28" t="str">
        <f>VLOOKUP(AF566,Imagens!$C$2:$D$42,2,FALSE)</f>
        <v>65e8cda0676b7</v>
      </c>
      <c r="AH566" t="str">
        <f>_xlfn.CONCAT(Imagens!$H$2,'registo_ativo-CDs (1)'!AG566)</f>
        <v>assets/imagens/products/65e8cda0676b7</v>
      </c>
      <c r="AI566" s="67">
        <v>45362</v>
      </c>
    </row>
    <row r="567" spans="1:35" ht="16.8" customHeight="1" x14ac:dyDescent="0.3">
      <c r="A567">
        <f t="shared" si="109"/>
        <v>15</v>
      </c>
      <c r="B567" t="str">
        <f t="shared" ref="B567:B630" si="110">CONCATENATE(G567,J567,M567,P567,S567,T567)</f>
        <v>PS51BBG131BOM02</v>
      </c>
      <c r="C567" t="str">
        <f t="shared" ref="C567:C630" si="111">CONCATENATE(F567, "-", I567, "-", L567, "-", O567, "-", R567, "-", T567)</f>
        <v>PSAA-MAX-BBG-EBC-BOM-02</v>
      </c>
      <c r="E567" t="s">
        <v>38</v>
      </c>
      <c r="F567" t="str">
        <f>VLOOKUP(E567,Localizacoes!$A$3:$B$100,2,FALSE)</f>
        <v>PSAA</v>
      </c>
      <c r="G567" t="str">
        <f>VLOOKUP(E567,ID!$A$3:$B$100,2,FALSE)</f>
        <v>PS</v>
      </c>
      <c r="H567" s="14" t="s">
        <v>32</v>
      </c>
      <c r="I567" t="str">
        <f>VLOOKUP(H567,Localizacoes!$C$3:$D$100,2,FALSE)</f>
        <v>MAX</v>
      </c>
      <c r="J567">
        <f>VLOOKUP(H567,ID!$C$3:$D$100,2,FALSE)</f>
        <v>51</v>
      </c>
      <c r="K567" t="s">
        <v>274</v>
      </c>
      <c r="L567" t="str">
        <f>VLOOKUP(K567,Localizacoes!$E$3:$F$100,2,FALSE)</f>
        <v>BBG</v>
      </c>
      <c r="M567" t="str">
        <f>VLOOKUP(K567,ID!$E$3:$F$100,2,FALSE)</f>
        <v>BBG</v>
      </c>
      <c r="N567" t="s">
        <v>704</v>
      </c>
      <c r="O567" t="str">
        <f>VLOOKUP(N567,Localizacoes!$G$3:$H$100,2,FALSE)</f>
        <v>EBC</v>
      </c>
      <c r="P567">
        <f>VLOOKUP(N567,ID!$G$3:$H$100,2,FALSE)</f>
        <v>131</v>
      </c>
      <c r="Q567" t="s">
        <v>150</v>
      </c>
      <c r="R567" t="str">
        <f>VLOOKUP(Q567,Localizacoes!$I$3:$J$100,2,FALSE)</f>
        <v>BOM</v>
      </c>
      <c r="S567" t="str">
        <f>VLOOKUP(Q567,ID!$I$3:$J$100,2,FALSE)</f>
        <v>BOM</v>
      </c>
      <c r="T567" s="4" t="s">
        <v>186</v>
      </c>
      <c r="U567" t="s">
        <v>264</v>
      </c>
      <c r="Y567" t="s">
        <v>270</v>
      </c>
      <c r="Z567" t="str">
        <f t="shared" si="106"/>
        <v>Bomba 02</v>
      </c>
      <c r="AD567" s="13" t="s">
        <v>266</v>
      </c>
      <c r="AF567" t="str">
        <f t="shared" ref="AF567:AF620" si="112">_xlfn.CONCAT(N567,Q567)</f>
        <v>Electrobomba centrífugaBomba</v>
      </c>
      <c r="AG567" s="28" t="str">
        <f>VLOOKUP(AF567,Imagens!$C$2:$D$42,2,FALSE)</f>
        <v>65e96125c1d11</v>
      </c>
      <c r="AH567" t="str">
        <f>_xlfn.CONCAT(Imagens!$H$2,'registo_ativo-CDs (1)'!AG567)</f>
        <v>assets/imagens/products/65e96125c1d11</v>
      </c>
      <c r="AI567" s="67">
        <v>45306</v>
      </c>
    </row>
    <row r="568" spans="1:35" ht="16.8" customHeight="1" x14ac:dyDescent="0.3">
      <c r="A568">
        <f t="shared" si="109"/>
        <v>15</v>
      </c>
      <c r="B568" t="str">
        <f t="shared" si="110"/>
        <v>PS51BBG131MOT02</v>
      </c>
      <c r="C568" t="str">
        <f t="shared" si="111"/>
        <v>PSAA-MAX-BBG-EBC-MOT-02</v>
      </c>
      <c r="E568" t="s">
        <v>38</v>
      </c>
      <c r="F568" t="str">
        <f>VLOOKUP(E568,Localizacoes!$A$3:$B$100,2,FALSE)</f>
        <v>PSAA</v>
      </c>
      <c r="G568" t="str">
        <f>VLOOKUP(E568,ID!$A$3:$B$100,2,FALSE)</f>
        <v>PS</v>
      </c>
      <c r="H568" s="14" t="s">
        <v>32</v>
      </c>
      <c r="I568" t="str">
        <f>VLOOKUP(H568,Localizacoes!$C$3:$D$100,2,FALSE)</f>
        <v>MAX</v>
      </c>
      <c r="J568">
        <f>VLOOKUP(H568,ID!$C$3:$D$100,2,FALSE)</f>
        <v>51</v>
      </c>
      <c r="K568" t="s">
        <v>274</v>
      </c>
      <c r="L568" t="str">
        <f>VLOOKUP(K568,Localizacoes!$E$3:$F$100,2,FALSE)</f>
        <v>BBG</v>
      </c>
      <c r="M568" t="str">
        <f>VLOOKUP(K568,ID!$E$3:$F$100,2,FALSE)</f>
        <v>BBG</v>
      </c>
      <c r="N568" t="s">
        <v>704</v>
      </c>
      <c r="O568" t="str">
        <f>VLOOKUP(N568,Localizacoes!$G$3:$H$100,2,FALSE)</f>
        <v>EBC</v>
      </c>
      <c r="P568">
        <f>VLOOKUP(N568,ID!$G$3:$H$100,2,FALSE)</f>
        <v>131</v>
      </c>
      <c r="Q568" t="s">
        <v>21</v>
      </c>
      <c r="R568" t="str">
        <f>VLOOKUP(Q568,Localizacoes!$I$3:$J$100,2,FALSE)</f>
        <v>MOT</v>
      </c>
      <c r="S568" t="str">
        <f>VLOOKUP(Q568,ID!$I$3:$J$100,2,FALSE)</f>
        <v>MOT</v>
      </c>
      <c r="T568" s="4" t="s">
        <v>186</v>
      </c>
      <c r="U568" t="s">
        <v>265</v>
      </c>
      <c r="Y568" t="s">
        <v>270</v>
      </c>
      <c r="Z568" t="str">
        <f t="shared" si="106"/>
        <v>Motor 02</v>
      </c>
      <c r="AD568" s="13" t="s">
        <v>266</v>
      </c>
      <c r="AF568" t="str">
        <f t="shared" si="112"/>
        <v>Electrobomba centrífugaMotor</v>
      </c>
      <c r="AG568" s="28" t="str">
        <f>VLOOKUP(AF568,Imagens!$C$2:$D$42,2,FALSE)</f>
        <v>65d04210323a4</v>
      </c>
      <c r="AH568" t="str">
        <f>_xlfn.CONCAT(Imagens!$H$2,'registo_ativo-CDs (1)'!AG568)</f>
        <v>assets/imagens/products/65d04210323a4</v>
      </c>
      <c r="AI568" s="67">
        <v>45306</v>
      </c>
    </row>
    <row r="569" spans="1:35" ht="16.8" customHeight="1" x14ac:dyDescent="0.3">
      <c r="A569">
        <f t="shared" si="109"/>
        <v>15</v>
      </c>
      <c r="B569" t="str">
        <f t="shared" si="110"/>
        <v>PS51BBG131QEA02</v>
      </c>
      <c r="C569" t="str">
        <f t="shared" si="111"/>
        <v>PSAA-MAX-BBG-EBC-QEA-02</v>
      </c>
      <c r="E569" t="s">
        <v>38</v>
      </c>
      <c r="F569" t="str">
        <f>VLOOKUP(E569,Localizacoes!$A$3:$B$100,2,FALSE)</f>
        <v>PSAA</v>
      </c>
      <c r="G569" t="str">
        <f>VLOOKUP(E569,ID!$A$3:$B$100,2,FALSE)</f>
        <v>PS</v>
      </c>
      <c r="H569" s="14" t="s">
        <v>32</v>
      </c>
      <c r="I569" t="str">
        <f>VLOOKUP(H569,Localizacoes!$C$3:$D$100,2,FALSE)</f>
        <v>MAX</v>
      </c>
      <c r="J569">
        <f>VLOOKUP(H569,ID!$C$3:$D$100,2,FALSE)</f>
        <v>51</v>
      </c>
      <c r="K569" t="s">
        <v>274</v>
      </c>
      <c r="L569" t="str">
        <f>VLOOKUP(K569,Localizacoes!$E$3:$F$100,2,FALSE)</f>
        <v>BBG</v>
      </c>
      <c r="M569" t="str">
        <f>VLOOKUP(K569,ID!$E$3:$F$100,2,FALSE)</f>
        <v>BBG</v>
      </c>
      <c r="N569" t="s">
        <v>704</v>
      </c>
      <c r="O569" t="str">
        <f>VLOOKUP(N569,Localizacoes!$G$3:$H$100,2,FALSE)</f>
        <v>EBC</v>
      </c>
      <c r="P569">
        <f>VLOOKUP(N569,ID!$G$3:$H$100,2,FALSE)</f>
        <v>131</v>
      </c>
      <c r="Q569" t="s">
        <v>154</v>
      </c>
      <c r="R569" t="str">
        <f>VLOOKUP(Q569,Localizacoes!$I$3:$J$100,2,FALSE)</f>
        <v>QEA</v>
      </c>
      <c r="S569" t="str">
        <f>VLOOKUP(Q569,ID!$I$3:$J$100,2,FALSE)</f>
        <v>QEA</v>
      </c>
      <c r="T569" s="4" t="s">
        <v>186</v>
      </c>
      <c r="U569" t="s">
        <v>265</v>
      </c>
      <c r="Y569" t="s">
        <v>270</v>
      </c>
      <c r="Z569" t="str">
        <f t="shared" si="106"/>
        <v>Quadros Eléctricos de Arranque 02</v>
      </c>
      <c r="AD569" s="13" t="s">
        <v>266</v>
      </c>
      <c r="AF569" t="str">
        <f t="shared" si="112"/>
        <v>Electrobomba centrífugaQuadros Eléctricos de Arranque</v>
      </c>
      <c r="AG569" s="28" t="str">
        <f>VLOOKUP(AF569,Imagens!$C$2:$D$42,2,FALSE)</f>
        <v>65e8d2fa35c12</v>
      </c>
      <c r="AH569" t="str">
        <f>_xlfn.CONCAT(Imagens!$H$2,'registo_ativo-CDs (1)'!AG569)</f>
        <v>assets/imagens/products/65e8d2fa35c12</v>
      </c>
      <c r="AI569" s="67">
        <v>45362</v>
      </c>
    </row>
    <row r="570" spans="1:35" ht="16.8" customHeight="1" x14ac:dyDescent="0.3">
      <c r="A570">
        <f t="shared" si="109"/>
        <v>15</v>
      </c>
      <c r="B570" t="str">
        <f t="shared" si="110"/>
        <v>PS51BBG131VSU02</v>
      </c>
      <c r="C570" t="str">
        <f t="shared" si="111"/>
        <v>PSAA-MAX-BBG-EBC-VSU-02</v>
      </c>
      <c r="E570" t="s">
        <v>38</v>
      </c>
      <c r="F570" t="str">
        <f>VLOOKUP(E570,Localizacoes!$A$3:$B$100,2,FALSE)</f>
        <v>PSAA</v>
      </c>
      <c r="G570" t="str">
        <f>VLOOKUP(E570,ID!$A$3:$B$100,2,FALSE)</f>
        <v>PS</v>
      </c>
      <c r="H570" s="14" t="s">
        <v>32</v>
      </c>
      <c r="I570" t="str">
        <f>VLOOKUP(H570,Localizacoes!$C$3:$D$100,2,FALSE)</f>
        <v>MAX</v>
      </c>
      <c r="J570">
        <f>VLOOKUP(H570,ID!$C$3:$D$100,2,FALSE)</f>
        <v>51</v>
      </c>
      <c r="K570" t="s">
        <v>274</v>
      </c>
      <c r="L570" t="str">
        <f>VLOOKUP(K570,Localizacoes!$E$3:$F$100,2,FALSE)</f>
        <v>BBG</v>
      </c>
      <c r="M570" t="str">
        <f>VLOOKUP(K570,ID!$E$3:$F$100,2,FALSE)</f>
        <v>BBG</v>
      </c>
      <c r="N570" t="s">
        <v>704</v>
      </c>
      <c r="O570" t="str">
        <f>VLOOKUP(N570,Localizacoes!$G$3:$H$100,2,FALSE)</f>
        <v>EBC</v>
      </c>
      <c r="P570">
        <f>VLOOKUP(N570,ID!$G$3:$H$100,2,FALSE)</f>
        <v>131</v>
      </c>
      <c r="Q570" t="s">
        <v>276</v>
      </c>
      <c r="R570" t="str">
        <f>VLOOKUP(Q570,Localizacoes!$I$3:$J$100,2,FALSE)</f>
        <v>VSU</v>
      </c>
      <c r="S570" t="str">
        <f>VLOOKUP(Q570,ID!$I$3:$J$100,2,FALSE)</f>
        <v>VSU</v>
      </c>
      <c r="T570" s="4" t="s">
        <v>186</v>
      </c>
      <c r="U570" t="s">
        <v>264</v>
      </c>
      <c r="Y570" t="s">
        <v>270</v>
      </c>
      <c r="Z570" t="str">
        <f t="shared" si="106"/>
        <v>Válvula Sucção 02</v>
      </c>
      <c r="AD570" s="13" t="s">
        <v>266</v>
      </c>
      <c r="AF570" t="str">
        <f t="shared" si="112"/>
        <v>Electrobomba centrífugaVálvula Sucção</v>
      </c>
      <c r="AG570" s="28" t="str">
        <f>VLOOKUP(AF570,Imagens!$C$2:$D$42,2,FALSE)</f>
        <v>65e8cda0676b7</v>
      </c>
      <c r="AH570" t="str">
        <f>_xlfn.CONCAT(Imagens!$H$2,'registo_ativo-CDs (1)'!AG570)</f>
        <v>assets/imagens/products/65e8cda0676b7</v>
      </c>
      <c r="AI570" s="67">
        <v>45362</v>
      </c>
    </row>
    <row r="571" spans="1:35" ht="16.8" customHeight="1" x14ac:dyDescent="0.3">
      <c r="A571">
        <f t="shared" si="109"/>
        <v>15</v>
      </c>
      <c r="B571" t="str">
        <f t="shared" si="110"/>
        <v>PS51BBG131VDE02</v>
      </c>
      <c r="C571" t="str">
        <f t="shared" si="111"/>
        <v>PSAA-MAX-BBG-EBC-VDE-02</v>
      </c>
      <c r="E571" t="s">
        <v>38</v>
      </c>
      <c r="F571" t="str">
        <f>VLOOKUP(E571,Localizacoes!$A$3:$B$100,2,FALSE)</f>
        <v>PSAA</v>
      </c>
      <c r="G571" t="str">
        <f>VLOOKUP(E571,ID!$A$3:$B$100,2,FALSE)</f>
        <v>PS</v>
      </c>
      <c r="H571" s="14" t="s">
        <v>32</v>
      </c>
      <c r="I571" t="str">
        <f>VLOOKUP(H571,Localizacoes!$C$3:$D$100,2,FALSE)</f>
        <v>MAX</v>
      </c>
      <c r="J571">
        <f>VLOOKUP(H571,ID!$C$3:$D$100,2,FALSE)</f>
        <v>51</v>
      </c>
      <c r="K571" t="s">
        <v>274</v>
      </c>
      <c r="L571" t="str">
        <f>VLOOKUP(K571,Localizacoes!$E$3:$F$100,2,FALSE)</f>
        <v>BBG</v>
      </c>
      <c r="M571" t="str">
        <f>VLOOKUP(K571,ID!$E$3:$F$100,2,FALSE)</f>
        <v>BBG</v>
      </c>
      <c r="N571" t="s">
        <v>704</v>
      </c>
      <c r="O571" t="str">
        <f>VLOOKUP(N571,Localizacoes!$G$3:$H$100,2,FALSE)</f>
        <v>EBC</v>
      </c>
      <c r="P571">
        <f>VLOOKUP(N571,ID!$G$3:$H$100,2,FALSE)</f>
        <v>131</v>
      </c>
      <c r="Q571" t="s">
        <v>279</v>
      </c>
      <c r="R571" t="str">
        <f>VLOOKUP(Q571,Localizacoes!$I$3:$J$100,2,FALSE)</f>
        <v>VDE</v>
      </c>
      <c r="S571" t="str">
        <f>VLOOKUP(Q571,ID!$I$3:$J$100,2,FALSE)</f>
        <v>VDE</v>
      </c>
      <c r="T571" s="4" t="s">
        <v>186</v>
      </c>
      <c r="U571" t="s">
        <v>264</v>
      </c>
      <c r="Y571" t="s">
        <v>270</v>
      </c>
      <c r="Z571" t="str">
        <f t="shared" si="106"/>
        <v>Válvula Descarga 02</v>
      </c>
      <c r="AD571" s="13" t="s">
        <v>266</v>
      </c>
      <c r="AF571" t="str">
        <f t="shared" si="112"/>
        <v>Electrobomba centrífugaVálvula Descarga</v>
      </c>
      <c r="AG571" s="28" t="str">
        <f>VLOOKUP(AF571,Imagens!$C$2:$D$42,2,FALSE)</f>
        <v>65e8cda0676b7</v>
      </c>
      <c r="AH571" t="str">
        <f>_xlfn.CONCAT(Imagens!$H$2,'registo_ativo-CDs (1)'!AG571)</f>
        <v>assets/imagens/products/65e8cda0676b7</v>
      </c>
      <c r="AI571" s="67">
        <v>45362</v>
      </c>
    </row>
    <row r="572" spans="1:35" ht="16.8" customHeight="1" x14ac:dyDescent="0.3">
      <c r="A572">
        <f t="shared" si="109"/>
        <v>15</v>
      </c>
      <c r="B572" t="str">
        <f t="shared" si="110"/>
        <v>PS51ILU164ILL01</v>
      </c>
      <c r="C572" t="str">
        <f t="shared" si="111"/>
        <v>PSAA-MAX-ILU-SIL-CEL-01</v>
      </c>
      <c r="E572" t="s">
        <v>38</v>
      </c>
      <c r="F572" t="str">
        <f>VLOOKUP(E572,Localizacoes!$A$3:$B$100,2,FALSE)</f>
        <v>PSAA</v>
      </c>
      <c r="G572" t="str">
        <f>VLOOKUP(E572,ID!$A$3:$B$100,2,FALSE)</f>
        <v>PS</v>
      </c>
      <c r="H572" s="14" t="s">
        <v>32</v>
      </c>
      <c r="I572" t="str">
        <f>VLOOKUP(H572,Localizacoes!$C$3:$D$100,2,FALSE)</f>
        <v>MAX</v>
      </c>
      <c r="J572">
        <f>VLOOKUP(H572,ID!$C$3:$D$100,2,FALSE)</f>
        <v>51</v>
      </c>
      <c r="K572" t="s">
        <v>141</v>
      </c>
      <c r="L572" t="str">
        <f>VLOOKUP(K572,Localizacoes!$E$3:$F$100,2,FALSE)</f>
        <v>ILU</v>
      </c>
      <c r="M572" t="str">
        <f>VLOOKUP(K572,ID!$E$3:$F$100,2,FALSE)</f>
        <v>ILU</v>
      </c>
      <c r="N572" t="s">
        <v>688</v>
      </c>
      <c r="O572" t="str">
        <f>VLOOKUP(N572,Localizacoes!$G$3:$H$100,2,FALSE)</f>
        <v>SIL</v>
      </c>
      <c r="P572">
        <f>VLOOKUP(N572,ID!$G$3:$H$100,2,FALSE)</f>
        <v>164</v>
      </c>
      <c r="Q572" t="s">
        <v>141</v>
      </c>
      <c r="R572" t="s">
        <v>541</v>
      </c>
      <c r="S572" t="str">
        <f>VLOOKUP(Q572,ID!$I$3:$J$100,2,FALSE)</f>
        <v>ILL</v>
      </c>
      <c r="T572" s="4" t="s">
        <v>182</v>
      </c>
      <c r="U572" t="s">
        <v>265</v>
      </c>
      <c r="Y572" t="s">
        <v>270</v>
      </c>
      <c r="Z572" t="str">
        <f t="shared" si="106"/>
        <v>Iluminação 01</v>
      </c>
      <c r="AD572" s="13" t="s">
        <v>266</v>
      </c>
      <c r="AF572" t="str">
        <f t="shared" si="112"/>
        <v>Sistema de IluminaçãoIluminação</v>
      </c>
      <c r="AG572" s="28" t="str">
        <f>VLOOKUP(AF572,Imagens!$C$2:$D$42,2,FALSE)</f>
        <v>65e8e579bfe6c</v>
      </c>
      <c r="AH572" t="str">
        <f>_xlfn.CONCAT(Imagens!$H$2,'registo_ativo-CDs (1)'!AG572)</f>
        <v>assets/imagens/products/65e8e579bfe6c</v>
      </c>
      <c r="AI572" s="67">
        <v>45306</v>
      </c>
    </row>
    <row r="573" spans="1:35" ht="16.8" customHeight="1" x14ac:dyDescent="0.3">
      <c r="A573">
        <f t="shared" si="109"/>
        <v>15</v>
      </c>
      <c r="B573" t="str">
        <f t="shared" si="110"/>
        <v>PS51CAN152CAN01</v>
      </c>
      <c r="C573" t="str">
        <f t="shared" si="111"/>
        <v>PSAA-MAX-CAN-QEL-CEL-01</v>
      </c>
      <c r="E573" t="s">
        <v>38</v>
      </c>
      <c r="F573" t="str">
        <f>VLOOKUP(E573,Localizacoes!$A$3:$B$100,2,FALSE)</f>
        <v>PSAA</v>
      </c>
      <c r="G573" t="str">
        <f>VLOOKUP(E573,ID!$A$3:$B$100,2,FALSE)</f>
        <v>PS</v>
      </c>
      <c r="H573" s="14" t="s">
        <v>32</v>
      </c>
      <c r="I573" t="str">
        <f>VLOOKUP(H573,Localizacoes!$C$3:$D$100,2,FALSE)</f>
        <v>MAX</v>
      </c>
      <c r="J573">
        <f>VLOOKUP(H573,ID!$C$3:$D$100,2,FALSE)</f>
        <v>51</v>
      </c>
      <c r="K573" t="s">
        <v>101</v>
      </c>
      <c r="L573" t="str">
        <f>VLOOKUP(K573,Localizacoes!$E$3:$F$100,2,FALSE)</f>
        <v>CAN</v>
      </c>
      <c r="M573" t="str">
        <f>VLOOKUP(K573,ID!$E$3:$F$100,2,FALSE)</f>
        <v>CAN</v>
      </c>
      <c r="N573" t="s">
        <v>286</v>
      </c>
      <c r="O573" t="str">
        <f>VLOOKUP(N573,Localizacoes!$G$3:$H$100,2,FALSE)</f>
        <v>QEL</v>
      </c>
      <c r="P573">
        <f>VLOOKUP(N573,ID!$G$3:$H$100,2,FALSE)</f>
        <v>152</v>
      </c>
      <c r="Q573" t="s">
        <v>101</v>
      </c>
      <c r="R573" t="s">
        <v>541</v>
      </c>
      <c r="S573" t="str">
        <f>VLOOKUP(Q573,ID!$I$3:$J$100,2,FALSE)</f>
        <v>CAN</v>
      </c>
      <c r="T573" s="4" t="s">
        <v>182</v>
      </c>
      <c r="U573" t="s">
        <v>265</v>
      </c>
      <c r="Y573" t="s">
        <v>270</v>
      </c>
      <c r="Z573" t="str">
        <f t="shared" si="106"/>
        <v>Canalização Eléctrica 01</v>
      </c>
      <c r="AD573" s="13" t="s">
        <v>266</v>
      </c>
      <c r="AF573" t="str">
        <f t="shared" si="112"/>
        <v>Quadro EléctricoCanalização Eléctrica</v>
      </c>
      <c r="AG573" s="28" t="str">
        <f>VLOOKUP(AF573,Imagens!$C$2:$D$42,2,FALSE)</f>
        <v>65e8e4bb71249</v>
      </c>
      <c r="AH573" t="str">
        <f>_xlfn.CONCAT(Imagens!$H$2,'registo_ativo-CDs (1)'!AG573)</f>
        <v>assets/imagens/products/65e8e4bb71249</v>
      </c>
      <c r="AI573" s="67">
        <v>45446</v>
      </c>
    </row>
    <row r="574" spans="1:35" ht="16.8" customHeight="1" x14ac:dyDescent="0.3">
      <c r="A574">
        <f t="shared" si="109"/>
        <v>15</v>
      </c>
      <c r="B574" t="str">
        <f t="shared" si="110"/>
        <v>PS51SB1165TRA01</v>
      </c>
      <c r="C574" t="str">
        <f t="shared" si="111"/>
        <v>PSAA-MAX-SB1-SUB-TRA-01</v>
      </c>
      <c r="E574" t="s">
        <v>38</v>
      </c>
      <c r="F574" t="str">
        <f>VLOOKUP(E574,Localizacoes!$A$3:$B$100,2,FALSE)</f>
        <v>PSAA</v>
      </c>
      <c r="G574" t="str">
        <f>VLOOKUP(E574,ID!$A$3:$B$100,2,FALSE)</f>
        <v>PS</v>
      </c>
      <c r="H574" s="14" t="s">
        <v>32</v>
      </c>
      <c r="I574" t="str">
        <f>VLOOKUP(H574,Localizacoes!$C$3:$D$100,2,FALSE)</f>
        <v>MAX</v>
      </c>
      <c r="J574">
        <f>VLOOKUP(H574,ID!$C$3:$D$100,2,FALSE)</f>
        <v>51</v>
      </c>
      <c r="K574" t="s">
        <v>127</v>
      </c>
      <c r="L574" t="str">
        <f>VLOOKUP(K574,Localizacoes!$E$3:$F$100,2,FALSE)</f>
        <v>SB1</v>
      </c>
      <c r="M574" t="str">
        <f>VLOOKUP(K574,ID!$E$3:$F$100,2,FALSE)</f>
        <v>SB1</v>
      </c>
      <c r="N574" t="s">
        <v>112</v>
      </c>
      <c r="O574" t="str">
        <f>VLOOKUP(N574,Localizacoes!$G$3:$H$100,2,FALSE)</f>
        <v>SUB</v>
      </c>
      <c r="P574">
        <f>VLOOKUP(N574,ID!$G$3:$H$100,2,FALSE)</f>
        <v>165</v>
      </c>
      <c r="Q574" t="s">
        <v>176</v>
      </c>
      <c r="R574" t="str">
        <f>VLOOKUP(Q574,Localizacoes!$I$3:$J$100,2,FALSE)</f>
        <v>TRA</v>
      </c>
      <c r="S574" t="str">
        <f>VLOOKUP(Q574,ID!$I$3:$J$100,2,FALSE)</f>
        <v>TRA</v>
      </c>
      <c r="T574" s="4" t="s">
        <v>182</v>
      </c>
      <c r="U574" t="s">
        <v>265</v>
      </c>
      <c r="Y574" t="s">
        <v>270</v>
      </c>
      <c r="Z574" t="str">
        <f t="shared" si="106"/>
        <v>Transformador 01</v>
      </c>
      <c r="AD574" s="13" t="s">
        <v>266</v>
      </c>
      <c r="AF574" t="str">
        <f t="shared" si="112"/>
        <v>SubestaçãoTransformador</v>
      </c>
      <c r="AG574" s="28" t="str">
        <f>VLOOKUP(AF574,Imagens!$C$2:$D$42,2,FALSE)</f>
        <v>65e8d98d73a3d</v>
      </c>
      <c r="AH574" t="str">
        <f>_xlfn.CONCAT(Imagens!$H$2,'registo_ativo-CDs (1)'!AG574)</f>
        <v>assets/imagens/products/65e8d98d73a3d</v>
      </c>
      <c r="AI574" s="67">
        <v>45306</v>
      </c>
    </row>
    <row r="575" spans="1:35" ht="16.8" customHeight="1" x14ac:dyDescent="0.3">
      <c r="A575">
        <f t="shared" si="109"/>
        <v>15</v>
      </c>
      <c r="B575" t="str">
        <f t="shared" si="110"/>
        <v>PS42BBG131BOM01</v>
      </c>
      <c r="C575" t="str">
        <f t="shared" si="111"/>
        <v>PSAA-JON-BBG-EBC-BOM-01</v>
      </c>
      <c r="E575" t="s">
        <v>38</v>
      </c>
      <c r="F575" t="str">
        <f>VLOOKUP(E575,Localizacoes!$A$3:$B$100,2,FALSE)</f>
        <v>PSAA</v>
      </c>
      <c r="G575" t="str">
        <f>VLOOKUP(E575,ID!$A$3:$B$100,2,FALSE)</f>
        <v>PS</v>
      </c>
      <c r="H575" s="14" t="s">
        <v>57</v>
      </c>
      <c r="I575" t="str">
        <f>VLOOKUP(H575,Localizacoes!$C$3:$D$100,2,FALSE)</f>
        <v>JON</v>
      </c>
      <c r="J575">
        <f>VLOOKUP(H575,ID!$C$3:$D$100,2,FALSE)</f>
        <v>42</v>
      </c>
      <c r="K575" t="s">
        <v>274</v>
      </c>
      <c r="L575" t="str">
        <f>VLOOKUP(K575,Localizacoes!$E$3:$F$100,2,FALSE)</f>
        <v>BBG</v>
      </c>
      <c r="M575" t="str">
        <f>VLOOKUP(K575,ID!$E$3:$F$100,2,FALSE)</f>
        <v>BBG</v>
      </c>
      <c r="N575" t="s">
        <v>704</v>
      </c>
      <c r="O575" t="str">
        <f>VLOOKUP(N575,Localizacoes!$G$3:$H$100,2,FALSE)</f>
        <v>EBC</v>
      </c>
      <c r="P575">
        <f>VLOOKUP(N575,ID!$G$3:$H$100,2,FALSE)</f>
        <v>131</v>
      </c>
      <c r="Q575" t="s">
        <v>150</v>
      </c>
      <c r="R575" t="str">
        <f>VLOOKUP(Q575,Localizacoes!$I$3:$J$100,2,FALSE)</f>
        <v>BOM</v>
      </c>
      <c r="S575" t="str">
        <f>VLOOKUP(Q575,ID!$I$3:$J$100,2,FALSE)</f>
        <v>BOM</v>
      </c>
      <c r="T575" s="4" t="s">
        <v>182</v>
      </c>
      <c r="U575" t="s">
        <v>264</v>
      </c>
      <c r="Y575" t="s">
        <v>270</v>
      </c>
      <c r="Z575" t="str">
        <f t="shared" si="106"/>
        <v>Bomba 01</v>
      </c>
      <c r="AD575" s="13" t="s">
        <v>7</v>
      </c>
      <c r="AF575" t="str">
        <f t="shared" si="112"/>
        <v>Electrobomba centrífugaBomba</v>
      </c>
      <c r="AG575" s="28" t="str">
        <f>VLOOKUP(AF575,Imagens!$C$2:$D$42,2,FALSE)</f>
        <v>65e96125c1d11</v>
      </c>
      <c r="AH575" t="str">
        <f>_xlfn.CONCAT(Imagens!$H$2,'registo_ativo-CDs (1)'!AG575)</f>
        <v>assets/imagens/products/65e96125c1d11</v>
      </c>
      <c r="AI575" s="67">
        <v>45300</v>
      </c>
    </row>
    <row r="576" spans="1:35" ht="16.8" customHeight="1" x14ac:dyDescent="0.3">
      <c r="A576">
        <f t="shared" si="109"/>
        <v>15</v>
      </c>
      <c r="B576" t="str">
        <f t="shared" si="110"/>
        <v>PS42BBG131MOT01</v>
      </c>
      <c r="C576" t="str">
        <f t="shared" si="111"/>
        <v>PSAA-JON-BBG-EBC-MOT-01</v>
      </c>
      <c r="E576" t="s">
        <v>38</v>
      </c>
      <c r="F576" t="str">
        <f>VLOOKUP(E576,Localizacoes!$A$3:$B$100,2,FALSE)</f>
        <v>PSAA</v>
      </c>
      <c r="G576" t="str">
        <f>VLOOKUP(E576,ID!$A$3:$B$100,2,FALSE)</f>
        <v>PS</v>
      </c>
      <c r="H576" s="14" t="s">
        <v>57</v>
      </c>
      <c r="I576" t="str">
        <f>VLOOKUP(H576,Localizacoes!$C$3:$D$100,2,FALSE)</f>
        <v>JON</v>
      </c>
      <c r="J576">
        <f>VLOOKUP(H576,ID!$C$3:$D$100,2,FALSE)</f>
        <v>42</v>
      </c>
      <c r="K576" t="s">
        <v>274</v>
      </c>
      <c r="L576" t="str">
        <f>VLOOKUP(K576,Localizacoes!$E$3:$F$100,2,FALSE)</f>
        <v>BBG</v>
      </c>
      <c r="M576" t="str">
        <f>VLOOKUP(K576,ID!$E$3:$F$100,2,FALSE)</f>
        <v>BBG</v>
      </c>
      <c r="N576" t="s">
        <v>704</v>
      </c>
      <c r="O576" t="str">
        <f>VLOOKUP(N576,Localizacoes!$G$3:$H$100,2,FALSE)</f>
        <v>EBC</v>
      </c>
      <c r="P576">
        <f>VLOOKUP(N576,ID!$G$3:$H$100,2,FALSE)</f>
        <v>131</v>
      </c>
      <c r="Q576" t="s">
        <v>21</v>
      </c>
      <c r="R576" t="str">
        <f>VLOOKUP(Q576,Localizacoes!$I$3:$J$100,2,FALSE)</f>
        <v>MOT</v>
      </c>
      <c r="S576" t="str">
        <f>VLOOKUP(Q576,ID!$I$3:$J$100,2,FALSE)</f>
        <v>MOT</v>
      </c>
      <c r="T576" s="4" t="s">
        <v>182</v>
      </c>
      <c r="U576" t="s">
        <v>265</v>
      </c>
      <c r="Y576" t="s">
        <v>270</v>
      </c>
      <c r="Z576" t="str">
        <f t="shared" si="106"/>
        <v>Motor 01</v>
      </c>
      <c r="AD576" s="13" t="s">
        <v>7</v>
      </c>
      <c r="AF576" t="str">
        <f t="shared" si="112"/>
        <v>Electrobomba centrífugaMotor</v>
      </c>
      <c r="AG576" s="28" t="str">
        <f>VLOOKUP(AF576,Imagens!$C$2:$D$42,2,FALSE)</f>
        <v>65d04210323a4</v>
      </c>
      <c r="AH576" t="str">
        <f>_xlfn.CONCAT(Imagens!$H$2,'registo_ativo-CDs (1)'!AG576)</f>
        <v>assets/imagens/products/65d04210323a4</v>
      </c>
      <c r="AI576" s="67">
        <v>45300</v>
      </c>
    </row>
    <row r="577" spans="1:35" ht="16.8" customHeight="1" x14ac:dyDescent="0.3">
      <c r="A577">
        <f t="shared" si="109"/>
        <v>15</v>
      </c>
      <c r="B577" t="str">
        <f t="shared" si="110"/>
        <v>PS42BBG131QEA01</v>
      </c>
      <c r="C577" t="str">
        <f t="shared" si="111"/>
        <v>PSAA-JON-BBG-EBC-QEA-01</v>
      </c>
      <c r="E577" t="s">
        <v>38</v>
      </c>
      <c r="F577" t="str">
        <f>VLOOKUP(E577,Localizacoes!$A$3:$B$100,2,FALSE)</f>
        <v>PSAA</v>
      </c>
      <c r="G577" t="str">
        <f>VLOOKUP(E577,ID!$A$3:$B$100,2,FALSE)</f>
        <v>PS</v>
      </c>
      <c r="H577" s="14" t="s">
        <v>57</v>
      </c>
      <c r="I577" t="str">
        <f>VLOOKUP(H577,Localizacoes!$C$3:$D$100,2,FALSE)</f>
        <v>JON</v>
      </c>
      <c r="J577">
        <f>VLOOKUP(H577,ID!$C$3:$D$100,2,FALSE)</f>
        <v>42</v>
      </c>
      <c r="K577" t="s">
        <v>274</v>
      </c>
      <c r="L577" t="str">
        <f>VLOOKUP(K577,Localizacoes!$E$3:$F$100,2,FALSE)</f>
        <v>BBG</v>
      </c>
      <c r="M577" t="str">
        <f>VLOOKUP(K577,ID!$E$3:$F$100,2,FALSE)</f>
        <v>BBG</v>
      </c>
      <c r="N577" t="s">
        <v>704</v>
      </c>
      <c r="O577" t="str">
        <f>VLOOKUP(N577,Localizacoes!$G$3:$H$100,2,FALSE)</f>
        <v>EBC</v>
      </c>
      <c r="P577">
        <f>VLOOKUP(N577,ID!$G$3:$H$100,2,FALSE)</f>
        <v>131</v>
      </c>
      <c r="Q577" t="s">
        <v>154</v>
      </c>
      <c r="R577" t="str">
        <f>VLOOKUP(Q577,Localizacoes!$I$3:$J$100,2,FALSE)</f>
        <v>QEA</v>
      </c>
      <c r="S577" t="str">
        <f>VLOOKUP(Q577,ID!$I$3:$J$100,2,FALSE)</f>
        <v>QEA</v>
      </c>
      <c r="T577" s="4" t="s">
        <v>182</v>
      </c>
      <c r="U577" t="s">
        <v>265</v>
      </c>
      <c r="Y577" t="s">
        <v>270</v>
      </c>
      <c r="Z577" t="str">
        <f t="shared" si="106"/>
        <v>Quadros Eléctricos de Arranque 01</v>
      </c>
      <c r="AD577" s="13" t="s">
        <v>267</v>
      </c>
      <c r="AF577" t="str">
        <f t="shared" si="112"/>
        <v>Electrobomba centrífugaQuadros Eléctricos de Arranque</v>
      </c>
      <c r="AG577" s="28" t="str">
        <f>VLOOKUP(AF577,Imagens!$C$2:$D$42,2,FALSE)</f>
        <v>65e8d2fa35c12</v>
      </c>
      <c r="AH577" t="str">
        <f>_xlfn.CONCAT(Imagens!$H$2,'registo_ativo-CDs (1)'!AG577)</f>
        <v>assets/imagens/products/65e8d2fa35c12</v>
      </c>
      <c r="AI577" s="67">
        <v>45356</v>
      </c>
    </row>
    <row r="578" spans="1:35" ht="16.8" customHeight="1" x14ac:dyDescent="0.3">
      <c r="A578">
        <f t="shared" si="109"/>
        <v>15</v>
      </c>
      <c r="B578" t="str">
        <f t="shared" si="110"/>
        <v>PS42BBG131VSU01</v>
      </c>
      <c r="C578" t="str">
        <f t="shared" si="111"/>
        <v>PSAA-JON-BBG-EBC-VSU-01</v>
      </c>
      <c r="E578" t="s">
        <v>38</v>
      </c>
      <c r="F578" t="str">
        <f>VLOOKUP(E578,Localizacoes!$A$3:$B$100,2,FALSE)</f>
        <v>PSAA</v>
      </c>
      <c r="G578" t="str">
        <f>VLOOKUP(E578,ID!$A$3:$B$100,2,FALSE)</f>
        <v>PS</v>
      </c>
      <c r="H578" s="14" t="s">
        <v>57</v>
      </c>
      <c r="I578" t="str">
        <f>VLOOKUP(H578,Localizacoes!$C$3:$D$100,2,FALSE)</f>
        <v>JON</v>
      </c>
      <c r="J578">
        <f>VLOOKUP(H578,ID!$C$3:$D$100,2,FALSE)</f>
        <v>42</v>
      </c>
      <c r="K578" t="s">
        <v>274</v>
      </c>
      <c r="L578" t="str">
        <f>VLOOKUP(K578,Localizacoes!$E$3:$F$100,2,FALSE)</f>
        <v>BBG</v>
      </c>
      <c r="M578" t="str">
        <f>VLOOKUP(K578,ID!$E$3:$F$100,2,FALSE)</f>
        <v>BBG</v>
      </c>
      <c r="N578" t="s">
        <v>704</v>
      </c>
      <c r="O578" t="str">
        <f>VLOOKUP(N578,Localizacoes!$G$3:$H$100,2,FALSE)</f>
        <v>EBC</v>
      </c>
      <c r="P578">
        <f>VLOOKUP(N578,ID!$G$3:$H$100,2,FALSE)</f>
        <v>131</v>
      </c>
      <c r="Q578" t="s">
        <v>276</v>
      </c>
      <c r="R578" t="str">
        <f>VLOOKUP(Q578,Localizacoes!$I$3:$J$100,2,FALSE)</f>
        <v>VSU</v>
      </c>
      <c r="S578" t="str">
        <f>VLOOKUP(Q578,ID!$I$3:$J$100,2,FALSE)</f>
        <v>VSU</v>
      </c>
      <c r="T578" s="4" t="s">
        <v>182</v>
      </c>
      <c r="U578" t="s">
        <v>264</v>
      </c>
      <c r="Y578" t="s">
        <v>270</v>
      </c>
      <c r="Z578" t="str">
        <f t="shared" si="106"/>
        <v>Válvula Sucção 01</v>
      </c>
      <c r="AD578" s="13" t="s">
        <v>267</v>
      </c>
      <c r="AF578" t="str">
        <f t="shared" si="112"/>
        <v>Electrobomba centrífugaVálvula Sucção</v>
      </c>
      <c r="AG578" s="28" t="str">
        <f>VLOOKUP(AF578,Imagens!$C$2:$D$42,2,FALSE)</f>
        <v>65e8cda0676b7</v>
      </c>
      <c r="AH578" t="str">
        <f>_xlfn.CONCAT(Imagens!$H$2,'registo_ativo-CDs (1)'!AG578)</f>
        <v>assets/imagens/products/65e8cda0676b7</v>
      </c>
      <c r="AI578" s="67">
        <v>45356</v>
      </c>
    </row>
    <row r="579" spans="1:35" ht="16.8" customHeight="1" x14ac:dyDescent="0.3">
      <c r="A579">
        <f t="shared" si="109"/>
        <v>15</v>
      </c>
      <c r="B579" t="str">
        <f t="shared" si="110"/>
        <v>PS42BBG131VDE01</v>
      </c>
      <c r="C579" t="str">
        <f t="shared" si="111"/>
        <v>PSAA-JON-BBG-EBC-VDE-01</v>
      </c>
      <c r="E579" t="s">
        <v>38</v>
      </c>
      <c r="F579" t="str">
        <f>VLOOKUP(E579,Localizacoes!$A$3:$B$100,2,FALSE)</f>
        <v>PSAA</v>
      </c>
      <c r="G579" t="str">
        <f>VLOOKUP(E579,ID!$A$3:$B$100,2,FALSE)</f>
        <v>PS</v>
      </c>
      <c r="H579" s="14" t="s">
        <v>57</v>
      </c>
      <c r="I579" t="str">
        <f>VLOOKUP(H579,Localizacoes!$C$3:$D$100,2,FALSE)</f>
        <v>JON</v>
      </c>
      <c r="J579">
        <f>VLOOKUP(H579,ID!$C$3:$D$100,2,FALSE)</f>
        <v>42</v>
      </c>
      <c r="K579" t="s">
        <v>274</v>
      </c>
      <c r="L579" t="str">
        <f>VLOOKUP(K579,Localizacoes!$E$3:$F$100,2,FALSE)</f>
        <v>BBG</v>
      </c>
      <c r="M579" t="str">
        <f>VLOOKUP(K579,ID!$E$3:$F$100,2,FALSE)</f>
        <v>BBG</v>
      </c>
      <c r="N579" t="s">
        <v>704</v>
      </c>
      <c r="O579" t="str">
        <f>VLOOKUP(N579,Localizacoes!$G$3:$H$100,2,FALSE)</f>
        <v>EBC</v>
      </c>
      <c r="P579">
        <f>VLOOKUP(N579,ID!$G$3:$H$100,2,FALSE)</f>
        <v>131</v>
      </c>
      <c r="Q579" t="s">
        <v>279</v>
      </c>
      <c r="R579" t="str">
        <f>VLOOKUP(Q579,Localizacoes!$I$3:$J$100,2,FALSE)</f>
        <v>VDE</v>
      </c>
      <c r="S579" t="str">
        <f>VLOOKUP(Q579,ID!$I$3:$J$100,2,FALSE)</f>
        <v>VDE</v>
      </c>
      <c r="T579" s="4" t="s">
        <v>182</v>
      </c>
      <c r="U579" t="s">
        <v>264</v>
      </c>
      <c r="Y579" t="s">
        <v>270</v>
      </c>
      <c r="Z579" t="str">
        <f t="shared" si="106"/>
        <v>Válvula Descarga 01</v>
      </c>
      <c r="AD579" s="13" t="s">
        <v>267</v>
      </c>
      <c r="AF579" t="str">
        <f t="shared" si="112"/>
        <v>Electrobomba centrífugaVálvula Descarga</v>
      </c>
      <c r="AG579" s="28" t="str">
        <f>VLOOKUP(AF579,Imagens!$C$2:$D$42,2,FALSE)</f>
        <v>65e8cda0676b7</v>
      </c>
      <c r="AH579" t="str">
        <f>_xlfn.CONCAT(Imagens!$H$2,'registo_ativo-CDs (1)'!AG579)</f>
        <v>assets/imagens/products/65e8cda0676b7</v>
      </c>
      <c r="AI579" s="67">
        <v>45356</v>
      </c>
    </row>
    <row r="580" spans="1:35" ht="16.8" customHeight="1" x14ac:dyDescent="0.3">
      <c r="A580">
        <f t="shared" si="109"/>
        <v>15</v>
      </c>
      <c r="B580" t="str">
        <f t="shared" si="110"/>
        <v>PS42BBG131BOM02</v>
      </c>
      <c r="C580" t="str">
        <f t="shared" si="111"/>
        <v>PSAA-JON-BBG-EBC-BOM-02</v>
      </c>
      <c r="E580" t="s">
        <v>38</v>
      </c>
      <c r="F580" t="str">
        <f>VLOOKUP(E580,Localizacoes!$A$3:$B$100,2,FALSE)</f>
        <v>PSAA</v>
      </c>
      <c r="G580" t="str">
        <f>VLOOKUP(E580,ID!$A$3:$B$100,2,FALSE)</f>
        <v>PS</v>
      </c>
      <c r="H580" s="14" t="s">
        <v>57</v>
      </c>
      <c r="I580" t="str">
        <f>VLOOKUP(H580,Localizacoes!$C$3:$D$100,2,FALSE)</f>
        <v>JON</v>
      </c>
      <c r="J580">
        <f>VLOOKUP(H580,ID!$C$3:$D$100,2,FALSE)</f>
        <v>42</v>
      </c>
      <c r="K580" t="s">
        <v>274</v>
      </c>
      <c r="L580" t="str">
        <f>VLOOKUP(K580,Localizacoes!$E$3:$F$100,2,FALSE)</f>
        <v>BBG</v>
      </c>
      <c r="M580" t="str">
        <f>VLOOKUP(K580,ID!$E$3:$F$100,2,FALSE)</f>
        <v>BBG</v>
      </c>
      <c r="N580" t="s">
        <v>704</v>
      </c>
      <c r="O580" t="str">
        <f>VLOOKUP(N580,Localizacoes!$G$3:$H$100,2,FALSE)</f>
        <v>EBC</v>
      </c>
      <c r="P580">
        <f>VLOOKUP(N580,ID!$G$3:$H$100,2,FALSE)</f>
        <v>131</v>
      </c>
      <c r="Q580" t="s">
        <v>150</v>
      </c>
      <c r="R580" t="str">
        <f>VLOOKUP(Q580,Localizacoes!$I$3:$J$100,2,FALSE)</f>
        <v>BOM</v>
      </c>
      <c r="S580" t="str">
        <f>VLOOKUP(Q580,ID!$I$3:$J$100,2,FALSE)</f>
        <v>BOM</v>
      </c>
      <c r="T580" s="4" t="s">
        <v>186</v>
      </c>
      <c r="U580" t="s">
        <v>264</v>
      </c>
      <c r="Y580" t="s">
        <v>270</v>
      </c>
      <c r="Z580" t="str">
        <f t="shared" si="106"/>
        <v>Bomba 02</v>
      </c>
      <c r="AD580" s="13" t="s">
        <v>7</v>
      </c>
      <c r="AF580" t="str">
        <f t="shared" si="112"/>
        <v>Electrobomba centrífugaBomba</v>
      </c>
      <c r="AG580" s="28" t="str">
        <f>VLOOKUP(AF580,Imagens!$C$2:$D$42,2,FALSE)</f>
        <v>65e96125c1d11</v>
      </c>
      <c r="AH580" t="str">
        <f>_xlfn.CONCAT(Imagens!$H$2,'registo_ativo-CDs (1)'!AG580)</f>
        <v>assets/imagens/products/65e96125c1d11</v>
      </c>
      <c r="AI580" s="67">
        <v>45300</v>
      </c>
    </row>
    <row r="581" spans="1:35" ht="16.8" customHeight="1" x14ac:dyDescent="0.3">
      <c r="A581">
        <f t="shared" si="109"/>
        <v>15</v>
      </c>
      <c r="B581" t="str">
        <f t="shared" si="110"/>
        <v>PS42BBG131MOT02</v>
      </c>
      <c r="C581" t="str">
        <f t="shared" si="111"/>
        <v>PSAA-JON-BBG-EBC-MOT-02</v>
      </c>
      <c r="E581" t="s">
        <v>38</v>
      </c>
      <c r="F581" t="str">
        <f>VLOOKUP(E581,Localizacoes!$A$3:$B$100,2,FALSE)</f>
        <v>PSAA</v>
      </c>
      <c r="G581" t="str">
        <f>VLOOKUP(E581,ID!$A$3:$B$100,2,FALSE)</f>
        <v>PS</v>
      </c>
      <c r="H581" s="14" t="s">
        <v>57</v>
      </c>
      <c r="I581" t="str">
        <f>VLOOKUP(H581,Localizacoes!$C$3:$D$100,2,FALSE)</f>
        <v>JON</v>
      </c>
      <c r="J581">
        <f>VLOOKUP(H581,ID!$C$3:$D$100,2,FALSE)</f>
        <v>42</v>
      </c>
      <c r="K581" t="s">
        <v>274</v>
      </c>
      <c r="L581" t="str">
        <f>VLOOKUP(K581,Localizacoes!$E$3:$F$100,2,FALSE)</f>
        <v>BBG</v>
      </c>
      <c r="M581" t="str">
        <f>VLOOKUP(K581,ID!$E$3:$F$100,2,FALSE)</f>
        <v>BBG</v>
      </c>
      <c r="N581" t="s">
        <v>704</v>
      </c>
      <c r="O581" t="str">
        <f>VLOOKUP(N581,Localizacoes!$G$3:$H$100,2,FALSE)</f>
        <v>EBC</v>
      </c>
      <c r="P581">
        <f>VLOOKUP(N581,ID!$G$3:$H$100,2,FALSE)</f>
        <v>131</v>
      </c>
      <c r="Q581" t="s">
        <v>21</v>
      </c>
      <c r="R581" t="str">
        <f>VLOOKUP(Q581,Localizacoes!$I$3:$J$100,2,FALSE)</f>
        <v>MOT</v>
      </c>
      <c r="S581" t="str">
        <f>VLOOKUP(Q581,ID!$I$3:$J$100,2,FALSE)</f>
        <v>MOT</v>
      </c>
      <c r="T581" s="4" t="s">
        <v>186</v>
      </c>
      <c r="U581" t="s">
        <v>265</v>
      </c>
      <c r="Y581" t="s">
        <v>270</v>
      </c>
      <c r="Z581" t="str">
        <f t="shared" si="106"/>
        <v>Motor 02</v>
      </c>
      <c r="AD581" s="13" t="s">
        <v>7</v>
      </c>
      <c r="AF581" t="str">
        <f t="shared" si="112"/>
        <v>Electrobomba centrífugaMotor</v>
      </c>
      <c r="AG581" s="28" t="str">
        <f>VLOOKUP(AF581,Imagens!$C$2:$D$42,2,FALSE)</f>
        <v>65d04210323a4</v>
      </c>
      <c r="AH581" t="str">
        <f>_xlfn.CONCAT(Imagens!$H$2,'registo_ativo-CDs (1)'!AG581)</f>
        <v>assets/imagens/products/65d04210323a4</v>
      </c>
      <c r="AI581" s="67">
        <v>45300</v>
      </c>
    </row>
    <row r="582" spans="1:35" ht="16.8" customHeight="1" x14ac:dyDescent="0.3">
      <c r="A582">
        <f t="shared" si="109"/>
        <v>15</v>
      </c>
      <c r="B582" t="str">
        <f t="shared" si="110"/>
        <v>PS42BBG131QEA02</v>
      </c>
      <c r="C582" t="str">
        <f t="shared" si="111"/>
        <v>PSAA-JON-BBG-EBC-QEA-02</v>
      </c>
      <c r="E582" t="s">
        <v>38</v>
      </c>
      <c r="F582" t="str">
        <f>VLOOKUP(E582,Localizacoes!$A$3:$B$100,2,FALSE)</f>
        <v>PSAA</v>
      </c>
      <c r="G582" t="str">
        <f>VLOOKUP(E582,ID!$A$3:$B$100,2,FALSE)</f>
        <v>PS</v>
      </c>
      <c r="H582" s="14" t="s">
        <v>57</v>
      </c>
      <c r="I582" t="str">
        <f>VLOOKUP(H582,Localizacoes!$C$3:$D$100,2,FALSE)</f>
        <v>JON</v>
      </c>
      <c r="J582">
        <f>VLOOKUP(H582,ID!$C$3:$D$100,2,FALSE)</f>
        <v>42</v>
      </c>
      <c r="K582" t="s">
        <v>274</v>
      </c>
      <c r="L582" t="str">
        <f>VLOOKUP(K582,Localizacoes!$E$3:$F$100,2,FALSE)</f>
        <v>BBG</v>
      </c>
      <c r="M582" t="str">
        <f>VLOOKUP(K582,ID!$E$3:$F$100,2,FALSE)</f>
        <v>BBG</v>
      </c>
      <c r="N582" t="s">
        <v>704</v>
      </c>
      <c r="O582" t="str">
        <f>VLOOKUP(N582,Localizacoes!$G$3:$H$100,2,FALSE)</f>
        <v>EBC</v>
      </c>
      <c r="P582">
        <f>VLOOKUP(N582,ID!$G$3:$H$100,2,FALSE)</f>
        <v>131</v>
      </c>
      <c r="Q582" t="s">
        <v>154</v>
      </c>
      <c r="R582" t="str">
        <f>VLOOKUP(Q582,Localizacoes!$I$3:$J$100,2,FALSE)</f>
        <v>QEA</v>
      </c>
      <c r="S582" t="str">
        <f>VLOOKUP(Q582,ID!$I$3:$J$100,2,FALSE)</f>
        <v>QEA</v>
      </c>
      <c r="T582" s="4" t="s">
        <v>186</v>
      </c>
      <c r="U582" t="s">
        <v>265</v>
      </c>
      <c r="Y582" t="s">
        <v>270</v>
      </c>
      <c r="Z582" t="str">
        <f t="shared" si="106"/>
        <v>Quadros Eléctricos de Arranque 02</v>
      </c>
      <c r="AD582" s="13" t="s">
        <v>267</v>
      </c>
      <c r="AF582" t="str">
        <f t="shared" si="112"/>
        <v>Electrobomba centrífugaQuadros Eléctricos de Arranque</v>
      </c>
      <c r="AG582" s="28" t="str">
        <f>VLOOKUP(AF582,Imagens!$C$2:$D$42,2,FALSE)</f>
        <v>65e8d2fa35c12</v>
      </c>
      <c r="AH582" t="str">
        <f>_xlfn.CONCAT(Imagens!$H$2,'registo_ativo-CDs (1)'!AG582)</f>
        <v>assets/imagens/products/65e8d2fa35c12</v>
      </c>
      <c r="AI582" s="67">
        <v>45356</v>
      </c>
    </row>
    <row r="583" spans="1:35" ht="16.8" customHeight="1" x14ac:dyDescent="0.3">
      <c r="A583">
        <f t="shared" si="109"/>
        <v>15</v>
      </c>
      <c r="B583" t="str">
        <f t="shared" si="110"/>
        <v>PS42BBG131VSU02</v>
      </c>
      <c r="C583" t="str">
        <f t="shared" si="111"/>
        <v>PSAA-JON-BBG-EBC-VSU-02</v>
      </c>
      <c r="E583" t="s">
        <v>38</v>
      </c>
      <c r="F583" t="str">
        <f>VLOOKUP(E583,Localizacoes!$A$3:$B$100,2,FALSE)</f>
        <v>PSAA</v>
      </c>
      <c r="G583" t="str">
        <f>VLOOKUP(E583,ID!$A$3:$B$100,2,FALSE)</f>
        <v>PS</v>
      </c>
      <c r="H583" s="14" t="s">
        <v>57</v>
      </c>
      <c r="I583" t="str">
        <f>VLOOKUP(H583,Localizacoes!$C$3:$D$100,2,FALSE)</f>
        <v>JON</v>
      </c>
      <c r="J583">
        <f>VLOOKUP(H583,ID!$C$3:$D$100,2,FALSE)</f>
        <v>42</v>
      </c>
      <c r="K583" t="s">
        <v>274</v>
      </c>
      <c r="L583" t="str">
        <f>VLOOKUP(K583,Localizacoes!$E$3:$F$100,2,FALSE)</f>
        <v>BBG</v>
      </c>
      <c r="M583" t="str">
        <f>VLOOKUP(K583,ID!$E$3:$F$100,2,FALSE)</f>
        <v>BBG</v>
      </c>
      <c r="N583" t="s">
        <v>704</v>
      </c>
      <c r="O583" t="str">
        <f>VLOOKUP(N583,Localizacoes!$G$3:$H$100,2,FALSE)</f>
        <v>EBC</v>
      </c>
      <c r="P583">
        <f>VLOOKUP(N583,ID!$G$3:$H$100,2,FALSE)</f>
        <v>131</v>
      </c>
      <c r="Q583" t="s">
        <v>276</v>
      </c>
      <c r="R583" t="str">
        <f>VLOOKUP(Q583,Localizacoes!$I$3:$J$100,2,FALSE)</f>
        <v>VSU</v>
      </c>
      <c r="S583" t="str">
        <f>VLOOKUP(Q583,ID!$I$3:$J$100,2,FALSE)</f>
        <v>VSU</v>
      </c>
      <c r="T583" s="4" t="s">
        <v>186</v>
      </c>
      <c r="U583" t="s">
        <v>264</v>
      </c>
      <c r="Y583" t="s">
        <v>270</v>
      </c>
      <c r="Z583" t="str">
        <f t="shared" si="106"/>
        <v>Válvula Sucção 02</v>
      </c>
      <c r="AD583" s="13" t="s">
        <v>267</v>
      </c>
      <c r="AF583" t="str">
        <f t="shared" si="112"/>
        <v>Electrobomba centrífugaVálvula Sucção</v>
      </c>
      <c r="AG583" s="28" t="str">
        <f>VLOOKUP(AF583,Imagens!$C$2:$D$42,2,FALSE)</f>
        <v>65e8cda0676b7</v>
      </c>
      <c r="AH583" t="str">
        <f>_xlfn.CONCAT(Imagens!$H$2,'registo_ativo-CDs (1)'!AG583)</f>
        <v>assets/imagens/products/65e8cda0676b7</v>
      </c>
      <c r="AI583" s="67">
        <v>45356</v>
      </c>
    </row>
    <row r="584" spans="1:35" ht="16.8" customHeight="1" x14ac:dyDescent="0.3">
      <c r="A584">
        <f t="shared" si="109"/>
        <v>15</v>
      </c>
      <c r="B584" t="str">
        <f t="shared" si="110"/>
        <v>PS42BBG131VDE02</v>
      </c>
      <c r="C584" t="str">
        <f t="shared" si="111"/>
        <v>PSAA-JON-BBG-EBC-VDE-02</v>
      </c>
      <c r="E584" t="s">
        <v>38</v>
      </c>
      <c r="F584" t="str">
        <f>VLOOKUP(E584,Localizacoes!$A$3:$B$100,2,FALSE)</f>
        <v>PSAA</v>
      </c>
      <c r="G584" t="str">
        <f>VLOOKUP(E584,ID!$A$3:$B$100,2,FALSE)</f>
        <v>PS</v>
      </c>
      <c r="H584" s="14" t="s">
        <v>57</v>
      </c>
      <c r="I584" t="str">
        <f>VLOOKUP(H584,Localizacoes!$C$3:$D$100,2,FALSE)</f>
        <v>JON</v>
      </c>
      <c r="J584">
        <f>VLOOKUP(H584,ID!$C$3:$D$100,2,FALSE)</f>
        <v>42</v>
      </c>
      <c r="K584" t="s">
        <v>274</v>
      </c>
      <c r="L584" t="str">
        <f>VLOOKUP(K584,Localizacoes!$E$3:$F$100,2,FALSE)</f>
        <v>BBG</v>
      </c>
      <c r="M584" t="str">
        <f>VLOOKUP(K584,ID!$E$3:$F$100,2,FALSE)</f>
        <v>BBG</v>
      </c>
      <c r="N584" t="s">
        <v>704</v>
      </c>
      <c r="O584" t="str">
        <f>VLOOKUP(N584,Localizacoes!$G$3:$H$100,2,FALSE)</f>
        <v>EBC</v>
      </c>
      <c r="P584">
        <f>VLOOKUP(N584,ID!$G$3:$H$100,2,FALSE)</f>
        <v>131</v>
      </c>
      <c r="Q584" t="s">
        <v>279</v>
      </c>
      <c r="R584" t="str">
        <f>VLOOKUP(Q584,Localizacoes!$I$3:$J$100,2,FALSE)</f>
        <v>VDE</v>
      </c>
      <c r="S584" t="str">
        <f>VLOOKUP(Q584,ID!$I$3:$J$100,2,FALSE)</f>
        <v>VDE</v>
      </c>
      <c r="T584" s="4" t="s">
        <v>186</v>
      </c>
      <c r="U584" t="s">
        <v>264</v>
      </c>
      <c r="Y584" t="s">
        <v>270</v>
      </c>
      <c r="Z584" t="str">
        <f t="shared" si="106"/>
        <v>Válvula Descarga 02</v>
      </c>
      <c r="AD584" s="13" t="s">
        <v>267</v>
      </c>
      <c r="AF584" t="str">
        <f t="shared" si="112"/>
        <v>Electrobomba centrífugaVálvula Descarga</v>
      </c>
      <c r="AG584" s="28" t="str">
        <f>VLOOKUP(AF584,Imagens!$C$2:$D$42,2,FALSE)</f>
        <v>65e8cda0676b7</v>
      </c>
      <c r="AH584" t="str">
        <f>_xlfn.CONCAT(Imagens!$H$2,'registo_ativo-CDs (1)'!AG584)</f>
        <v>assets/imagens/products/65e8cda0676b7</v>
      </c>
      <c r="AI584" s="67">
        <v>45356</v>
      </c>
    </row>
    <row r="585" spans="1:35" ht="16.8" customHeight="1" x14ac:dyDescent="0.3">
      <c r="A585">
        <f t="shared" si="109"/>
        <v>15</v>
      </c>
      <c r="B585" t="str">
        <f t="shared" si="110"/>
        <v>PS42ILU164ILL01</v>
      </c>
      <c r="C585" t="str">
        <f t="shared" si="111"/>
        <v>PSAA-JON-ILU-SIL-CEL-01</v>
      </c>
      <c r="E585" t="s">
        <v>38</v>
      </c>
      <c r="F585" t="str">
        <f>VLOOKUP(E585,Localizacoes!$A$3:$B$100,2,FALSE)</f>
        <v>PSAA</v>
      </c>
      <c r="G585" t="str">
        <f>VLOOKUP(E585,ID!$A$3:$B$100,2,FALSE)</f>
        <v>PS</v>
      </c>
      <c r="H585" s="14" t="s">
        <v>57</v>
      </c>
      <c r="I585" t="str">
        <f>VLOOKUP(H585,Localizacoes!$C$3:$D$100,2,FALSE)</f>
        <v>JON</v>
      </c>
      <c r="J585">
        <f>VLOOKUP(H585,ID!$C$3:$D$100,2,FALSE)</f>
        <v>42</v>
      </c>
      <c r="K585" t="s">
        <v>141</v>
      </c>
      <c r="L585" t="str">
        <f>VLOOKUP(K585,Localizacoes!$E$3:$F$100,2,FALSE)</f>
        <v>ILU</v>
      </c>
      <c r="M585" t="str">
        <f>VLOOKUP(K585,ID!$E$3:$F$100,2,FALSE)</f>
        <v>ILU</v>
      </c>
      <c r="N585" t="s">
        <v>688</v>
      </c>
      <c r="O585" t="str">
        <f>VLOOKUP(N585,Localizacoes!$G$3:$H$100,2,FALSE)</f>
        <v>SIL</v>
      </c>
      <c r="P585">
        <f>VLOOKUP(N585,ID!$G$3:$H$100,2,FALSE)</f>
        <v>164</v>
      </c>
      <c r="Q585" t="s">
        <v>141</v>
      </c>
      <c r="R585" t="s">
        <v>541</v>
      </c>
      <c r="S585" t="str">
        <f>VLOOKUP(Q585,ID!$I$3:$J$100,2,FALSE)</f>
        <v>ILL</v>
      </c>
      <c r="T585" s="4" t="s">
        <v>182</v>
      </c>
      <c r="U585" t="s">
        <v>265</v>
      </c>
      <c r="Y585" t="s">
        <v>270</v>
      </c>
      <c r="Z585" t="str">
        <f t="shared" si="106"/>
        <v>Iluminação 01</v>
      </c>
      <c r="AD585" s="13" t="s">
        <v>267</v>
      </c>
      <c r="AF585" t="str">
        <f t="shared" si="112"/>
        <v>Sistema de IluminaçãoIluminação</v>
      </c>
      <c r="AG585" s="28" t="str">
        <f>VLOOKUP(AF585,Imagens!$C$2:$D$42,2,FALSE)</f>
        <v>65e8e579bfe6c</v>
      </c>
      <c r="AH585" t="str">
        <f>_xlfn.CONCAT(Imagens!$H$2,'registo_ativo-CDs (1)'!AG585)</f>
        <v>assets/imagens/products/65e8e579bfe6c</v>
      </c>
      <c r="AI585" s="67">
        <v>45300</v>
      </c>
    </row>
    <row r="586" spans="1:35" ht="16.8" customHeight="1" x14ac:dyDescent="0.3">
      <c r="A586">
        <f t="shared" si="109"/>
        <v>15</v>
      </c>
      <c r="B586" t="str">
        <f t="shared" si="110"/>
        <v>PS42CAN152CAN01</v>
      </c>
      <c r="C586" t="str">
        <f t="shared" si="111"/>
        <v>PSAA-JON-CAN-QEL-CEL-01</v>
      </c>
      <c r="E586" t="s">
        <v>38</v>
      </c>
      <c r="F586" t="str">
        <f>VLOOKUP(E586,Localizacoes!$A$3:$B$100,2,FALSE)</f>
        <v>PSAA</v>
      </c>
      <c r="G586" t="str">
        <f>VLOOKUP(E586,ID!$A$3:$B$100,2,FALSE)</f>
        <v>PS</v>
      </c>
      <c r="H586" s="14" t="s">
        <v>57</v>
      </c>
      <c r="I586" t="str">
        <f>VLOOKUP(H586,Localizacoes!$C$3:$D$100,2,FALSE)</f>
        <v>JON</v>
      </c>
      <c r="J586">
        <f>VLOOKUP(H586,ID!$C$3:$D$100,2,FALSE)</f>
        <v>42</v>
      </c>
      <c r="K586" t="s">
        <v>101</v>
      </c>
      <c r="L586" t="str">
        <f>VLOOKUP(K586,Localizacoes!$E$3:$F$100,2,FALSE)</f>
        <v>CAN</v>
      </c>
      <c r="M586" t="str">
        <f>VLOOKUP(K586,ID!$E$3:$F$100,2,FALSE)</f>
        <v>CAN</v>
      </c>
      <c r="N586" t="s">
        <v>286</v>
      </c>
      <c r="O586" t="str">
        <f>VLOOKUP(N586,Localizacoes!$G$3:$H$100,2,FALSE)</f>
        <v>QEL</v>
      </c>
      <c r="P586">
        <f>VLOOKUP(N586,ID!$G$3:$H$100,2,FALSE)</f>
        <v>152</v>
      </c>
      <c r="Q586" t="s">
        <v>101</v>
      </c>
      <c r="R586" t="s">
        <v>541</v>
      </c>
      <c r="S586" t="str">
        <f>VLOOKUP(Q586,ID!$I$3:$J$100,2,FALSE)</f>
        <v>CAN</v>
      </c>
      <c r="T586" s="4" t="s">
        <v>182</v>
      </c>
      <c r="U586" t="s">
        <v>265</v>
      </c>
      <c r="Y586" t="s">
        <v>270</v>
      </c>
      <c r="Z586" t="str">
        <f t="shared" si="106"/>
        <v>Canalização Eléctrica 01</v>
      </c>
      <c r="AD586" s="13" t="s">
        <v>267</v>
      </c>
      <c r="AF586" t="str">
        <f>_xlfn.CONCAT(N586,Q586)</f>
        <v>Quadro EléctricoCanalização Eléctrica</v>
      </c>
      <c r="AG586" s="28" t="str">
        <f>VLOOKUP(AF586,Imagens!$C$2:$D$42,2,FALSE)</f>
        <v>65e8e4bb71249</v>
      </c>
      <c r="AH586" t="str">
        <f>_xlfn.CONCAT(Imagens!$H$2,'registo_ativo-CDs (1)'!AG586)</f>
        <v>assets/imagens/products/65e8e4bb71249</v>
      </c>
      <c r="AI586" s="71">
        <v>45454</v>
      </c>
    </row>
    <row r="587" spans="1:35" ht="16.8" customHeight="1" x14ac:dyDescent="0.3">
      <c r="A587">
        <f t="shared" si="109"/>
        <v>15</v>
      </c>
      <c r="B587" t="str">
        <f t="shared" si="110"/>
        <v>PS42CAN165TRA01</v>
      </c>
      <c r="C587" t="str">
        <f t="shared" si="111"/>
        <v>PSAA-JON-CAN-SUB-TRA-01</v>
      </c>
      <c r="E587" t="s">
        <v>38</v>
      </c>
      <c r="F587" t="str">
        <f>VLOOKUP(E587,Localizacoes!$A$3:$B$100,2,FALSE)</f>
        <v>PSAA</v>
      </c>
      <c r="G587" t="str">
        <f>VLOOKUP(E587,ID!$A$3:$B$100,2,FALSE)</f>
        <v>PS</v>
      </c>
      <c r="H587" s="14" t="s">
        <v>57</v>
      </c>
      <c r="I587" t="str">
        <f>VLOOKUP(H587,Localizacoes!$C$3:$D$100,2,FALSE)</f>
        <v>JON</v>
      </c>
      <c r="J587">
        <f>VLOOKUP(H587,ID!$C$3:$D$100,2,FALSE)</f>
        <v>42</v>
      </c>
      <c r="K587" t="s">
        <v>101</v>
      </c>
      <c r="L587" t="str">
        <f>VLOOKUP(K587,Localizacoes!$E$3:$F$100,2,FALSE)</f>
        <v>CAN</v>
      </c>
      <c r="M587" t="str">
        <f>VLOOKUP(K587,ID!$E$3:$F$100,2,FALSE)</f>
        <v>CAN</v>
      </c>
      <c r="N587" t="s">
        <v>112</v>
      </c>
      <c r="O587" t="str">
        <f>VLOOKUP(N587,Localizacoes!$G$3:$H$100,2,FALSE)</f>
        <v>SUB</v>
      </c>
      <c r="P587">
        <f>VLOOKUP(N587,ID!$G$3:$H$100,2,FALSE)</f>
        <v>165</v>
      </c>
      <c r="Q587" t="s">
        <v>176</v>
      </c>
      <c r="R587" t="str">
        <f>VLOOKUP(Q587,Localizacoes!$I$3:$J$100,2,FALSE)</f>
        <v>TRA</v>
      </c>
      <c r="S587" t="str">
        <f>VLOOKUP(Q587,ID!$I$3:$J$100,2,FALSE)</f>
        <v>TRA</v>
      </c>
      <c r="T587" s="4" t="s">
        <v>182</v>
      </c>
      <c r="U587" t="s">
        <v>265</v>
      </c>
      <c r="Y587" t="s">
        <v>270</v>
      </c>
      <c r="Z587" t="str">
        <f t="shared" si="106"/>
        <v>Transformador 01</v>
      </c>
      <c r="AD587" s="13" t="s">
        <v>267</v>
      </c>
      <c r="AF587" t="str">
        <f t="shared" si="112"/>
        <v>SubestaçãoTransformador</v>
      </c>
      <c r="AG587" s="28" t="str">
        <f>VLOOKUP(AF587,Imagens!$C$2:$D$42,2,FALSE)</f>
        <v>65e8d98d73a3d</v>
      </c>
      <c r="AH587" t="str">
        <f>_xlfn.CONCAT(Imagens!$H$2,'registo_ativo-CDs (1)'!AG587)</f>
        <v>assets/imagens/products/65e8d98d73a3d</v>
      </c>
      <c r="AI587" s="67">
        <v>45300</v>
      </c>
    </row>
    <row r="588" spans="1:35" ht="16.8" customHeight="1" x14ac:dyDescent="0.3">
      <c r="A588">
        <f t="shared" si="109"/>
        <v>15</v>
      </c>
      <c r="B588" t="str">
        <f t="shared" si="110"/>
        <v>PS52BBG131BOM01</v>
      </c>
      <c r="C588" t="str">
        <f t="shared" si="111"/>
        <v>PSAA-MUS-BBG-EBC-BOM-01</v>
      </c>
      <c r="E588" t="s">
        <v>38</v>
      </c>
      <c r="F588" t="str">
        <f>VLOOKUP(E588,Localizacoes!$A$3:$B$100,2,FALSE)</f>
        <v>PSAA</v>
      </c>
      <c r="G588" t="str">
        <f>VLOOKUP(E588,ID!$A$3:$B$100,2,FALSE)</f>
        <v>PS</v>
      </c>
      <c r="H588" s="20" t="s">
        <v>58</v>
      </c>
      <c r="I588" t="str">
        <f>VLOOKUP(H588,Localizacoes!$C$3:$D$100,2,FALSE)</f>
        <v>MUS</v>
      </c>
      <c r="J588">
        <f>VLOOKUP(H588,ID!$C$3:$D$100,2,FALSE)</f>
        <v>52</v>
      </c>
      <c r="K588" t="s">
        <v>274</v>
      </c>
      <c r="L588" t="str">
        <f>VLOOKUP(K588,Localizacoes!$E$3:$F$100,2,FALSE)</f>
        <v>BBG</v>
      </c>
      <c r="M588" t="str">
        <f>VLOOKUP(K588,ID!$E$3:$F$100,2,FALSE)</f>
        <v>BBG</v>
      </c>
      <c r="N588" t="s">
        <v>704</v>
      </c>
      <c r="O588" t="str">
        <f>VLOOKUP(N588,Localizacoes!$G$3:$H$100,2,FALSE)</f>
        <v>EBC</v>
      </c>
      <c r="P588">
        <f>VLOOKUP(N588,ID!$G$3:$H$100,2,FALSE)</f>
        <v>131</v>
      </c>
      <c r="Q588" t="s">
        <v>150</v>
      </c>
      <c r="R588" t="str">
        <f>VLOOKUP(Q588,Localizacoes!$I$3:$J$100,2,FALSE)</f>
        <v>BOM</v>
      </c>
      <c r="S588" t="str">
        <f>VLOOKUP(Q588,ID!$I$3:$J$100,2,FALSE)</f>
        <v>BOM</v>
      </c>
      <c r="T588" s="4" t="s">
        <v>182</v>
      </c>
      <c r="U588" t="s">
        <v>264</v>
      </c>
      <c r="Y588" t="s">
        <v>270</v>
      </c>
      <c r="Z588" t="str">
        <f t="shared" si="106"/>
        <v>Bomba 01</v>
      </c>
      <c r="AD588" s="13" t="s">
        <v>7</v>
      </c>
      <c r="AF588" t="str">
        <f t="shared" si="112"/>
        <v>Electrobomba centrífugaBomba</v>
      </c>
      <c r="AG588" s="28" t="str">
        <f>VLOOKUP(AF588,Imagens!$C$2:$D$42,2,FALSE)</f>
        <v>65e96125c1d11</v>
      </c>
      <c r="AH588" t="str">
        <f>_xlfn.CONCAT(Imagens!$H$2,'registo_ativo-CDs (1)'!AG588)</f>
        <v>assets/imagens/products/65e96125c1d11</v>
      </c>
      <c r="AI588" s="67">
        <v>45323</v>
      </c>
    </row>
    <row r="589" spans="1:35" ht="16.8" customHeight="1" x14ac:dyDescent="0.3">
      <c r="A589">
        <f t="shared" si="109"/>
        <v>15</v>
      </c>
      <c r="B589" t="str">
        <f t="shared" si="110"/>
        <v>PS52BBG131MOT01</v>
      </c>
      <c r="C589" t="str">
        <f t="shared" si="111"/>
        <v>PSAA-MUS-BBG-EBC-MOT-01</v>
      </c>
      <c r="E589" t="s">
        <v>38</v>
      </c>
      <c r="F589" t="str">
        <f>VLOOKUP(E589,Localizacoes!$A$3:$B$100,2,FALSE)</f>
        <v>PSAA</v>
      </c>
      <c r="G589" t="str">
        <f>VLOOKUP(E589,ID!$A$3:$B$100,2,FALSE)</f>
        <v>PS</v>
      </c>
      <c r="H589" s="20" t="s">
        <v>58</v>
      </c>
      <c r="I589" t="str">
        <f>VLOOKUP(H589,Localizacoes!$C$3:$D$100,2,FALSE)</f>
        <v>MUS</v>
      </c>
      <c r="J589">
        <f>VLOOKUP(H589,ID!$C$3:$D$100,2,FALSE)</f>
        <v>52</v>
      </c>
      <c r="K589" t="s">
        <v>274</v>
      </c>
      <c r="L589" t="str">
        <f>VLOOKUP(K589,Localizacoes!$E$3:$F$100,2,FALSE)</f>
        <v>BBG</v>
      </c>
      <c r="M589" t="str">
        <f>VLOOKUP(K589,ID!$E$3:$F$100,2,FALSE)</f>
        <v>BBG</v>
      </c>
      <c r="N589" t="s">
        <v>704</v>
      </c>
      <c r="O589" t="str">
        <f>VLOOKUP(N589,Localizacoes!$G$3:$H$100,2,FALSE)</f>
        <v>EBC</v>
      </c>
      <c r="P589">
        <f>VLOOKUP(N589,ID!$G$3:$H$100,2,FALSE)</f>
        <v>131</v>
      </c>
      <c r="Q589" t="s">
        <v>21</v>
      </c>
      <c r="R589" t="str">
        <f>VLOOKUP(Q589,Localizacoes!$I$3:$J$100,2,FALSE)</f>
        <v>MOT</v>
      </c>
      <c r="S589" t="str">
        <f>VLOOKUP(Q589,ID!$I$3:$J$100,2,FALSE)</f>
        <v>MOT</v>
      </c>
      <c r="T589" s="4" t="s">
        <v>182</v>
      </c>
      <c r="U589" t="s">
        <v>265</v>
      </c>
      <c r="Y589" t="s">
        <v>270</v>
      </c>
      <c r="Z589" t="str">
        <f t="shared" si="106"/>
        <v>Motor 01</v>
      </c>
      <c r="AD589" s="13" t="s">
        <v>7</v>
      </c>
      <c r="AF589" t="str">
        <f t="shared" si="112"/>
        <v>Electrobomba centrífugaMotor</v>
      </c>
      <c r="AG589" s="28" t="str">
        <f>VLOOKUP(AF589,Imagens!$C$2:$D$42,2,FALSE)</f>
        <v>65d04210323a4</v>
      </c>
      <c r="AH589" t="str">
        <f>_xlfn.CONCAT(Imagens!$H$2,'registo_ativo-CDs (1)'!AG589)</f>
        <v>assets/imagens/products/65d04210323a4</v>
      </c>
      <c r="AI589" s="67">
        <v>45323</v>
      </c>
    </row>
    <row r="590" spans="1:35" ht="16.8" customHeight="1" x14ac:dyDescent="0.3">
      <c r="A590">
        <f t="shared" si="109"/>
        <v>15</v>
      </c>
      <c r="B590" t="str">
        <f t="shared" si="110"/>
        <v>PS52BBG131QEA01</v>
      </c>
      <c r="C590" t="str">
        <f t="shared" si="111"/>
        <v>PSAA-MUS-BBG-EBC-QEA-01</v>
      </c>
      <c r="E590" t="s">
        <v>38</v>
      </c>
      <c r="F590" t="str">
        <f>VLOOKUP(E590,Localizacoes!$A$3:$B$100,2,FALSE)</f>
        <v>PSAA</v>
      </c>
      <c r="G590" t="str">
        <f>VLOOKUP(E590,ID!$A$3:$B$100,2,FALSE)</f>
        <v>PS</v>
      </c>
      <c r="H590" s="20" t="s">
        <v>58</v>
      </c>
      <c r="I590" t="str">
        <f>VLOOKUP(H590,Localizacoes!$C$3:$D$100,2,FALSE)</f>
        <v>MUS</v>
      </c>
      <c r="J590">
        <f>VLOOKUP(H590,ID!$C$3:$D$100,2,FALSE)</f>
        <v>52</v>
      </c>
      <c r="K590" t="s">
        <v>274</v>
      </c>
      <c r="L590" t="str">
        <f>VLOOKUP(K590,Localizacoes!$E$3:$F$100,2,FALSE)</f>
        <v>BBG</v>
      </c>
      <c r="M590" t="str">
        <f>VLOOKUP(K590,ID!$E$3:$F$100,2,FALSE)</f>
        <v>BBG</v>
      </c>
      <c r="N590" t="s">
        <v>704</v>
      </c>
      <c r="O590" t="str">
        <f>VLOOKUP(N590,Localizacoes!$G$3:$H$100,2,FALSE)</f>
        <v>EBC</v>
      </c>
      <c r="P590">
        <f>VLOOKUP(N590,ID!$G$3:$H$100,2,FALSE)</f>
        <v>131</v>
      </c>
      <c r="Q590" t="s">
        <v>154</v>
      </c>
      <c r="R590" t="str">
        <f>VLOOKUP(Q590,Localizacoes!$I$3:$J$100,2,FALSE)</f>
        <v>QEA</v>
      </c>
      <c r="S590" t="str">
        <f>VLOOKUP(Q590,ID!$I$3:$J$100,2,FALSE)</f>
        <v>QEA</v>
      </c>
      <c r="T590" s="4" t="s">
        <v>182</v>
      </c>
      <c r="U590" t="s">
        <v>265</v>
      </c>
      <c r="Y590" t="s">
        <v>270</v>
      </c>
      <c r="Z590" t="str">
        <f t="shared" ref="Z590:Z653" si="113">Q590&amp;" "&amp; T590</f>
        <v>Quadros Eléctricos de Arranque 01</v>
      </c>
      <c r="AD590" s="13" t="s">
        <v>267</v>
      </c>
      <c r="AF590" t="str">
        <f t="shared" si="112"/>
        <v>Electrobomba centrífugaQuadros Eléctricos de Arranque</v>
      </c>
      <c r="AG590" s="28" t="str">
        <f>VLOOKUP(AF590,Imagens!$C$2:$D$42,2,FALSE)</f>
        <v>65e8d2fa35c12</v>
      </c>
      <c r="AH590" t="str">
        <f>_xlfn.CONCAT(Imagens!$H$2,'registo_ativo-CDs (1)'!AG590)</f>
        <v>assets/imagens/products/65e8d2fa35c12</v>
      </c>
      <c r="AI590" s="67">
        <v>45379</v>
      </c>
    </row>
    <row r="591" spans="1:35" ht="16.8" customHeight="1" x14ac:dyDescent="0.3">
      <c r="A591">
        <f t="shared" si="109"/>
        <v>15</v>
      </c>
      <c r="B591" t="str">
        <f t="shared" si="110"/>
        <v>PS52BBG131VSU01</v>
      </c>
      <c r="C591" t="str">
        <f t="shared" si="111"/>
        <v>PSAA-MUS-BBG-EBC-VSU-01</v>
      </c>
      <c r="E591" t="s">
        <v>38</v>
      </c>
      <c r="F591" t="str">
        <f>VLOOKUP(E591,Localizacoes!$A$3:$B$100,2,FALSE)</f>
        <v>PSAA</v>
      </c>
      <c r="G591" t="str">
        <f>VLOOKUP(E591,ID!$A$3:$B$100,2,FALSE)</f>
        <v>PS</v>
      </c>
      <c r="H591" s="20" t="s">
        <v>58</v>
      </c>
      <c r="I591" t="str">
        <f>VLOOKUP(H591,Localizacoes!$C$3:$D$100,2,FALSE)</f>
        <v>MUS</v>
      </c>
      <c r="J591">
        <f>VLOOKUP(H591,ID!$C$3:$D$100,2,FALSE)</f>
        <v>52</v>
      </c>
      <c r="K591" t="s">
        <v>274</v>
      </c>
      <c r="L591" t="str">
        <f>VLOOKUP(K591,Localizacoes!$E$3:$F$100,2,FALSE)</f>
        <v>BBG</v>
      </c>
      <c r="M591" t="str">
        <f>VLOOKUP(K591,ID!$E$3:$F$100,2,FALSE)</f>
        <v>BBG</v>
      </c>
      <c r="N591" t="s">
        <v>704</v>
      </c>
      <c r="O591" t="str">
        <f>VLOOKUP(N591,Localizacoes!$G$3:$H$100,2,FALSE)</f>
        <v>EBC</v>
      </c>
      <c r="P591">
        <f>VLOOKUP(N591,ID!$G$3:$H$100,2,FALSE)</f>
        <v>131</v>
      </c>
      <c r="Q591" t="s">
        <v>276</v>
      </c>
      <c r="R591" t="str">
        <f>VLOOKUP(Q591,Localizacoes!$I$3:$J$100,2,FALSE)</f>
        <v>VSU</v>
      </c>
      <c r="S591" t="str">
        <f>VLOOKUP(Q591,ID!$I$3:$J$100,2,FALSE)</f>
        <v>VSU</v>
      </c>
      <c r="T591" s="4" t="s">
        <v>182</v>
      </c>
      <c r="U591" t="s">
        <v>264</v>
      </c>
      <c r="Y591" t="s">
        <v>270</v>
      </c>
      <c r="Z591" t="str">
        <f t="shared" si="113"/>
        <v>Válvula Sucção 01</v>
      </c>
      <c r="AD591" s="13" t="s">
        <v>267</v>
      </c>
      <c r="AF591" t="str">
        <f t="shared" si="112"/>
        <v>Electrobomba centrífugaVálvula Sucção</v>
      </c>
      <c r="AG591" s="28" t="str">
        <f>VLOOKUP(AF591,Imagens!$C$2:$D$42,2,FALSE)</f>
        <v>65e8cda0676b7</v>
      </c>
      <c r="AH591" t="str">
        <f>_xlfn.CONCAT(Imagens!$H$2,'registo_ativo-CDs (1)'!AG591)</f>
        <v>assets/imagens/products/65e8cda0676b7</v>
      </c>
      <c r="AI591" s="67">
        <v>45379</v>
      </c>
    </row>
    <row r="592" spans="1:35" ht="16.8" customHeight="1" x14ac:dyDescent="0.3">
      <c r="A592">
        <f t="shared" si="109"/>
        <v>15</v>
      </c>
      <c r="B592" t="str">
        <f t="shared" si="110"/>
        <v>PS52BBG131VDE01</v>
      </c>
      <c r="C592" t="str">
        <f t="shared" si="111"/>
        <v>PSAA-MUS-BBG-EBC-VDE-01</v>
      </c>
      <c r="E592" t="s">
        <v>38</v>
      </c>
      <c r="F592" t="str">
        <f>VLOOKUP(E592,Localizacoes!$A$3:$B$100,2,FALSE)</f>
        <v>PSAA</v>
      </c>
      <c r="G592" t="str">
        <f>VLOOKUP(E592,ID!$A$3:$B$100,2,FALSE)</f>
        <v>PS</v>
      </c>
      <c r="H592" s="20" t="s">
        <v>58</v>
      </c>
      <c r="I592" t="str">
        <f>VLOOKUP(H592,Localizacoes!$C$3:$D$100,2,FALSE)</f>
        <v>MUS</v>
      </c>
      <c r="J592">
        <f>VLOOKUP(H592,ID!$C$3:$D$100,2,FALSE)</f>
        <v>52</v>
      </c>
      <c r="K592" t="s">
        <v>274</v>
      </c>
      <c r="L592" t="str">
        <f>VLOOKUP(K592,Localizacoes!$E$3:$F$100,2,FALSE)</f>
        <v>BBG</v>
      </c>
      <c r="M592" t="str">
        <f>VLOOKUP(K592,ID!$E$3:$F$100,2,FALSE)</f>
        <v>BBG</v>
      </c>
      <c r="N592" t="s">
        <v>704</v>
      </c>
      <c r="O592" t="str">
        <f>VLOOKUP(N592,Localizacoes!$G$3:$H$100,2,FALSE)</f>
        <v>EBC</v>
      </c>
      <c r="P592">
        <f>VLOOKUP(N592,ID!$G$3:$H$100,2,FALSE)</f>
        <v>131</v>
      </c>
      <c r="Q592" t="s">
        <v>279</v>
      </c>
      <c r="R592" t="str">
        <f>VLOOKUP(Q592,Localizacoes!$I$3:$J$100,2,FALSE)</f>
        <v>VDE</v>
      </c>
      <c r="S592" t="str">
        <f>VLOOKUP(Q592,ID!$I$3:$J$100,2,FALSE)</f>
        <v>VDE</v>
      </c>
      <c r="T592" s="4" t="s">
        <v>182</v>
      </c>
      <c r="U592" t="s">
        <v>264</v>
      </c>
      <c r="Y592" t="s">
        <v>270</v>
      </c>
      <c r="Z592" t="str">
        <f t="shared" si="113"/>
        <v>Válvula Descarga 01</v>
      </c>
      <c r="AD592" s="13" t="s">
        <v>267</v>
      </c>
      <c r="AF592" t="str">
        <f t="shared" si="112"/>
        <v>Electrobomba centrífugaVálvula Descarga</v>
      </c>
      <c r="AG592" s="28" t="str">
        <f>VLOOKUP(AF592,Imagens!$C$2:$D$42,2,FALSE)</f>
        <v>65e8cda0676b7</v>
      </c>
      <c r="AH592" t="str">
        <f>_xlfn.CONCAT(Imagens!$H$2,'registo_ativo-CDs (1)'!AG592)</f>
        <v>assets/imagens/products/65e8cda0676b7</v>
      </c>
      <c r="AI592" s="67">
        <v>45379</v>
      </c>
    </row>
    <row r="593" spans="1:35" ht="16.8" customHeight="1" x14ac:dyDescent="0.3">
      <c r="A593">
        <f t="shared" si="109"/>
        <v>15</v>
      </c>
      <c r="B593" t="str">
        <f t="shared" si="110"/>
        <v>PS52BBG131BOM02</v>
      </c>
      <c r="C593" t="str">
        <f t="shared" si="111"/>
        <v>PSAA-MUS-BBG-EBC-BOM-02</v>
      </c>
      <c r="E593" t="s">
        <v>38</v>
      </c>
      <c r="F593" t="str">
        <f>VLOOKUP(E593,Localizacoes!$A$3:$B$100,2,FALSE)</f>
        <v>PSAA</v>
      </c>
      <c r="G593" t="str">
        <f>VLOOKUP(E593,ID!$A$3:$B$100,2,FALSE)</f>
        <v>PS</v>
      </c>
      <c r="H593" s="20" t="s">
        <v>58</v>
      </c>
      <c r="I593" t="str">
        <f>VLOOKUP(H593,Localizacoes!$C$3:$D$100,2,FALSE)</f>
        <v>MUS</v>
      </c>
      <c r="J593">
        <f>VLOOKUP(H593,ID!$C$3:$D$100,2,FALSE)</f>
        <v>52</v>
      </c>
      <c r="K593" t="s">
        <v>274</v>
      </c>
      <c r="L593" t="str">
        <f>VLOOKUP(K593,Localizacoes!$E$3:$F$100,2,FALSE)</f>
        <v>BBG</v>
      </c>
      <c r="M593" t="str">
        <f>VLOOKUP(K593,ID!$E$3:$F$100,2,FALSE)</f>
        <v>BBG</v>
      </c>
      <c r="N593" t="s">
        <v>704</v>
      </c>
      <c r="O593" t="str">
        <f>VLOOKUP(N593,Localizacoes!$G$3:$H$100,2,FALSE)</f>
        <v>EBC</v>
      </c>
      <c r="P593">
        <f>VLOOKUP(N593,ID!$G$3:$H$100,2,FALSE)</f>
        <v>131</v>
      </c>
      <c r="Q593" t="s">
        <v>150</v>
      </c>
      <c r="R593" t="str">
        <f>VLOOKUP(Q593,Localizacoes!$I$3:$J$100,2,FALSE)</f>
        <v>BOM</v>
      </c>
      <c r="S593" t="str">
        <f>VLOOKUP(Q593,ID!$I$3:$J$100,2,FALSE)</f>
        <v>BOM</v>
      </c>
      <c r="T593" s="4" t="s">
        <v>186</v>
      </c>
      <c r="U593" t="s">
        <v>264</v>
      </c>
      <c r="Y593" t="s">
        <v>270</v>
      </c>
      <c r="Z593" t="str">
        <f t="shared" si="113"/>
        <v>Bomba 02</v>
      </c>
      <c r="AD593" s="13" t="s">
        <v>7</v>
      </c>
      <c r="AF593" t="str">
        <f t="shared" si="112"/>
        <v>Electrobomba centrífugaBomba</v>
      </c>
      <c r="AG593" s="28" t="str">
        <f>VLOOKUP(AF593,Imagens!$C$2:$D$42,2,FALSE)</f>
        <v>65e96125c1d11</v>
      </c>
      <c r="AH593" t="str">
        <f>_xlfn.CONCAT(Imagens!$H$2,'registo_ativo-CDs (1)'!AG593)</f>
        <v>assets/imagens/products/65e96125c1d11</v>
      </c>
      <c r="AI593" s="67">
        <v>45323</v>
      </c>
    </row>
    <row r="594" spans="1:35" ht="16.8" customHeight="1" x14ac:dyDescent="0.3">
      <c r="A594">
        <f t="shared" si="109"/>
        <v>15</v>
      </c>
      <c r="B594" t="str">
        <f t="shared" si="110"/>
        <v>PS52BBG131MOT02</v>
      </c>
      <c r="C594" t="str">
        <f t="shared" si="111"/>
        <v>PSAA-MUS-BBG-EBC-MOT-02</v>
      </c>
      <c r="E594" t="s">
        <v>38</v>
      </c>
      <c r="F594" t="str">
        <f>VLOOKUP(E594,Localizacoes!$A$3:$B$100,2,FALSE)</f>
        <v>PSAA</v>
      </c>
      <c r="G594" t="str">
        <f>VLOOKUP(E594,ID!$A$3:$B$100,2,FALSE)</f>
        <v>PS</v>
      </c>
      <c r="H594" s="20" t="s">
        <v>58</v>
      </c>
      <c r="I594" t="str">
        <f>VLOOKUP(H594,Localizacoes!$C$3:$D$100,2,FALSE)</f>
        <v>MUS</v>
      </c>
      <c r="J594">
        <f>VLOOKUP(H594,ID!$C$3:$D$100,2,FALSE)</f>
        <v>52</v>
      </c>
      <c r="K594" t="s">
        <v>274</v>
      </c>
      <c r="L594" t="str">
        <f>VLOOKUP(K594,Localizacoes!$E$3:$F$100,2,FALSE)</f>
        <v>BBG</v>
      </c>
      <c r="M594" t="str">
        <f>VLOOKUP(K594,ID!$E$3:$F$100,2,FALSE)</f>
        <v>BBG</v>
      </c>
      <c r="N594" t="s">
        <v>704</v>
      </c>
      <c r="O594" t="str">
        <f>VLOOKUP(N594,Localizacoes!$G$3:$H$100,2,FALSE)</f>
        <v>EBC</v>
      </c>
      <c r="P594">
        <f>VLOOKUP(N594,ID!$G$3:$H$100,2,FALSE)</f>
        <v>131</v>
      </c>
      <c r="Q594" t="s">
        <v>21</v>
      </c>
      <c r="R594" t="str">
        <f>VLOOKUP(Q594,Localizacoes!$I$3:$J$100,2,FALSE)</f>
        <v>MOT</v>
      </c>
      <c r="S594" t="str">
        <f>VLOOKUP(Q594,ID!$I$3:$J$100,2,FALSE)</f>
        <v>MOT</v>
      </c>
      <c r="T594" s="4" t="s">
        <v>186</v>
      </c>
      <c r="U594" t="s">
        <v>265</v>
      </c>
      <c r="Y594" t="s">
        <v>270</v>
      </c>
      <c r="Z594" t="str">
        <f t="shared" si="113"/>
        <v>Motor 02</v>
      </c>
      <c r="AD594" s="13" t="s">
        <v>7</v>
      </c>
      <c r="AF594" t="str">
        <f t="shared" si="112"/>
        <v>Electrobomba centrífugaMotor</v>
      </c>
      <c r="AG594" s="28" t="str">
        <f>VLOOKUP(AF594,Imagens!$C$2:$D$42,2,FALSE)</f>
        <v>65d04210323a4</v>
      </c>
      <c r="AH594" t="str">
        <f>_xlfn.CONCAT(Imagens!$H$2,'registo_ativo-CDs (1)'!AG594)</f>
        <v>assets/imagens/products/65d04210323a4</v>
      </c>
      <c r="AI594" s="67">
        <v>45323</v>
      </c>
    </row>
    <row r="595" spans="1:35" ht="16.8" customHeight="1" x14ac:dyDescent="0.3">
      <c r="A595">
        <f t="shared" ref="A595:A626" si="114">LEN(B595)</f>
        <v>15</v>
      </c>
      <c r="B595" t="str">
        <f t="shared" si="110"/>
        <v>PS52BBG131QEA02</v>
      </c>
      <c r="C595" t="str">
        <f t="shared" si="111"/>
        <v>PSAA-MUS-BBG-EBC-QEA-02</v>
      </c>
      <c r="E595" t="s">
        <v>38</v>
      </c>
      <c r="F595" t="str">
        <f>VLOOKUP(E595,Localizacoes!$A$3:$B$100,2,FALSE)</f>
        <v>PSAA</v>
      </c>
      <c r="G595" t="str">
        <f>VLOOKUP(E595,ID!$A$3:$B$100,2,FALSE)</f>
        <v>PS</v>
      </c>
      <c r="H595" s="20" t="s">
        <v>58</v>
      </c>
      <c r="I595" t="str">
        <f>VLOOKUP(H595,Localizacoes!$C$3:$D$100,2,FALSE)</f>
        <v>MUS</v>
      </c>
      <c r="J595">
        <f>VLOOKUP(H595,ID!$C$3:$D$100,2,FALSE)</f>
        <v>52</v>
      </c>
      <c r="K595" t="s">
        <v>274</v>
      </c>
      <c r="L595" t="str">
        <f>VLOOKUP(K595,Localizacoes!$E$3:$F$100,2,FALSE)</f>
        <v>BBG</v>
      </c>
      <c r="M595" t="str">
        <f>VLOOKUP(K595,ID!$E$3:$F$100,2,FALSE)</f>
        <v>BBG</v>
      </c>
      <c r="N595" t="s">
        <v>704</v>
      </c>
      <c r="O595" t="str">
        <f>VLOOKUP(N595,Localizacoes!$G$3:$H$100,2,FALSE)</f>
        <v>EBC</v>
      </c>
      <c r="P595">
        <f>VLOOKUP(N595,ID!$G$3:$H$100,2,FALSE)</f>
        <v>131</v>
      </c>
      <c r="Q595" t="s">
        <v>154</v>
      </c>
      <c r="R595" t="str">
        <f>VLOOKUP(Q595,Localizacoes!$I$3:$J$100,2,FALSE)</f>
        <v>QEA</v>
      </c>
      <c r="S595" t="str">
        <f>VLOOKUP(Q595,ID!$I$3:$J$100,2,FALSE)</f>
        <v>QEA</v>
      </c>
      <c r="T595" s="4" t="s">
        <v>186</v>
      </c>
      <c r="U595" t="s">
        <v>265</v>
      </c>
      <c r="Y595" t="s">
        <v>270</v>
      </c>
      <c r="Z595" t="str">
        <f t="shared" si="113"/>
        <v>Quadros Eléctricos de Arranque 02</v>
      </c>
      <c r="AD595" s="13" t="s">
        <v>267</v>
      </c>
      <c r="AF595" t="str">
        <f t="shared" si="112"/>
        <v>Electrobomba centrífugaQuadros Eléctricos de Arranque</v>
      </c>
      <c r="AG595" s="28" t="str">
        <f>VLOOKUP(AF595,Imagens!$C$2:$D$42,2,FALSE)</f>
        <v>65e8d2fa35c12</v>
      </c>
      <c r="AH595" t="str">
        <f>_xlfn.CONCAT(Imagens!$H$2,'registo_ativo-CDs (1)'!AG595)</f>
        <v>assets/imagens/products/65e8d2fa35c12</v>
      </c>
      <c r="AI595" s="67">
        <v>45379</v>
      </c>
    </row>
    <row r="596" spans="1:35" ht="16.8" customHeight="1" x14ac:dyDescent="0.3">
      <c r="A596">
        <f t="shared" si="114"/>
        <v>15</v>
      </c>
      <c r="B596" t="str">
        <f t="shared" si="110"/>
        <v>PS52BBG131VSU02</v>
      </c>
      <c r="C596" t="str">
        <f t="shared" si="111"/>
        <v>PSAA-MUS-BBG-EBC-VSU-02</v>
      </c>
      <c r="E596" t="s">
        <v>38</v>
      </c>
      <c r="F596" t="str">
        <f>VLOOKUP(E596,Localizacoes!$A$3:$B$100,2,FALSE)</f>
        <v>PSAA</v>
      </c>
      <c r="G596" t="str">
        <f>VLOOKUP(E596,ID!$A$3:$B$100,2,FALSE)</f>
        <v>PS</v>
      </c>
      <c r="H596" s="20" t="s">
        <v>58</v>
      </c>
      <c r="I596" t="str">
        <f>VLOOKUP(H596,Localizacoes!$C$3:$D$100,2,FALSE)</f>
        <v>MUS</v>
      </c>
      <c r="J596">
        <f>VLOOKUP(H596,ID!$C$3:$D$100,2,FALSE)</f>
        <v>52</v>
      </c>
      <c r="K596" t="s">
        <v>274</v>
      </c>
      <c r="L596" t="str">
        <f>VLOOKUP(K596,Localizacoes!$E$3:$F$100,2,FALSE)</f>
        <v>BBG</v>
      </c>
      <c r="M596" t="str">
        <f>VLOOKUP(K596,ID!$E$3:$F$100,2,FALSE)</f>
        <v>BBG</v>
      </c>
      <c r="N596" t="s">
        <v>704</v>
      </c>
      <c r="O596" t="str">
        <f>VLOOKUP(N596,Localizacoes!$G$3:$H$100,2,FALSE)</f>
        <v>EBC</v>
      </c>
      <c r="P596">
        <f>VLOOKUP(N596,ID!$G$3:$H$100,2,FALSE)</f>
        <v>131</v>
      </c>
      <c r="Q596" t="s">
        <v>276</v>
      </c>
      <c r="R596" t="str">
        <f>VLOOKUP(Q596,Localizacoes!$I$3:$J$100,2,FALSE)</f>
        <v>VSU</v>
      </c>
      <c r="S596" t="str">
        <f>VLOOKUP(Q596,ID!$I$3:$J$100,2,FALSE)</f>
        <v>VSU</v>
      </c>
      <c r="T596" s="4" t="s">
        <v>186</v>
      </c>
      <c r="U596" t="s">
        <v>264</v>
      </c>
      <c r="Y596" t="s">
        <v>270</v>
      </c>
      <c r="Z596" t="str">
        <f t="shared" si="113"/>
        <v>Válvula Sucção 02</v>
      </c>
      <c r="AD596" s="13" t="s">
        <v>267</v>
      </c>
      <c r="AF596" t="str">
        <f t="shared" si="112"/>
        <v>Electrobomba centrífugaVálvula Sucção</v>
      </c>
      <c r="AG596" s="28" t="str">
        <f>VLOOKUP(AF596,Imagens!$C$2:$D$42,2,FALSE)</f>
        <v>65e8cda0676b7</v>
      </c>
      <c r="AH596" t="str">
        <f>_xlfn.CONCAT(Imagens!$H$2,'registo_ativo-CDs (1)'!AG596)</f>
        <v>assets/imagens/products/65e8cda0676b7</v>
      </c>
      <c r="AI596" s="67">
        <v>45379</v>
      </c>
    </row>
    <row r="597" spans="1:35" ht="16.8" customHeight="1" x14ac:dyDescent="0.3">
      <c r="A597">
        <f t="shared" si="114"/>
        <v>15</v>
      </c>
      <c r="B597" t="str">
        <f t="shared" si="110"/>
        <v>PS52BBG131VDE02</v>
      </c>
      <c r="C597" t="str">
        <f t="shared" si="111"/>
        <v>PSAA-MUS-BBG-EBC-VDE-02</v>
      </c>
      <c r="E597" t="s">
        <v>38</v>
      </c>
      <c r="F597" t="str">
        <f>VLOOKUP(E597,Localizacoes!$A$3:$B$100,2,FALSE)</f>
        <v>PSAA</v>
      </c>
      <c r="G597" t="str">
        <f>VLOOKUP(E597,ID!$A$3:$B$100,2,FALSE)</f>
        <v>PS</v>
      </c>
      <c r="H597" s="20" t="s">
        <v>58</v>
      </c>
      <c r="I597" t="str">
        <f>VLOOKUP(H597,Localizacoes!$C$3:$D$100,2,FALSE)</f>
        <v>MUS</v>
      </c>
      <c r="J597">
        <f>VLOOKUP(H597,ID!$C$3:$D$100,2,FALSE)</f>
        <v>52</v>
      </c>
      <c r="K597" t="s">
        <v>274</v>
      </c>
      <c r="L597" t="str">
        <f>VLOOKUP(K597,Localizacoes!$E$3:$F$100,2,FALSE)</f>
        <v>BBG</v>
      </c>
      <c r="M597" t="str">
        <f>VLOOKUP(K597,ID!$E$3:$F$100,2,FALSE)</f>
        <v>BBG</v>
      </c>
      <c r="N597" t="s">
        <v>704</v>
      </c>
      <c r="O597" t="str">
        <f>VLOOKUP(N597,Localizacoes!$G$3:$H$100,2,FALSE)</f>
        <v>EBC</v>
      </c>
      <c r="P597">
        <f>VLOOKUP(N597,ID!$G$3:$H$100,2,FALSE)</f>
        <v>131</v>
      </c>
      <c r="Q597" t="s">
        <v>279</v>
      </c>
      <c r="R597" t="str">
        <f>VLOOKUP(Q597,Localizacoes!$I$3:$J$100,2,FALSE)</f>
        <v>VDE</v>
      </c>
      <c r="S597" t="str">
        <f>VLOOKUP(Q597,ID!$I$3:$J$100,2,FALSE)</f>
        <v>VDE</v>
      </c>
      <c r="T597" s="4" t="s">
        <v>186</v>
      </c>
      <c r="U597" t="s">
        <v>264</v>
      </c>
      <c r="Y597" t="s">
        <v>270</v>
      </c>
      <c r="Z597" t="str">
        <f t="shared" si="113"/>
        <v>Válvula Descarga 02</v>
      </c>
      <c r="AD597" s="13" t="s">
        <v>267</v>
      </c>
      <c r="AF597" t="str">
        <f t="shared" si="112"/>
        <v>Electrobomba centrífugaVálvula Descarga</v>
      </c>
      <c r="AG597" s="28" t="str">
        <f>VLOOKUP(AF597,Imagens!$C$2:$D$42,2,FALSE)</f>
        <v>65e8cda0676b7</v>
      </c>
      <c r="AH597" t="str">
        <f>_xlfn.CONCAT(Imagens!$H$2,'registo_ativo-CDs (1)'!AG597)</f>
        <v>assets/imagens/products/65e8cda0676b7</v>
      </c>
      <c r="AI597" s="67">
        <v>45379</v>
      </c>
    </row>
    <row r="598" spans="1:35" ht="16.8" customHeight="1" x14ac:dyDescent="0.3">
      <c r="A598">
        <f t="shared" si="114"/>
        <v>15</v>
      </c>
      <c r="B598" t="str">
        <f t="shared" si="110"/>
        <v>PS52ILU164ILL01</v>
      </c>
      <c r="C598" t="str">
        <f t="shared" si="111"/>
        <v>PSAA-MUS-ILU-SIL-CEL-01</v>
      </c>
      <c r="E598" t="s">
        <v>38</v>
      </c>
      <c r="F598" t="str">
        <f>VLOOKUP(E598,Localizacoes!$A$3:$B$100,2,FALSE)</f>
        <v>PSAA</v>
      </c>
      <c r="G598" t="str">
        <f>VLOOKUP(E598,ID!$A$3:$B$100,2,FALSE)</f>
        <v>PS</v>
      </c>
      <c r="H598" s="20" t="s">
        <v>58</v>
      </c>
      <c r="I598" t="str">
        <f>VLOOKUP(H598,Localizacoes!$C$3:$D$100,2,FALSE)</f>
        <v>MUS</v>
      </c>
      <c r="J598">
        <f>VLOOKUP(H598,ID!$C$3:$D$100,2,FALSE)</f>
        <v>52</v>
      </c>
      <c r="K598" t="s">
        <v>141</v>
      </c>
      <c r="L598" t="str">
        <f>VLOOKUP(K598,Localizacoes!$E$3:$F$100,2,FALSE)</f>
        <v>ILU</v>
      </c>
      <c r="M598" t="str">
        <f>VLOOKUP(K598,ID!$E$3:$F$100,2,FALSE)</f>
        <v>ILU</v>
      </c>
      <c r="N598" t="s">
        <v>688</v>
      </c>
      <c r="O598" t="str">
        <f>VLOOKUP(N598,Localizacoes!$G$3:$H$100,2,FALSE)</f>
        <v>SIL</v>
      </c>
      <c r="P598">
        <f>VLOOKUP(N598,ID!$G$3:$H$100,2,FALSE)</f>
        <v>164</v>
      </c>
      <c r="Q598" t="s">
        <v>141</v>
      </c>
      <c r="R598" t="s">
        <v>541</v>
      </c>
      <c r="S598" t="str">
        <f>VLOOKUP(Q598,ID!$I$3:$J$100,2,FALSE)</f>
        <v>ILL</v>
      </c>
      <c r="T598" s="4" t="s">
        <v>182</v>
      </c>
      <c r="U598" t="s">
        <v>265</v>
      </c>
      <c r="Y598" t="s">
        <v>270</v>
      </c>
      <c r="Z598" t="str">
        <f t="shared" si="113"/>
        <v>Iluminação 01</v>
      </c>
      <c r="AD598" s="13" t="s">
        <v>267</v>
      </c>
      <c r="AF598" t="str">
        <f t="shared" si="112"/>
        <v>Sistema de IluminaçãoIluminação</v>
      </c>
      <c r="AG598" s="28" t="str">
        <f>VLOOKUP(AF598,Imagens!$C$2:$D$42,2,FALSE)</f>
        <v>65e8e579bfe6c</v>
      </c>
      <c r="AH598" t="str">
        <f>_xlfn.CONCAT(Imagens!$H$2,'registo_ativo-CDs (1)'!AG598)</f>
        <v>assets/imagens/products/65e8e579bfe6c</v>
      </c>
      <c r="AI598" s="67">
        <v>45323</v>
      </c>
    </row>
    <row r="599" spans="1:35" ht="16.8" customHeight="1" x14ac:dyDescent="0.3">
      <c r="A599">
        <f t="shared" si="114"/>
        <v>15</v>
      </c>
      <c r="B599" t="str">
        <f t="shared" si="110"/>
        <v>PS52CAN152CAN01</v>
      </c>
      <c r="C599" t="str">
        <f t="shared" si="111"/>
        <v>PSAA-MUS-CAN-QEL-CEL-01</v>
      </c>
      <c r="E599" t="s">
        <v>38</v>
      </c>
      <c r="F599" t="str">
        <f>VLOOKUP(E599,Localizacoes!$A$3:$B$100,2,FALSE)</f>
        <v>PSAA</v>
      </c>
      <c r="G599" t="str">
        <f>VLOOKUP(E599,ID!$A$3:$B$100,2,FALSE)</f>
        <v>PS</v>
      </c>
      <c r="H599" s="20" t="s">
        <v>58</v>
      </c>
      <c r="I599" t="str">
        <f>VLOOKUP(H599,Localizacoes!$C$3:$D$100,2,FALSE)</f>
        <v>MUS</v>
      </c>
      <c r="J599">
        <f>VLOOKUP(H599,ID!$C$3:$D$100,2,FALSE)</f>
        <v>52</v>
      </c>
      <c r="K599" t="s">
        <v>101</v>
      </c>
      <c r="L599" t="str">
        <f>VLOOKUP(K599,Localizacoes!$E$3:$F$100,2,FALSE)</f>
        <v>CAN</v>
      </c>
      <c r="M599" t="str">
        <f>VLOOKUP(K599,ID!$E$3:$F$100,2,FALSE)</f>
        <v>CAN</v>
      </c>
      <c r="N599" t="s">
        <v>286</v>
      </c>
      <c r="O599" t="str">
        <f>VLOOKUP(N599,Localizacoes!$G$3:$H$100,2,FALSE)</f>
        <v>QEL</v>
      </c>
      <c r="P599">
        <f>VLOOKUP(N599,ID!$G$3:$H$100,2,FALSE)</f>
        <v>152</v>
      </c>
      <c r="Q599" t="s">
        <v>101</v>
      </c>
      <c r="R599" t="s">
        <v>541</v>
      </c>
      <c r="S599" t="str">
        <f>VLOOKUP(Q599,ID!$I$3:$J$100,2,FALSE)</f>
        <v>CAN</v>
      </c>
      <c r="T599" s="4" t="s">
        <v>182</v>
      </c>
      <c r="U599" t="s">
        <v>265</v>
      </c>
      <c r="Y599" t="s">
        <v>270</v>
      </c>
      <c r="Z599" t="str">
        <f t="shared" si="113"/>
        <v>Canalização Eléctrica 01</v>
      </c>
      <c r="AD599" s="13" t="s">
        <v>266</v>
      </c>
      <c r="AF599" t="str">
        <f t="shared" si="112"/>
        <v>Quadro EléctricoCanalização Eléctrica</v>
      </c>
      <c r="AG599" s="28" t="str">
        <f>VLOOKUP(AF599,Imagens!$C$2:$D$42,2,FALSE)</f>
        <v>65e8e4bb71249</v>
      </c>
      <c r="AH599" t="str">
        <f>_xlfn.CONCAT(Imagens!$H$2,'registo_ativo-CDs (1)'!AG599)</f>
        <v>assets/imagens/products/65e8e4bb71249</v>
      </c>
      <c r="AI599" s="67">
        <v>45463</v>
      </c>
    </row>
    <row r="600" spans="1:35" ht="16.8" customHeight="1" x14ac:dyDescent="0.3">
      <c r="A600">
        <f t="shared" si="114"/>
        <v>15</v>
      </c>
      <c r="B600" t="str">
        <f t="shared" si="110"/>
        <v>PS52CAN165TRA01</v>
      </c>
      <c r="C600" t="str">
        <f t="shared" si="111"/>
        <v>PSAA-MUS-CAN-SUB-TRA-01</v>
      </c>
      <c r="E600" t="s">
        <v>38</v>
      </c>
      <c r="F600" t="str">
        <f>VLOOKUP(E600,Localizacoes!$A$3:$B$100,2,FALSE)</f>
        <v>PSAA</v>
      </c>
      <c r="G600" t="str">
        <f>VLOOKUP(E600,ID!$A$3:$B$100,2,FALSE)</f>
        <v>PS</v>
      </c>
      <c r="H600" s="20" t="s">
        <v>58</v>
      </c>
      <c r="I600" t="str">
        <f>VLOOKUP(H600,Localizacoes!$C$3:$D$100,2,FALSE)</f>
        <v>MUS</v>
      </c>
      <c r="J600">
        <f>VLOOKUP(H600,ID!$C$3:$D$100,2,FALSE)</f>
        <v>52</v>
      </c>
      <c r="K600" t="s">
        <v>101</v>
      </c>
      <c r="L600" t="str">
        <f>VLOOKUP(K600,Localizacoes!$E$3:$F$100,2,FALSE)</f>
        <v>CAN</v>
      </c>
      <c r="M600" t="str">
        <f>VLOOKUP(K600,ID!$E$3:$F$100,2,FALSE)</f>
        <v>CAN</v>
      </c>
      <c r="N600" t="s">
        <v>112</v>
      </c>
      <c r="O600" t="str">
        <f>VLOOKUP(N600,Localizacoes!$G$3:$H$100,2,FALSE)</f>
        <v>SUB</v>
      </c>
      <c r="P600">
        <f>VLOOKUP(N600,ID!$G$3:$H$100,2,FALSE)</f>
        <v>165</v>
      </c>
      <c r="Q600" t="s">
        <v>176</v>
      </c>
      <c r="R600" t="str">
        <f>VLOOKUP(Q600,Localizacoes!$I$3:$J$100,2,FALSE)</f>
        <v>TRA</v>
      </c>
      <c r="S600" t="str">
        <f>VLOOKUP(Q600,ID!$I$3:$J$100,2,FALSE)</f>
        <v>TRA</v>
      </c>
      <c r="T600" s="4" t="s">
        <v>182</v>
      </c>
      <c r="U600" t="s">
        <v>265</v>
      </c>
      <c r="Y600" t="s">
        <v>270</v>
      </c>
      <c r="Z600" t="str">
        <f t="shared" si="113"/>
        <v>Transformador 01</v>
      </c>
      <c r="AD600" s="13" t="s">
        <v>267</v>
      </c>
      <c r="AF600" t="str">
        <f t="shared" si="112"/>
        <v>SubestaçãoTransformador</v>
      </c>
      <c r="AG600" s="28" t="str">
        <f>VLOOKUP(AF600,Imagens!$C$2:$D$42,2,FALSE)</f>
        <v>65e8d98d73a3d</v>
      </c>
      <c r="AH600" t="str">
        <f>_xlfn.CONCAT(Imagens!$H$2,'registo_ativo-CDs (1)'!AG600)</f>
        <v>assets/imagens/products/65e8d98d73a3d</v>
      </c>
      <c r="AI600" s="67">
        <v>45323</v>
      </c>
    </row>
    <row r="601" spans="1:35" ht="16.8" customHeight="1" x14ac:dyDescent="0.3">
      <c r="A601">
        <f t="shared" si="114"/>
        <v>15</v>
      </c>
      <c r="B601" t="str">
        <f t="shared" si="110"/>
        <v>PS20ILU164ILL01</v>
      </c>
      <c r="C601" t="str">
        <f t="shared" si="111"/>
        <v>PSAA-CFVO-ILU-SIL-ILL-01</v>
      </c>
      <c r="E601" t="s">
        <v>38</v>
      </c>
      <c r="F601" t="str">
        <f>VLOOKUP(E601,Localizacoes!$A$3:$B$100,2,FALSE)</f>
        <v>PSAA</v>
      </c>
      <c r="G601" t="str">
        <f>VLOOKUP(E601,ID!$A$3:$B$100,2,FALSE)</f>
        <v>PS</v>
      </c>
      <c r="H601" s="14" t="s">
        <v>599</v>
      </c>
      <c r="I601" t="str">
        <f>VLOOKUP(H601,Localizacoes!$C$3:$D$100,2,FALSE)</f>
        <v>CFVO</v>
      </c>
      <c r="J601">
        <f>VLOOKUP(H601,ID!$C$3:$D$100,2,FALSE)</f>
        <v>20</v>
      </c>
      <c r="K601" t="s">
        <v>141</v>
      </c>
      <c r="L601" t="str">
        <f>VLOOKUP(K601,Localizacoes!$E$3:$F$100,2,FALSE)</f>
        <v>ILU</v>
      </c>
      <c r="M601" t="str">
        <f>VLOOKUP(K601,ID!$E$3:$F$100,2,FALSE)</f>
        <v>ILU</v>
      </c>
      <c r="N601" t="s">
        <v>688</v>
      </c>
      <c r="O601" t="str">
        <f>VLOOKUP(N601,Localizacoes!$G$3:$H$100,2,FALSE)</f>
        <v>SIL</v>
      </c>
      <c r="P601">
        <f>VLOOKUP(N601,ID!$G$3:$H$100,2,FALSE)</f>
        <v>164</v>
      </c>
      <c r="Q601" t="s">
        <v>141</v>
      </c>
      <c r="R601" t="str">
        <f>VLOOKUP(Q601,Localizacoes!$I$3:$J$100,2,FALSE)</f>
        <v>ILL</v>
      </c>
      <c r="S601" t="str">
        <f>VLOOKUP(Q601,ID!$I$3:$J$100,2,FALSE)</f>
        <v>ILL</v>
      </c>
      <c r="T601" s="4" t="s">
        <v>182</v>
      </c>
      <c r="U601" t="s">
        <v>265</v>
      </c>
      <c r="Y601" t="s">
        <v>270</v>
      </c>
      <c r="Z601" t="str">
        <f t="shared" si="113"/>
        <v>Iluminação 01</v>
      </c>
      <c r="AD601" s="13" t="s">
        <v>267</v>
      </c>
      <c r="AF601" t="str">
        <f t="shared" si="112"/>
        <v>Sistema de IluminaçãoIluminação</v>
      </c>
      <c r="AG601" s="28" t="str">
        <f>VLOOKUP(AF601,Imagens!$C$2:$D$42,2,FALSE)</f>
        <v>65e8e579bfe6c</v>
      </c>
      <c r="AH601" t="str">
        <f>_xlfn.CONCAT(Imagens!$H$2,'registo_ativo-CDs (1)'!AG601)</f>
        <v>assets/imagens/products/65e8e579bfe6c</v>
      </c>
      <c r="AI601" s="67">
        <v>45299</v>
      </c>
    </row>
    <row r="602" spans="1:35" ht="16.8" customHeight="1" x14ac:dyDescent="0.3">
      <c r="A602">
        <f t="shared" si="114"/>
        <v>15</v>
      </c>
      <c r="B602" t="str">
        <f t="shared" si="110"/>
        <v>PS20CAN152CAN01</v>
      </c>
      <c r="C602" t="str">
        <f t="shared" si="111"/>
        <v>PSAA-CFVO-CAN-QEL-CAN-01</v>
      </c>
      <c r="E602" t="s">
        <v>38</v>
      </c>
      <c r="F602" t="str">
        <f>VLOOKUP(E602,Localizacoes!$A$3:$B$100,2,FALSE)</f>
        <v>PSAA</v>
      </c>
      <c r="G602" t="str">
        <f>VLOOKUP(E602,ID!$A$3:$B$100,2,FALSE)</f>
        <v>PS</v>
      </c>
      <c r="H602" s="14" t="s">
        <v>599</v>
      </c>
      <c r="I602" t="str">
        <f>VLOOKUP(H602,Localizacoes!$C$3:$D$100,2,FALSE)</f>
        <v>CFVO</v>
      </c>
      <c r="J602">
        <f>VLOOKUP(H602,ID!$C$3:$D$100,2,FALSE)</f>
        <v>20</v>
      </c>
      <c r="K602" t="s">
        <v>101</v>
      </c>
      <c r="L602" t="str">
        <f>VLOOKUP(K602,Localizacoes!$E$3:$F$100,2,FALSE)</f>
        <v>CAN</v>
      </c>
      <c r="M602" t="str">
        <f>VLOOKUP(K602,ID!$E$3:$F$100,2,FALSE)</f>
        <v>CAN</v>
      </c>
      <c r="N602" t="s">
        <v>286</v>
      </c>
      <c r="O602" t="str">
        <f>VLOOKUP(N602,Localizacoes!$G$3:$H$100,2,FALSE)</f>
        <v>QEL</v>
      </c>
      <c r="P602">
        <f>VLOOKUP(N602,ID!$G$3:$H$100,2,FALSE)</f>
        <v>152</v>
      </c>
      <c r="Q602" t="s">
        <v>101</v>
      </c>
      <c r="R602" t="str">
        <f>VLOOKUP(Q602,Localizacoes!$I$3:$J$100,2,FALSE)</f>
        <v>CAN</v>
      </c>
      <c r="S602" t="str">
        <f>VLOOKUP(Q602,ID!$I$3:$J$100,2,FALSE)</f>
        <v>CAN</v>
      </c>
      <c r="T602" s="4" t="s">
        <v>182</v>
      </c>
      <c r="U602" t="s">
        <v>265</v>
      </c>
      <c r="Y602" t="s">
        <v>270</v>
      </c>
      <c r="Z602" t="str">
        <f t="shared" si="113"/>
        <v>Canalização Eléctrica 01</v>
      </c>
      <c r="AD602" s="13" t="s">
        <v>266</v>
      </c>
      <c r="AF602" t="str">
        <f t="shared" si="112"/>
        <v>Quadro EléctricoCanalização Eléctrica</v>
      </c>
      <c r="AG602" s="28" t="str">
        <f>VLOOKUP(AF602,Imagens!$C$2:$D$42,2,FALSE)</f>
        <v>65e8e4bb71249</v>
      </c>
      <c r="AH602" t="str">
        <f>_xlfn.CONCAT(Imagens!$H$2,'registo_ativo-CDs (1)'!AG602)</f>
        <v>assets/imagens/products/65e8e4bb71249</v>
      </c>
      <c r="AI602" s="67">
        <v>45467</v>
      </c>
    </row>
    <row r="603" spans="1:35" ht="16.8" customHeight="1" x14ac:dyDescent="0.3">
      <c r="A603" s="22">
        <f t="shared" si="114"/>
        <v>15</v>
      </c>
      <c r="B603" s="22" t="str">
        <f t="shared" si="110"/>
        <v>PS20BBG141CME01</v>
      </c>
      <c r="C603" s="22" t="str">
        <f t="shared" si="111"/>
        <v>PSAA-CFVO-BBG-FUR-CME-01</v>
      </c>
      <c r="D603" s="22"/>
      <c r="E603" s="22" t="s">
        <v>38</v>
      </c>
      <c r="F603" s="22" t="str">
        <f>VLOOKUP(E603,Localizacoes!$A$3:$B$100,2,FALSE)</f>
        <v>PSAA</v>
      </c>
      <c r="G603" s="22" t="str">
        <f>VLOOKUP(E603,ID!$A$3:$B$100,2,FALSE)</f>
        <v>PS</v>
      </c>
      <c r="H603" s="37" t="s">
        <v>599</v>
      </c>
      <c r="I603" s="22" t="str">
        <f>VLOOKUP(H603,Localizacoes!$C$3:$D$100,2,FALSE)</f>
        <v>CFVO</v>
      </c>
      <c r="J603" s="22">
        <f>VLOOKUP(H603,ID!$C$3:$D$100,2,FALSE)</f>
        <v>20</v>
      </c>
      <c r="K603" s="22" t="s">
        <v>274</v>
      </c>
      <c r="L603" s="22" t="str">
        <f>VLOOKUP(K603,Localizacoes!$E$3:$F$100,2,FALSE)</f>
        <v>BBG</v>
      </c>
      <c r="M603" s="22" t="str">
        <f>VLOOKUP(K603,ID!$E$3:$F$100,2,FALSE)</f>
        <v>BBG</v>
      </c>
      <c r="N603" s="22" t="s">
        <v>603</v>
      </c>
      <c r="O603" s="22" t="str">
        <f>VLOOKUP(N603,Localizacoes!$G$3:$H$100,2,FALSE)</f>
        <v>FUR</v>
      </c>
      <c r="P603" s="22">
        <f>VLOOKUP(N603,ID!$G$3:$H$100,2,FALSE)</f>
        <v>141</v>
      </c>
      <c r="Q603" s="22" t="s">
        <v>642</v>
      </c>
      <c r="R603" s="22" t="str">
        <f>VLOOKUP(Q603,Localizacoes!$I$3:$J$100,2,FALSE)</f>
        <v>CME</v>
      </c>
      <c r="S603" s="22" t="str">
        <f>VLOOKUP(Q603,ID!$I$3:$J$100,2,FALSE)</f>
        <v>CME</v>
      </c>
      <c r="T603" s="38" t="s">
        <v>182</v>
      </c>
      <c r="U603" s="22" t="s">
        <v>264</v>
      </c>
      <c r="Y603" t="s">
        <v>270</v>
      </c>
      <c r="Z603" t="str">
        <f t="shared" si="113"/>
        <v>Componentes mecânicos 01</v>
      </c>
      <c r="AD603" s="13" t="s">
        <v>7</v>
      </c>
      <c r="AF603" t="str">
        <f t="shared" si="112"/>
        <v>FuroComponentes mecânicos</v>
      </c>
      <c r="AG603" s="28" t="str">
        <f>VLOOKUP(AF603,Imagens!$C$2:$D$42,2,FALSE)</f>
        <v>511e9f0a</v>
      </c>
      <c r="AH603" t="str">
        <f>_xlfn.CONCAT(Imagens!$H$2,'registo_ativo-CDs (1)'!AG603)</f>
        <v>assets/imagens/products/511e9f0a</v>
      </c>
      <c r="AI603" s="67">
        <v>45299</v>
      </c>
    </row>
    <row r="604" spans="1:35" ht="16.8" customHeight="1" x14ac:dyDescent="0.3">
      <c r="A604" s="22">
        <f t="shared" si="114"/>
        <v>15</v>
      </c>
      <c r="B604" s="22" t="str">
        <f t="shared" si="110"/>
        <v>PS20QEA152QEA01</v>
      </c>
      <c r="C604" s="22" t="str">
        <f t="shared" si="111"/>
        <v>PSAA-CFVO-QEA-QEL-QEA-01</v>
      </c>
      <c r="D604" s="22"/>
      <c r="E604" s="22" t="s">
        <v>38</v>
      </c>
      <c r="F604" s="22" t="str">
        <f>VLOOKUP(E604,Localizacoes!$A$3:$B$100,2,FALSE)</f>
        <v>PSAA</v>
      </c>
      <c r="G604" s="22" t="str">
        <f>VLOOKUP(E604,ID!$A$3:$B$100,2,FALSE)</f>
        <v>PS</v>
      </c>
      <c r="H604" s="37" t="s">
        <v>599</v>
      </c>
      <c r="I604" s="22" t="str">
        <f>VLOOKUP(H604,Localizacoes!$C$3:$D$100,2,FALSE)</f>
        <v>CFVO</v>
      </c>
      <c r="J604" s="22">
        <f>VLOOKUP(H604,ID!$C$3:$D$100,2,FALSE)</f>
        <v>20</v>
      </c>
      <c r="K604" s="22" t="s">
        <v>154</v>
      </c>
      <c r="L604" s="22" t="str">
        <f>VLOOKUP(K604,Localizacoes!$E$3:$F$100,2,FALSE)</f>
        <v>QEA</v>
      </c>
      <c r="M604" s="22" t="str">
        <f>VLOOKUP(K604,ID!$E$3:$F$100,2,FALSE)</f>
        <v>QEA</v>
      </c>
      <c r="N604" s="22" t="s">
        <v>286</v>
      </c>
      <c r="O604" s="22" t="str">
        <f>VLOOKUP(N604,Localizacoes!$G$3:$H$100,2,FALSE)</f>
        <v>QEL</v>
      </c>
      <c r="P604" s="22">
        <f>VLOOKUP(N604,ID!$G$3:$H$100,2,FALSE)</f>
        <v>152</v>
      </c>
      <c r="Q604" s="22" t="s">
        <v>154</v>
      </c>
      <c r="R604" s="22" t="str">
        <f>VLOOKUP(Q604,Localizacoes!$I$3:$J$100,2,FALSE)</f>
        <v>QEA</v>
      </c>
      <c r="S604" s="22" t="str">
        <f>VLOOKUP(Q604,ID!$I$3:$J$100,2,FALSE)</f>
        <v>QEA</v>
      </c>
      <c r="T604" s="38" t="s">
        <v>182</v>
      </c>
      <c r="U604" s="22" t="s">
        <v>265</v>
      </c>
      <c r="Y604" t="s">
        <v>270</v>
      </c>
      <c r="Z604" t="str">
        <f t="shared" si="113"/>
        <v>Quadros Eléctricos de Arranque 01</v>
      </c>
      <c r="AD604" s="13" t="s">
        <v>267</v>
      </c>
      <c r="AF604" t="str">
        <f t="shared" si="112"/>
        <v>Quadro EléctricoQuadros Eléctricos de Arranque</v>
      </c>
      <c r="AG604" s="28" t="str">
        <f>VLOOKUP(AF604,Imagens!$C$2:$D$42,2,FALSE)</f>
        <v>65e8d2fa35c12</v>
      </c>
      <c r="AH604" t="str">
        <f>_xlfn.CONCAT(Imagens!$H$2,'registo_ativo-CDs (1)'!AG604)</f>
        <v>assets/imagens/products/65e8d2fa35c12</v>
      </c>
      <c r="AI604" s="67">
        <v>45355</v>
      </c>
    </row>
    <row r="605" spans="1:35" ht="16.8" customHeight="1" x14ac:dyDescent="0.3">
      <c r="A605" s="22">
        <f t="shared" si="114"/>
        <v>15</v>
      </c>
      <c r="B605" s="22" t="str">
        <f t="shared" si="110"/>
        <v>PS20BBG141CME02</v>
      </c>
      <c r="C605" s="22" t="str">
        <f t="shared" si="111"/>
        <v>PSAA-CFVO-BBG-FUR-CME-02</v>
      </c>
      <c r="D605" s="22"/>
      <c r="E605" s="22" t="s">
        <v>38</v>
      </c>
      <c r="F605" s="22" t="str">
        <f>VLOOKUP(E605,Localizacoes!$A$3:$B$100,2,FALSE)</f>
        <v>PSAA</v>
      </c>
      <c r="G605" s="22" t="str">
        <f>VLOOKUP(E605,ID!$A$3:$B$100,2,FALSE)</f>
        <v>PS</v>
      </c>
      <c r="H605" s="37" t="s">
        <v>599</v>
      </c>
      <c r="I605" s="22" t="str">
        <f>VLOOKUP(H605,Localizacoes!$C$3:$D$100,2,FALSE)</f>
        <v>CFVO</v>
      </c>
      <c r="J605" s="22">
        <f>VLOOKUP(H605,ID!$C$3:$D$100,2,FALSE)</f>
        <v>20</v>
      </c>
      <c r="K605" s="22" t="s">
        <v>274</v>
      </c>
      <c r="L605" s="22" t="str">
        <f>VLOOKUP(K605,Localizacoes!$E$3:$F$100,2,FALSE)</f>
        <v>BBG</v>
      </c>
      <c r="M605" s="22" t="str">
        <f>VLOOKUP(K605,ID!$E$3:$F$100,2,FALSE)</f>
        <v>BBG</v>
      </c>
      <c r="N605" s="22" t="s">
        <v>603</v>
      </c>
      <c r="O605" s="22" t="str">
        <f>VLOOKUP(N605,Localizacoes!$G$3:$H$100,2,FALSE)</f>
        <v>FUR</v>
      </c>
      <c r="P605" s="22">
        <f>VLOOKUP(N605,ID!$G$3:$H$100,2,FALSE)</f>
        <v>141</v>
      </c>
      <c r="Q605" s="22" t="s">
        <v>642</v>
      </c>
      <c r="R605" s="22" t="str">
        <f>VLOOKUP(Q605,Localizacoes!$I$3:$J$100,2,FALSE)</f>
        <v>CME</v>
      </c>
      <c r="S605" s="22" t="str">
        <f>VLOOKUP(Q605,ID!$I$3:$J$100,2,FALSE)</f>
        <v>CME</v>
      </c>
      <c r="T605" s="38" t="s">
        <v>186</v>
      </c>
      <c r="U605" s="22" t="s">
        <v>264</v>
      </c>
      <c r="Y605" t="s">
        <v>270</v>
      </c>
      <c r="Z605" t="str">
        <f t="shared" si="113"/>
        <v>Componentes mecânicos 02</v>
      </c>
      <c r="AD605" s="13" t="s">
        <v>7</v>
      </c>
      <c r="AF605" t="str">
        <f t="shared" si="112"/>
        <v>FuroComponentes mecânicos</v>
      </c>
      <c r="AG605" s="28" t="str">
        <f>VLOOKUP(AF605,Imagens!$C$2:$D$42,2,FALSE)</f>
        <v>511e9f0a</v>
      </c>
      <c r="AH605" t="str">
        <f>_xlfn.CONCAT(Imagens!$H$2,'registo_ativo-CDs (1)'!AG605)</f>
        <v>assets/imagens/products/511e9f0a</v>
      </c>
      <c r="AI605" s="67">
        <v>45299</v>
      </c>
    </row>
    <row r="606" spans="1:35" ht="16.8" customHeight="1" x14ac:dyDescent="0.3">
      <c r="A606" s="22">
        <f t="shared" si="114"/>
        <v>15</v>
      </c>
      <c r="B606" s="22" t="str">
        <f t="shared" si="110"/>
        <v>PS20QEA152QEA02</v>
      </c>
      <c r="C606" s="22" t="str">
        <f t="shared" si="111"/>
        <v>PSAA-CFVO-QEA-QEL-QEA-02</v>
      </c>
      <c r="D606" s="22"/>
      <c r="E606" s="22" t="s">
        <v>38</v>
      </c>
      <c r="F606" s="22" t="str">
        <f>VLOOKUP(E606,Localizacoes!$A$3:$B$100,2,FALSE)</f>
        <v>PSAA</v>
      </c>
      <c r="G606" s="22" t="str">
        <f>VLOOKUP(E606,ID!$A$3:$B$100,2,FALSE)</f>
        <v>PS</v>
      </c>
      <c r="H606" s="37" t="s">
        <v>599</v>
      </c>
      <c r="I606" s="22" t="str">
        <f>VLOOKUP(H606,Localizacoes!$C$3:$D$100,2,FALSE)</f>
        <v>CFVO</v>
      </c>
      <c r="J606" s="22">
        <f>VLOOKUP(H606,ID!$C$3:$D$100,2,FALSE)</f>
        <v>20</v>
      </c>
      <c r="K606" s="22" t="s">
        <v>154</v>
      </c>
      <c r="L606" s="22" t="str">
        <f>VLOOKUP(K606,Localizacoes!$E$3:$F$100,2,FALSE)</f>
        <v>QEA</v>
      </c>
      <c r="M606" s="22" t="str">
        <f>VLOOKUP(K606,ID!$E$3:$F$100,2,FALSE)</f>
        <v>QEA</v>
      </c>
      <c r="N606" s="22" t="s">
        <v>286</v>
      </c>
      <c r="O606" s="22" t="str">
        <f>VLOOKUP(N606,Localizacoes!$G$3:$H$100,2,FALSE)</f>
        <v>QEL</v>
      </c>
      <c r="P606" s="22">
        <f>VLOOKUP(N606,ID!$G$3:$H$100,2,FALSE)</f>
        <v>152</v>
      </c>
      <c r="Q606" s="22" t="s">
        <v>154</v>
      </c>
      <c r="R606" s="22" t="str">
        <f>VLOOKUP(Q606,Localizacoes!$I$3:$J$100,2,FALSE)</f>
        <v>QEA</v>
      </c>
      <c r="S606" s="22" t="str">
        <f>VLOOKUP(Q606,ID!$I$3:$J$100,2,FALSE)</f>
        <v>QEA</v>
      </c>
      <c r="T606" s="38" t="s">
        <v>186</v>
      </c>
      <c r="U606" s="22" t="s">
        <v>265</v>
      </c>
      <c r="Y606" t="s">
        <v>270</v>
      </c>
      <c r="Z606" t="str">
        <f t="shared" si="113"/>
        <v>Quadros Eléctricos de Arranque 02</v>
      </c>
      <c r="AD606" s="13" t="s">
        <v>267</v>
      </c>
      <c r="AF606" t="str">
        <f t="shared" si="112"/>
        <v>Quadro EléctricoQuadros Eléctricos de Arranque</v>
      </c>
      <c r="AG606" s="28" t="str">
        <f>VLOOKUP(AF606,Imagens!$C$2:$D$42,2,FALSE)</f>
        <v>65e8d2fa35c12</v>
      </c>
      <c r="AH606" t="str">
        <f>_xlfn.CONCAT(Imagens!$H$2,'registo_ativo-CDs (1)'!AG606)</f>
        <v>assets/imagens/products/65e8d2fa35c12</v>
      </c>
      <c r="AI606" s="67">
        <v>45355</v>
      </c>
    </row>
    <row r="607" spans="1:35" ht="16.8" customHeight="1" x14ac:dyDescent="0.3">
      <c r="A607">
        <f t="shared" si="114"/>
        <v>15</v>
      </c>
      <c r="B607" t="str">
        <f t="shared" si="110"/>
        <v>PS20BBG141CME03</v>
      </c>
      <c r="C607" t="str">
        <f t="shared" si="111"/>
        <v>PSAA-CFVO-BBG-FUR-CME-03</v>
      </c>
      <c r="E607" t="s">
        <v>38</v>
      </c>
      <c r="F607" t="str">
        <f>VLOOKUP(E607,Localizacoes!$A$3:$B$100,2,FALSE)</f>
        <v>PSAA</v>
      </c>
      <c r="G607" t="str">
        <f>VLOOKUP(E607,ID!$A$3:$B$100,2,FALSE)</f>
        <v>PS</v>
      </c>
      <c r="H607" s="14" t="s">
        <v>599</v>
      </c>
      <c r="I607" t="str">
        <f>VLOOKUP(H607,Localizacoes!$C$3:$D$100,2,FALSE)</f>
        <v>CFVO</v>
      </c>
      <c r="J607">
        <f>VLOOKUP(H607,ID!$C$3:$D$100,2,FALSE)</f>
        <v>20</v>
      </c>
      <c r="K607" t="s">
        <v>274</v>
      </c>
      <c r="L607" t="str">
        <f>VLOOKUP(K607,Localizacoes!$E$3:$F$100,2,FALSE)</f>
        <v>BBG</v>
      </c>
      <c r="M607" t="str">
        <f>VLOOKUP(K607,ID!$E$3:$F$100,2,FALSE)</f>
        <v>BBG</v>
      </c>
      <c r="N607" t="s">
        <v>603</v>
      </c>
      <c r="O607" t="str">
        <f>VLOOKUP(N607,Localizacoes!$G$3:$H$100,2,FALSE)</f>
        <v>FUR</v>
      </c>
      <c r="P607">
        <f>VLOOKUP(N607,ID!$G$3:$H$100,2,FALSE)</f>
        <v>141</v>
      </c>
      <c r="Q607" t="s">
        <v>642</v>
      </c>
      <c r="R607" t="str">
        <f>VLOOKUP(Q607,Localizacoes!$I$3:$J$100,2,FALSE)</f>
        <v>CME</v>
      </c>
      <c r="S607" t="str">
        <f>VLOOKUP(Q607,ID!$I$3:$J$100,2,FALSE)</f>
        <v>CME</v>
      </c>
      <c r="T607" s="4" t="s">
        <v>187</v>
      </c>
      <c r="U607" t="s">
        <v>264</v>
      </c>
      <c r="Y607" t="s">
        <v>270</v>
      </c>
      <c r="Z607" t="str">
        <f t="shared" si="113"/>
        <v>Componentes mecânicos 03</v>
      </c>
      <c r="AD607" s="9" t="s">
        <v>7</v>
      </c>
      <c r="AF607" t="str">
        <f t="shared" si="112"/>
        <v>FuroComponentes mecânicos</v>
      </c>
      <c r="AG607" s="28" t="str">
        <f>VLOOKUP(AF607,Imagens!$C$2:$D$42,2,FALSE)</f>
        <v>511e9f0a</v>
      </c>
      <c r="AH607" t="str">
        <f>_xlfn.CONCAT(Imagens!$H$2,'registo_ativo-CDs (1)'!AG607)</f>
        <v>assets/imagens/products/511e9f0a</v>
      </c>
      <c r="AI607" s="67">
        <v>45299</v>
      </c>
    </row>
    <row r="608" spans="1:35" ht="16.8" customHeight="1" x14ac:dyDescent="0.3">
      <c r="A608">
        <f t="shared" si="114"/>
        <v>15</v>
      </c>
      <c r="B608" t="str">
        <f t="shared" si="110"/>
        <v>PS20QEA152QEA03</v>
      </c>
      <c r="C608" t="str">
        <f t="shared" si="111"/>
        <v>PSAA-CFVO--QEL-QEA-03</v>
      </c>
      <c r="E608" t="s">
        <v>38</v>
      </c>
      <c r="F608" t="str">
        <f>VLOOKUP(E608,Localizacoes!$A$3:$B$100,2,FALSE)</f>
        <v>PSAA</v>
      </c>
      <c r="G608" t="str">
        <f>VLOOKUP(E608,ID!$A$3:$B$100,2,FALSE)</f>
        <v>PS</v>
      </c>
      <c r="H608" s="14" t="s">
        <v>599</v>
      </c>
      <c r="I608" t="str">
        <f>VLOOKUP(H608,Localizacoes!$C$3:$D$100,2,FALSE)</f>
        <v>CFVO</v>
      </c>
      <c r="J608">
        <f>VLOOKUP(H608,ID!$C$3:$D$100,2,FALSE)</f>
        <v>20</v>
      </c>
      <c r="K608" t="s">
        <v>154</v>
      </c>
      <c r="M608" t="str">
        <f>VLOOKUP(K608,ID!$E$3:$F$100,2,FALSE)</f>
        <v>QEA</v>
      </c>
      <c r="N608" t="s">
        <v>286</v>
      </c>
      <c r="O608" t="str">
        <f>VLOOKUP(N608,Localizacoes!$G$3:$H$100,2,FALSE)</f>
        <v>QEL</v>
      </c>
      <c r="P608">
        <f>VLOOKUP(N608,ID!$G$3:$H$100,2,FALSE)</f>
        <v>152</v>
      </c>
      <c r="Q608" t="s">
        <v>154</v>
      </c>
      <c r="R608" t="str">
        <f>VLOOKUP(Q608,Localizacoes!$I$3:$J$100,2,FALSE)</f>
        <v>QEA</v>
      </c>
      <c r="S608" t="str">
        <f>VLOOKUP(Q608,ID!$I$3:$J$100,2,FALSE)</f>
        <v>QEA</v>
      </c>
      <c r="T608" s="4" t="s">
        <v>187</v>
      </c>
      <c r="U608" t="s">
        <v>265</v>
      </c>
      <c r="Y608" t="s">
        <v>270</v>
      </c>
      <c r="Z608" t="str">
        <f t="shared" si="113"/>
        <v>Quadros Eléctricos de Arranque 03</v>
      </c>
      <c r="AD608" s="9" t="s">
        <v>267</v>
      </c>
      <c r="AF608" t="str">
        <f t="shared" si="112"/>
        <v>Quadro EléctricoQuadros Eléctricos de Arranque</v>
      </c>
      <c r="AG608" s="28" t="str">
        <f>VLOOKUP(AF608,Imagens!$C$2:$D$42,2,FALSE)</f>
        <v>65e8d2fa35c12</v>
      </c>
      <c r="AH608" t="str">
        <f>_xlfn.CONCAT(Imagens!$H$2,'registo_ativo-CDs (1)'!AG608)</f>
        <v>assets/imagens/products/65e8d2fa35c12</v>
      </c>
      <c r="AI608" s="67">
        <v>45355</v>
      </c>
    </row>
    <row r="609" spans="1:35" ht="16.8" customHeight="1" x14ac:dyDescent="0.3">
      <c r="A609">
        <f t="shared" si="114"/>
        <v>15</v>
      </c>
      <c r="B609" t="str">
        <f t="shared" si="110"/>
        <v>PS20BBG141CME04</v>
      </c>
      <c r="C609" t="str">
        <f t="shared" si="111"/>
        <v>PSAA-CFVO--FUR-CME-04</v>
      </c>
      <c r="E609" t="s">
        <v>38</v>
      </c>
      <c r="F609" t="str">
        <f>VLOOKUP(E609,Localizacoes!$A$3:$B$100,2,FALSE)</f>
        <v>PSAA</v>
      </c>
      <c r="G609" t="str">
        <f>VLOOKUP(E609,ID!$A$3:$B$100,2,FALSE)</f>
        <v>PS</v>
      </c>
      <c r="H609" s="14" t="s">
        <v>599</v>
      </c>
      <c r="I609" t="str">
        <f>VLOOKUP(H609,Localizacoes!$C$3:$D$100,2,FALSE)</f>
        <v>CFVO</v>
      </c>
      <c r="J609">
        <f>VLOOKUP(H609,ID!$C$3:$D$100,2,FALSE)</f>
        <v>20</v>
      </c>
      <c r="K609" t="s">
        <v>274</v>
      </c>
      <c r="M609" t="str">
        <f>VLOOKUP(K609,ID!$E$3:$F$100,2,FALSE)</f>
        <v>BBG</v>
      </c>
      <c r="N609" t="s">
        <v>603</v>
      </c>
      <c r="O609" t="str">
        <f>VLOOKUP(N609,Localizacoes!$G$3:$H$100,2,FALSE)</f>
        <v>FUR</v>
      </c>
      <c r="P609">
        <f>VLOOKUP(N609,ID!$G$3:$H$100,2,FALSE)</f>
        <v>141</v>
      </c>
      <c r="Q609" t="s">
        <v>642</v>
      </c>
      <c r="R609" t="str">
        <f>VLOOKUP(Q609,Localizacoes!$I$3:$J$100,2,FALSE)</f>
        <v>CME</v>
      </c>
      <c r="S609" t="str">
        <f>VLOOKUP(Q609,ID!$I$3:$J$100,2,FALSE)</f>
        <v>CME</v>
      </c>
      <c r="T609" s="4" t="s">
        <v>188</v>
      </c>
      <c r="U609" t="s">
        <v>264</v>
      </c>
      <c r="Y609" t="s">
        <v>270</v>
      </c>
      <c r="Z609" t="str">
        <f t="shared" si="113"/>
        <v>Componentes mecânicos 04</v>
      </c>
      <c r="AD609" s="9" t="s">
        <v>7</v>
      </c>
      <c r="AF609" t="str">
        <f t="shared" si="112"/>
        <v>FuroComponentes mecânicos</v>
      </c>
      <c r="AG609" s="28" t="str">
        <f>VLOOKUP(AF609,Imagens!$C$2:$D$42,2,FALSE)</f>
        <v>511e9f0a</v>
      </c>
      <c r="AH609" t="str">
        <f>_xlfn.CONCAT(Imagens!$H$2,'registo_ativo-CDs (1)'!AG609)</f>
        <v>assets/imagens/products/511e9f0a</v>
      </c>
      <c r="AI609" s="67">
        <v>45299</v>
      </c>
    </row>
    <row r="610" spans="1:35" ht="16.8" customHeight="1" x14ac:dyDescent="0.3">
      <c r="A610">
        <f t="shared" si="114"/>
        <v>15</v>
      </c>
      <c r="B610" t="str">
        <f t="shared" si="110"/>
        <v>PS20QEA152QEA04</v>
      </c>
      <c r="C610" t="str">
        <f t="shared" si="111"/>
        <v>PSAA-CFVO--QEL-QEA-04</v>
      </c>
      <c r="E610" t="s">
        <v>38</v>
      </c>
      <c r="F610" t="str">
        <f>VLOOKUP(E610,Localizacoes!$A$3:$B$100,2,FALSE)</f>
        <v>PSAA</v>
      </c>
      <c r="G610" t="str">
        <f>VLOOKUP(E610,ID!$A$3:$B$100,2,FALSE)</f>
        <v>PS</v>
      </c>
      <c r="H610" s="14" t="s">
        <v>599</v>
      </c>
      <c r="I610" t="str">
        <f>VLOOKUP(H610,Localizacoes!$C$3:$D$100,2,FALSE)</f>
        <v>CFVO</v>
      </c>
      <c r="J610">
        <f>VLOOKUP(H610,ID!$C$3:$D$100,2,FALSE)</f>
        <v>20</v>
      </c>
      <c r="K610" t="s">
        <v>154</v>
      </c>
      <c r="M610" t="str">
        <f>VLOOKUP(K610,ID!$E$3:$F$100,2,FALSE)</f>
        <v>QEA</v>
      </c>
      <c r="N610" t="s">
        <v>286</v>
      </c>
      <c r="O610" t="str">
        <f>VLOOKUP(N610,Localizacoes!$G$3:$H$100,2,FALSE)</f>
        <v>QEL</v>
      </c>
      <c r="P610">
        <f>VLOOKUP(N610,ID!$G$3:$H$100,2,FALSE)</f>
        <v>152</v>
      </c>
      <c r="Q610" t="s">
        <v>154</v>
      </c>
      <c r="R610" t="str">
        <f>VLOOKUP(Q610,Localizacoes!$I$3:$J$100,2,FALSE)</f>
        <v>QEA</v>
      </c>
      <c r="S610" t="str">
        <f>VLOOKUP(Q610,ID!$I$3:$J$100,2,FALSE)</f>
        <v>QEA</v>
      </c>
      <c r="T610" s="4" t="s">
        <v>188</v>
      </c>
      <c r="U610" t="s">
        <v>265</v>
      </c>
      <c r="Y610" t="s">
        <v>270</v>
      </c>
      <c r="Z610" t="str">
        <f t="shared" si="113"/>
        <v>Quadros Eléctricos de Arranque 04</v>
      </c>
      <c r="AD610" s="9" t="s">
        <v>267</v>
      </c>
      <c r="AF610" t="str">
        <f t="shared" si="112"/>
        <v>Quadro EléctricoQuadros Eléctricos de Arranque</v>
      </c>
      <c r="AG610" s="28" t="str">
        <f>VLOOKUP(AF610,Imagens!$C$2:$D$42,2,FALSE)</f>
        <v>65e8d2fa35c12</v>
      </c>
      <c r="AH610" t="str">
        <f>_xlfn.CONCAT(Imagens!$H$2,'registo_ativo-CDs (1)'!AG610)</f>
        <v>assets/imagens/products/65e8d2fa35c12</v>
      </c>
      <c r="AI610" s="67">
        <v>45355</v>
      </c>
    </row>
    <row r="611" spans="1:35" ht="16.8" customHeight="1" x14ac:dyDescent="0.3">
      <c r="A611">
        <f t="shared" si="114"/>
        <v>15</v>
      </c>
      <c r="B611" t="str">
        <f t="shared" si="110"/>
        <v>PS20BBG141CME05</v>
      </c>
      <c r="C611" t="str">
        <f t="shared" si="111"/>
        <v>PSAA-CFVO--FUR-CME-05</v>
      </c>
      <c r="E611" t="s">
        <v>38</v>
      </c>
      <c r="F611" t="str">
        <f>VLOOKUP(E611,Localizacoes!$A$3:$B$100,2,FALSE)</f>
        <v>PSAA</v>
      </c>
      <c r="G611" t="str">
        <f>VLOOKUP(E611,ID!$A$3:$B$100,2,FALSE)</f>
        <v>PS</v>
      </c>
      <c r="H611" s="14" t="s">
        <v>599</v>
      </c>
      <c r="I611" t="str">
        <f>VLOOKUP(H611,Localizacoes!$C$3:$D$100,2,FALSE)</f>
        <v>CFVO</v>
      </c>
      <c r="J611">
        <f>VLOOKUP(H611,ID!$C$3:$D$100,2,FALSE)</f>
        <v>20</v>
      </c>
      <c r="K611" t="s">
        <v>274</v>
      </c>
      <c r="M611" t="str">
        <f>VLOOKUP(K611,ID!$E$3:$F$100,2,FALSE)</f>
        <v>BBG</v>
      </c>
      <c r="N611" t="s">
        <v>603</v>
      </c>
      <c r="O611" t="str">
        <f>VLOOKUP(N611,Localizacoes!$G$3:$H$100,2,FALSE)</f>
        <v>FUR</v>
      </c>
      <c r="P611">
        <f>VLOOKUP(N611,ID!$G$3:$H$100,2,FALSE)</f>
        <v>141</v>
      </c>
      <c r="Q611" t="s">
        <v>642</v>
      </c>
      <c r="R611" t="str">
        <f>VLOOKUP(Q611,Localizacoes!$I$3:$J$100,2,FALSE)</f>
        <v>CME</v>
      </c>
      <c r="S611" t="str">
        <f>VLOOKUP(Q611,ID!$I$3:$J$100,2,FALSE)</f>
        <v>CME</v>
      </c>
      <c r="T611" s="4" t="s">
        <v>189</v>
      </c>
      <c r="U611" t="s">
        <v>264</v>
      </c>
      <c r="Y611" t="s">
        <v>270</v>
      </c>
      <c r="Z611" t="str">
        <f t="shared" si="113"/>
        <v>Componentes mecânicos 05</v>
      </c>
      <c r="AD611" s="9" t="s">
        <v>7</v>
      </c>
      <c r="AF611" t="str">
        <f t="shared" si="112"/>
        <v>FuroComponentes mecânicos</v>
      </c>
      <c r="AG611" s="28" t="str">
        <f>VLOOKUP(AF611,Imagens!$C$2:$D$42,2,FALSE)</f>
        <v>511e9f0a</v>
      </c>
      <c r="AH611" t="str">
        <f>_xlfn.CONCAT(Imagens!$H$2,'registo_ativo-CDs (1)'!AG611)</f>
        <v>assets/imagens/products/511e9f0a</v>
      </c>
      <c r="AI611" s="67">
        <v>45299</v>
      </c>
    </row>
    <row r="612" spans="1:35" ht="16.8" customHeight="1" x14ac:dyDescent="0.3">
      <c r="A612">
        <f t="shared" si="114"/>
        <v>15</v>
      </c>
      <c r="B612" t="str">
        <f t="shared" si="110"/>
        <v>PS20QEA152QEA05</v>
      </c>
      <c r="C612" t="str">
        <f t="shared" si="111"/>
        <v>PSAA-CFVO--QEL-QEA-05</v>
      </c>
      <c r="E612" t="s">
        <v>38</v>
      </c>
      <c r="F612" t="str">
        <f>VLOOKUP(E612,Localizacoes!$A$3:$B$100,2,FALSE)</f>
        <v>PSAA</v>
      </c>
      <c r="G612" t="str">
        <f>VLOOKUP(E612,ID!$A$3:$B$100,2,FALSE)</f>
        <v>PS</v>
      </c>
      <c r="H612" s="14" t="s">
        <v>599</v>
      </c>
      <c r="I612" t="str">
        <f>VLOOKUP(H612,Localizacoes!$C$3:$D$100,2,FALSE)</f>
        <v>CFVO</v>
      </c>
      <c r="J612">
        <f>VLOOKUP(H612,ID!$C$3:$D$100,2,FALSE)</f>
        <v>20</v>
      </c>
      <c r="K612" t="s">
        <v>154</v>
      </c>
      <c r="M612" t="str">
        <f>VLOOKUP(K612,ID!$E$3:$F$100,2,FALSE)</f>
        <v>QEA</v>
      </c>
      <c r="N612" t="s">
        <v>286</v>
      </c>
      <c r="O612" t="str">
        <f>VLOOKUP(N612,Localizacoes!$G$3:$H$100,2,FALSE)</f>
        <v>QEL</v>
      </c>
      <c r="P612">
        <f>VLOOKUP(N612,ID!$G$3:$H$100,2,FALSE)</f>
        <v>152</v>
      </c>
      <c r="Q612" t="s">
        <v>154</v>
      </c>
      <c r="R612" t="str">
        <f>VLOOKUP(Q612,Localizacoes!$I$3:$J$100,2,FALSE)</f>
        <v>QEA</v>
      </c>
      <c r="S612" t="str">
        <f>VLOOKUP(Q612,ID!$I$3:$J$100,2,FALSE)</f>
        <v>QEA</v>
      </c>
      <c r="T612" s="4" t="s">
        <v>189</v>
      </c>
      <c r="U612" t="s">
        <v>265</v>
      </c>
      <c r="Y612" t="s">
        <v>270</v>
      </c>
      <c r="Z612" t="str">
        <f t="shared" si="113"/>
        <v>Quadros Eléctricos de Arranque 05</v>
      </c>
      <c r="AD612" s="9" t="s">
        <v>267</v>
      </c>
      <c r="AF612" t="str">
        <f t="shared" si="112"/>
        <v>Quadro EléctricoQuadros Eléctricos de Arranque</v>
      </c>
      <c r="AG612" s="28" t="str">
        <f>VLOOKUP(AF612,Imagens!$C$2:$D$42,2,FALSE)</f>
        <v>65e8d2fa35c12</v>
      </c>
      <c r="AH612" t="str">
        <f>_xlfn.CONCAT(Imagens!$H$2,'registo_ativo-CDs (1)'!AG612)</f>
        <v>assets/imagens/products/65e8d2fa35c12</v>
      </c>
      <c r="AI612" s="67">
        <v>45355</v>
      </c>
    </row>
    <row r="613" spans="1:35" ht="16.8" customHeight="1" x14ac:dyDescent="0.3">
      <c r="A613">
        <f t="shared" si="114"/>
        <v>15</v>
      </c>
      <c r="B613" t="str">
        <f t="shared" si="110"/>
        <v>PS20BBG141CME06</v>
      </c>
      <c r="C613" t="str">
        <f t="shared" si="111"/>
        <v>PSAA-CFVO--FUR-CME-06</v>
      </c>
      <c r="E613" t="s">
        <v>38</v>
      </c>
      <c r="F613" t="str">
        <f>VLOOKUP(E613,Localizacoes!$A$3:$B$100,2,FALSE)</f>
        <v>PSAA</v>
      </c>
      <c r="G613" t="str">
        <f>VLOOKUP(E613,ID!$A$3:$B$100,2,FALSE)</f>
        <v>PS</v>
      </c>
      <c r="H613" s="14" t="s">
        <v>599</v>
      </c>
      <c r="I613" t="str">
        <f>VLOOKUP(H613,Localizacoes!$C$3:$D$100,2,FALSE)</f>
        <v>CFVO</v>
      </c>
      <c r="J613">
        <f>VLOOKUP(H613,ID!$C$3:$D$100,2,FALSE)</f>
        <v>20</v>
      </c>
      <c r="K613" t="s">
        <v>274</v>
      </c>
      <c r="M613" t="str">
        <f>VLOOKUP(K613,ID!$E$3:$F$100,2,FALSE)</f>
        <v>BBG</v>
      </c>
      <c r="N613" t="s">
        <v>603</v>
      </c>
      <c r="O613" t="str">
        <f>VLOOKUP(N613,Localizacoes!$G$3:$H$100,2,FALSE)</f>
        <v>FUR</v>
      </c>
      <c r="P613">
        <f>VLOOKUP(N613,ID!$G$3:$H$100,2,FALSE)</f>
        <v>141</v>
      </c>
      <c r="Q613" t="s">
        <v>642</v>
      </c>
      <c r="R613" t="str">
        <f>VLOOKUP(Q613,Localizacoes!$I$3:$J$100,2,FALSE)</f>
        <v>CME</v>
      </c>
      <c r="S613" t="str">
        <f>VLOOKUP(Q613,ID!$I$3:$J$100,2,FALSE)</f>
        <v>CME</v>
      </c>
      <c r="T613" s="4" t="s">
        <v>190</v>
      </c>
      <c r="U613" t="s">
        <v>264</v>
      </c>
      <c r="Y613" t="s">
        <v>270</v>
      </c>
      <c r="Z613" t="str">
        <f t="shared" si="113"/>
        <v>Componentes mecânicos 06</v>
      </c>
      <c r="AD613" s="9" t="s">
        <v>7</v>
      </c>
      <c r="AF613" t="str">
        <f t="shared" si="112"/>
        <v>FuroComponentes mecânicos</v>
      </c>
      <c r="AG613" s="28" t="str">
        <f>VLOOKUP(AF613,Imagens!$C$2:$D$42,2,FALSE)</f>
        <v>511e9f0a</v>
      </c>
      <c r="AH613" t="str">
        <f>_xlfn.CONCAT(Imagens!$H$2,'registo_ativo-CDs (1)'!AG613)</f>
        <v>assets/imagens/products/511e9f0a</v>
      </c>
      <c r="AI613" s="67">
        <v>45299</v>
      </c>
    </row>
    <row r="614" spans="1:35" ht="16.8" customHeight="1" x14ac:dyDescent="0.3">
      <c r="A614">
        <f t="shared" si="114"/>
        <v>15</v>
      </c>
      <c r="B614" t="str">
        <f t="shared" si="110"/>
        <v>PS20QEA152QEA06</v>
      </c>
      <c r="C614" t="str">
        <f t="shared" si="111"/>
        <v>PSAA-CFVO--QEL-QEA-06</v>
      </c>
      <c r="E614" t="s">
        <v>38</v>
      </c>
      <c r="F614" t="str">
        <f>VLOOKUP(E614,Localizacoes!$A$3:$B$100,2,FALSE)</f>
        <v>PSAA</v>
      </c>
      <c r="G614" t="str">
        <f>VLOOKUP(E614,ID!$A$3:$B$100,2,FALSE)</f>
        <v>PS</v>
      </c>
      <c r="H614" s="14" t="s">
        <v>599</v>
      </c>
      <c r="I614" t="str">
        <f>VLOOKUP(H614,Localizacoes!$C$3:$D$100,2,FALSE)</f>
        <v>CFVO</v>
      </c>
      <c r="J614">
        <f>VLOOKUP(H614,ID!$C$3:$D$100,2,FALSE)</f>
        <v>20</v>
      </c>
      <c r="K614" t="s">
        <v>154</v>
      </c>
      <c r="M614" t="str">
        <f>VLOOKUP(K614,ID!$E$3:$F$100,2,FALSE)</f>
        <v>QEA</v>
      </c>
      <c r="N614" t="s">
        <v>286</v>
      </c>
      <c r="O614" t="str">
        <f>VLOOKUP(N614,Localizacoes!$G$3:$H$100,2,FALSE)</f>
        <v>QEL</v>
      </c>
      <c r="P614">
        <f>VLOOKUP(N614,ID!$G$3:$H$100,2,FALSE)</f>
        <v>152</v>
      </c>
      <c r="Q614" t="s">
        <v>154</v>
      </c>
      <c r="R614" t="str">
        <f>VLOOKUP(Q614,Localizacoes!$I$3:$J$100,2,FALSE)</f>
        <v>QEA</v>
      </c>
      <c r="S614" t="str">
        <f>VLOOKUP(Q614,ID!$I$3:$J$100,2,FALSE)</f>
        <v>QEA</v>
      </c>
      <c r="T614" s="4" t="s">
        <v>190</v>
      </c>
      <c r="U614" t="s">
        <v>265</v>
      </c>
      <c r="Y614" t="s">
        <v>270</v>
      </c>
      <c r="Z614" t="str">
        <f t="shared" si="113"/>
        <v>Quadros Eléctricos de Arranque 06</v>
      </c>
      <c r="AD614" s="9" t="s">
        <v>267</v>
      </c>
      <c r="AF614" t="str">
        <f t="shared" si="112"/>
        <v>Quadro EléctricoQuadros Eléctricos de Arranque</v>
      </c>
      <c r="AG614" s="28" t="str">
        <f>VLOOKUP(AF614,Imagens!$C$2:$D$42,2,FALSE)</f>
        <v>65e8d2fa35c12</v>
      </c>
      <c r="AH614" t="str">
        <f>_xlfn.CONCAT(Imagens!$H$2,'registo_ativo-CDs (1)'!AG614)</f>
        <v>assets/imagens/products/65e8d2fa35c12</v>
      </c>
      <c r="AI614" s="67">
        <v>45355</v>
      </c>
    </row>
    <row r="615" spans="1:35" ht="16.8" customHeight="1" x14ac:dyDescent="0.3">
      <c r="A615">
        <f t="shared" si="114"/>
        <v>15</v>
      </c>
      <c r="B615" t="str">
        <f t="shared" si="110"/>
        <v>PS23BBG141CME01</v>
      </c>
      <c r="C615" t="str">
        <f t="shared" si="111"/>
        <v>PSAA-CFK--FUR-CME-01</v>
      </c>
      <c r="E615" t="s">
        <v>38</v>
      </c>
      <c r="F615" t="str">
        <f>VLOOKUP(E615,Localizacoes!$A$3:$B$100,2,FALSE)</f>
        <v>PSAA</v>
      </c>
      <c r="G615" t="str">
        <f>VLOOKUP(E615,ID!$A$3:$B$100,2,FALSE)</f>
        <v>PS</v>
      </c>
      <c r="H615" s="14" t="s">
        <v>608</v>
      </c>
      <c r="I615" t="str">
        <f>VLOOKUP(H615,Localizacoes!$C$3:$D$100,2,FALSE)</f>
        <v>CFK</v>
      </c>
      <c r="J615">
        <f>VLOOKUP(H615,ID!$C$3:$D$100,2,FALSE)</f>
        <v>23</v>
      </c>
      <c r="K615" t="s">
        <v>274</v>
      </c>
      <c r="M615" t="str">
        <f>VLOOKUP(K615,ID!$E$3:$F$100,2,FALSE)</f>
        <v>BBG</v>
      </c>
      <c r="N615" t="s">
        <v>603</v>
      </c>
      <c r="O615" t="str">
        <f>VLOOKUP(N615,Localizacoes!$G$3:$H$100,2,FALSE)</f>
        <v>FUR</v>
      </c>
      <c r="P615">
        <f>VLOOKUP(N615,ID!$G$3:$H$100,2,FALSE)</f>
        <v>141</v>
      </c>
      <c r="Q615" t="s">
        <v>642</v>
      </c>
      <c r="R615" t="str">
        <f>VLOOKUP(Q615,Localizacoes!$I$3:$J$100,2,FALSE)</f>
        <v>CME</v>
      </c>
      <c r="S615" t="str">
        <f>VLOOKUP(Q615,ID!$I$3:$J$100,2,FALSE)</f>
        <v>CME</v>
      </c>
      <c r="T615" s="4" t="s">
        <v>182</v>
      </c>
      <c r="U615" t="s">
        <v>264</v>
      </c>
      <c r="Y615" t="s">
        <v>270</v>
      </c>
      <c r="Z615" t="str">
        <f t="shared" si="113"/>
        <v>Componentes mecânicos 01</v>
      </c>
      <c r="AD615" s="9" t="s">
        <v>7</v>
      </c>
      <c r="AF615" t="str">
        <f t="shared" si="112"/>
        <v>FuroComponentes mecânicos</v>
      </c>
      <c r="AG615" s="28" t="str">
        <f>VLOOKUP(AF615,Imagens!$C$2:$D$42,2,FALSE)</f>
        <v>511e9f0a</v>
      </c>
      <c r="AH615" t="str">
        <f>_xlfn.CONCAT(Imagens!$H$2,'registo_ativo-CDs (1)'!AG615)</f>
        <v>assets/imagens/products/511e9f0a</v>
      </c>
      <c r="AI615" s="67">
        <v>45313</v>
      </c>
    </row>
    <row r="616" spans="1:35" ht="16.8" customHeight="1" x14ac:dyDescent="0.3">
      <c r="A616">
        <f t="shared" si="114"/>
        <v>15</v>
      </c>
      <c r="B616" t="str">
        <f t="shared" si="110"/>
        <v>PS23QEA152QEA01</v>
      </c>
      <c r="C616" t="str">
        <f t="shared" si="111"/>
        <v>PSAA-CFK--QEL-QEA-01</v>
      </c>
      <c r="E616" t="s">
        <v>38</v>
      </c>
      <c r="F616" t="str">
        <f>VLOOKUP(E616,Localizacoes!$A$3:$B$100,2,FALSE)</f>
        <v>PSAA</v>
      </c>
      <c r="G616" t="str">
        <f>VLOOKUP(E616,ID!$A$3:$B$100,2,FALSE)</f>
        <v>PS</v>
      </c>
      <c r="H616" s="14" t="s">
        <v>608</v>
      </c>
      <c r="I616" t="str">
        <f>VLOOKUP(H616,Localizacoes!$C$3:$D$100,2,FALSE)</f>
        <v>CFK</v>
      </c>
      <c r="J616">
        <f>VLOOKUP(H616,ID!$C$3:$D$100,2,FALSE)</f>
        <v>23</v>
      </c>
      <c r="K616" t="s">
        <v>154</v>
      </c>
      <c r="M616" t="str">
        <f>VLOOKUP(K616,ID!$E$3:$F$100,2,FALSE)</f>
        <v>QEA</v>
      </c>
      <c r="N616" t="s">
        <v>286</v>
      </c>
      <c r="O616" t="str">
        <f>VLOOKUP(N616,Localizacoes!$G$3:$H$100,2,FALSE)</f>
        <v>QEL</v>
      </c>
      <c r="P616">
        <f>VLOOKUP(N616,ID!$G$3:$H$100,2,FALSE)</f>
        <v>152</v>
      </c>
      <c r="Q616" t="s">
        <v>154</v>
      </c>
      <c r="R616" t="str">
        <f>VLOOKUP(Q616,Localizacoes!$I$3:$J$100,2,FALSE)</f>
        <v>QEA</v>
      </c>
      <c r="S616" t="str">
        <f>VLOOKUP(Q616,ID!$I$3:$J$100,2,FALSE)</f>
        <v>QEA</v>
      </c>
      <c r="T616" s="4" t="s">
        <v>182</v>
      </c>
      <c r="U616" t="s">
        <v>265</v>
      </c>
      <c r="Y616" t="s">
        <v>270</v>
      </c>
      <c r="Z616" t="str">
        <f t="shared" si="113"/>
        <v>Quadros Eléctricos de Arranque 01</v>
      </c>
      <c r="AD616" s="13" t="s">
        <v>267</v>
      </c>
      <c r="AF616" t="str">
        <f t="shared" si="112"/>
        <v>Quadro EléctricoQuadros Eléctricos de Arranque</v>
      </c>
      <c r="AG616" s="28" t="str">
        <f>VLOOKUP(AF616,Imagens!$C$2:$D$42,2,FALSE)</f>
        <v>65e8d2fa35c12</v>
      </c>
      <c r="AH616" t="str">
        <f>_xlfn.CONCAT(Imagens!$H$2,'registo_ativo-CDs (1)'!AG616)</f>
        <v>assets/imagens/products/65e8d2fa35c12</v>
      </c>
      <c r="AI616" s="67">
        <v>45369</v>
      </c>
    </row>
    <row r="617" spans="1:35" ht="16.8" customHeight="1" x14ac:dyDescent="0.3">
      <c r="A617">
        <f t="shared" si="114"/>
        <v>15</v>
      </c>
      <c r="B617" t="str">
        <f t="shared" si="110"/>
        <v>PS23BBG141CME02</v>
      </c>
      <c r="C617" t="str">
        <f t="shared" si="111"/>
        <v>PSAA-CFK--FUR-CME-02</v>
      </c>
      <c r="E617" t="s">
        <v>38</v>
      </c>
      <c r="F617" t="str">
        <f>VLOOKUP(E617,Localizacoes!$A$3:$B$100,2,FALSE)</f>
        <v>PSAA</v>
      </c>
      <c r="G617" t="str">
        <f>VLOOKUP(E617,ID!$A$3:$B$100,2,FALSE)</f>
        <v>PS</v>
      </c>
      <c r="H617" s="14" t="s">
        <v>608</v>
      </c>
      <c r="I617" t="str">
        <f>VLOOKUP(H617,Localizacoes!$C$3:$D$100,2,FALSE)</f>
        <v>CFK</v>
      </c>
      <c r="J617">
        <f>VLOOKUP(H617,ID!$C$3:$D$100,2,FALSE)</f>
        <v>23</v>
      </c>
      <c r="K617" t="s">
        <v>274</v>
      </c>
      <c r="M617" t="str">
        <f>VLOOKUP(K617,ID!$E$3:$F$100,2,FALSE)</f>
        <v>BBG</v>
      </c>
      <c r="N617" t="s">
        <v>603</v>
      </c>
      <c r="O617" t="str">
        <f>VLOOKUP(N617,Localizacoes!$G$3:$H$100,2,FALSE)</f>
        <v>FUR</v>
      </c>
      <c r="P617">
        <f>VLOOKUP(N617,ID!$G$3:$H$100,2,FALSE)</f>
        <v>141</v>
      </c>
      <c r="Q617" t="s">
        <v>642</v>
      </c>
      <c r="R617" t="str">
        <f>VLOOKUP(Q617,Localizacoes!$I$3:$J$100,2,FALSE)</f>
        <v>CME</v>
      </c>
      <c r="S617" t="str">
        <f>VLOOKUP(Q617,ID!$I$3:$J$100,2,FALSE)</f>
        <v>CME</v>
      </c>
      <c r="T617" s="4" t="s">
        <v>186</v>
      </c>
      <c r="U617" t="s">
        <v>264</v>
      </c>
      <c r="Y617" t="s">
        <v>270</v>
      </c>
      <c r="Z617" t="str">
        <f t="shared" si="113"/>
        <v>Componentes mecânicos 02</v>
      </c>
      <c r="AD617" s="9" t="s">
        <v>7</v>
      </c>
      <c r="AF617" t="str">
        <f t="shared" si="112"/>
        <v>FuroComponentes mecânicos</v>
      </c>
      <c r="AG617" s="28" t="str">
        <f>VLOOKUP(AF617,Imagens!$C$2:$D$42,2,FALSE)</f>
        <v>511e9f0a</v>
      </c>
      <c r="AH617" t="str">
        <f>_xlfn.CONCAT(Imagens!$H$2,'registo_ativo-CDs (1)'!AG617)</f>
        <v>assets/imagens/products/511e9f0a</v>
      </c>
      <c r="AI617" s="67">
        <v>45313</v>
      </c>
    </row>
    <row r="618" spans="1:35" ht="16.8" customHeight="1" x14ac:dyDescent="0.3">
      <c r="A618">
        <f t="shared" si="114"/>
        <v>15</v>
      </c>
      <c r="B618" t="str">
        <f t="shared" si="110"/>
        <v>PS23QEA152QEA02</v>
      </c>
      <c r="C618" t="str">
        <f t="shared" si="111"/>
        <v>PSAA-CFK--QEL-QEA-02</v>
      </c>
      <c r="E618" t="s">
        <v>38</v>
      </c>
      <c r="F618" t="str">
        <f>VLOOKUP(E618,Localizacoes!$A$3:$B$100,2,FALSE)</f>
        <v>PSAA</v>
      </c>
      <c r="G618" t="str">
        <f>VLOOKUP(E618,ID!$A$3:$B$100,2,FALSE)</f>
        <v>PS</v>
      </c>
      <c r="H618" s="14" t="s">
        <v>608</v>
      </c>
      <c r="I618" t="str">
        <f>VLOOKUP(H618,Localizacoes!$C$3:$D$100,2,FALSE)</f>
        <v>CFK</v>
      </c>
      <c r="J618">
        <f>VLOOKUP(H618,ID!$C$3:$D$100,2,FALSE)</f>
        <v>23</v>
      </c>
      <c r="K618" t="s">
        <v>154</v>
      </c>
      <c r="M618" t="str">
        <f>VLOOKUP(K618,ID!$E$3:$F$100,2,FALSE)</f>
        <v>QEA</v>
      </c>
      <c r="N618" t="s">
        <v>286</v>
      </c>
      <c r="O618" t="str">
        <f>VLOOKUP(N618,Localizacoes!$G$3:$H$100,2,FALSE)</f>
        <v>QEL</v>
      </c>
      <c r="P618">
        <f>VLOOKUP(N618,ID!$G$3:$H$100,2,FALSE)</f>
        <v>152</v>
      </c>
      <c r="Q618" t="s">
        <v>154</v>
      </c>
      <c r="R618" t="str">
        <f>VLOOKUP(Q618,Localizacoes!$I$3:$J$100,2,FALSE)</f>
        <v>QEA</v>
      </c>
      <c r="S618" t="str">
        <f>VLOOKUP(Q618,ID!$I$3:$J$100,2,FALSE)</f>
        <v>QEA</v>
      </c>
      <c r="T618" s="4" t="s">
        <v>186</v>
      </c>
      <c r="U618" t="s">
        <v>265</v>
      </c>
      <c r="Y618" t="s">
        <v>270</v>
      </c>
      <c r="Z618" t="str">
        <f t="shared" si="113"/>
        <v>Quadros Eléctricos de Arranque 02</v>
      </c>
      <c r="AD618" s="13" t="s">
        <v>267</v>
      </c>
      <c r="AF618" t="str">
        <f t="shared" si="112"/>
        <v>Quadro EléctricoQuadros Eléctricos de Arranque</v>
      </c>
      <c r="AG618" s="28" t="str">
        <f>VLOOKUP(AF618,Imagens!$C$2:$D$42,2,FALSE)</f>
        <v>65e8d2fa35c12</v>
      </c>
      <c r="AH618" t="str">
        <f>_xlfn.CONCAT(Imagens!$H$2,'registo_ativo-CDs (1)'!AG618)</f>
        <v>assets/imagens/products/65e8d2fa35c12</v>
      </c>
      <c r="AI618" s="67">
        <v>45369</v>
      </c>
    </row>
    <row r="619" spans="1:35" ht="16.8" customHeight="1" x14ac:dyDescent="0.3">
      <c r="A619">
        <f t="shared" si="114"/>
        <v>15</v>
      </c>
      <c r="B619" t="str">
        <f t="shared" si="110"/>
        <v>PS23BBG141CME03</v>
      </c>
      <c r="C619" t="str">
        <f t="shared" si="111"/>
        <v>PSAA-CFK--FUR-CME-03</v>
      </c>
      <c r="E619" t="s">
        <v>38</v>
      </c>
      <c r="F619" t="str">
        <f>VLOOKUP(E619,Localizacoes!$A$3:$B$100,2,FALSE)</f>
        <v>PSAA</v>
      </c>
      <c r="G619" t="str">
        <f>VLOOKUP(E619,ID!$A$3:$B$100,2,FALSE)</f>
        <v>PS</v>
      </c>
      <c r="H619" s="14" t="s">
        <v>608</v>
      </c>
      <c r="I619" t="str">
        <f>VLOOKUP(H619,Localizacoes!$C$3:$D$100,2,FALSE)</f>
        <v>CFK</v>
      </c>
      <c r="J619">
        <f>VLOOKUP(H619,ID!$C$3:$D$100,2,FALSE)</f>
        <v>23</v>
      </c>
      <c r="K619" t="s">
        <v>274</v>
      </c>
      <c r="M619" t="str">
        <f>VLOOKUP(K619,ID!$E$3:$F$100,2,FALSE)</f>
        <v>BBG</v>
      </c>
      <c r="N619" t="s">
        <v>603</v>
      </c>
      <c r="O619" t="str">
        <f>VLOOKUP(N619,Localizacoes!$G$3:$H$100,2,FALSE)</f>
        <v>FUR</v>
      </c>
      <c r="P619">
        <f>VLOOKUP(N619,ID!$G$3:$H$100,2,FALSE)</f>
        <v>141</v>
      </c>
      <c r="Q619" t="s">
        <v>642</v>
      </c>
      <c r="R619" t="str">
        <f>VLOOKUP(Q619,Localizacoes!$I$3:$J$100,2,FALSE)</f>
        <v>CME</v>
      </c>
      <c r="S619" t="str">
        <f>VLOOKUP(Q619,ID!$I$3:$J$100,2,FALSE)</f>
        <v>CME</v>
      </c>
      <c r="T619" s="4" t="s">
        <v>187</v>
      </c>
      <c r="U619" t="s">
        <v>264</v>
      </c>
      <c r="Y619" t="s">
        <v>270</v>
      </c>
      <c r="Z619" t="str">
        <f t="shared" si="113"/>
        <v>Componentes mecânicos 03</v>
      </c>
      <c r="AD619" s="9" t="s">
        <v>7</v>
      </c>
      <c r="AF619" t="str">
        <f t="shared" si="112"/>
        <v>FuroComponentes mecânicos</v>
      </c>
      <c r="AG619" s="28" t="str">
        <f>VLOOKUP(AF619,Imagens!$C$2:$D$42,2,FALSE)</f>
        <v>511e9f0a</v>
      </c>
      <c r="AH619" t="str">
        <f>_xlfn.CONCAT(Imagens!$H$2,'registo_ativo-CDs (1)'!AG619)</f>
        <v>assets/imagens/products/511e9f0a</v>
      </c>
      <c r="AI619" s="67">
        <v>45313</v>
      </c>
    </row>
    <row r="620" spans="1:35" ht="16.8" customHeight="1" x14ac:dyDescent="0.3">
      <c r="A620">
        <f t="shared" si="114"/>
        <v>15</v>
      </c>
      <c r="B620" t="str">
        <f t="shared" si="110"/>
        <v>PS23QEA152QEA03</v>
      </c>
      <c r="C620" t="str">
        <f t="shared" si="111"/>
        <v>PSAA-CFK--QEL-QEA-03</v>
      </c>
      <c r="E620" t="s">
        <v>38</v>
      </c>
      <c r="F620" t="str">
        <f>VLOOKUP(E620,Localizacoes!$A$3:$B$100,2,FALSE)</f>
        <v>PSAA</v>
      </c>
      <c r="G620" t="str">
        <f>VLOOKUP(E620,ID!$A$3:$B$100,2,FALSE)</f>
        <v>PS</v>
      </c>
      <c r="H620" s="14" t="s">
        <v>608</v>
      </c>
      <c r="I620" t="str">
        <f>VLOOKUP(H620,Localizacoes!$C$3:$D$100,2,FALSE)</f>
        <v>CFK</v>
      </c>
      <c r="J620">
        <f>VLOOKUP(H620,ID!$C$3:$D$100,2,FALSE)</f>
        <v>23</v>
      </c>
      <c r="K620" t="s">
        <v>154</v>
      </c>
      <c r="M620" t="str">
        <f>VLOOKUP(K620,ID!$E$3:$F$100,2,FALSE)</f>
        <v>QEA</v>
      </c>
      <c r="N620" t="s">
        <v>286</v>
      </c>
      <c r="O620" t="str">
        <f>VLOOKUP(N620,Localizacoes!$G$3:$H$100,2,FALSE)</f>
        <v>QEL</v>
      </c>
      <c r="P620">
        <f>VLOOKUP(N620,ID!$G$3:$H$100,2,FALSE)</f>
        <v>152</v>
      </c>
      <c r="Q620" t="s">
        <v>154</v>
      </c>
      <c r="R620" t="str">
        <f>VLOOKUP(Q620,Localizacoes!$I$3:$J$100,2,FALSE)</f>
        <v>QEA</v>
      </c>
      <c r="S620" t="str">
        <f>VLOOKUP(Q620,ID!$I$3:$J$100,2,FALSE)</f>
        <v>QEA</v>
      </c>
      <c r="T620" s="4" t="s">
        <v>187</v>
      </c>
      <c r="U620" t="s">
        <v>265</v>
      </c>
      <c r="Y620" t="s">
        <v>270</v>
      </c>
      <c r="Z620" t="str">
        <f t="shared" si="113"/>
        <v>Quadros Eléctricos de Arranque 03</v>
      </c>
      <c r="AD620" s="13" t="s">
        <v>267</v>
      </c>
      <c r="AF620" t="str">
        <f t="shared" si="112"/>
        <v>Quadro EléctricoQuadros Eléctricos de Arranque</v>
      </c>
      <c r="AG620" s="28" t="str">
        <f>VLOOKUP(AF620,Imagens!$C$2:$D$42,2,FALSE)</f>
        <v>65e8d2fa35c12</v>
      </c>
      <c r="AH620" t="str">
        <f>_xlfn.CONCAT(Imagens!$H$2,'registo_ativo-CDs (1)'!AG620)</f>
        <v>assets/imagens/products/65e8d2fa35c12</v>
      </c>
      <c r="AI620" s="67">
        <v>45369</v>
      </c>
    </row>
    <row r="621" spans="1:35" ht="16.8" customHeight="1" x14ac:dyDescent="0.3">
      <c r="A621">
        <f t="shared" si="114"/>
        <v>15</v>
      </c>
      <c r="B621" t="str">
        <f t="shared" si="110"/>
        <v>PS23BBG141CME04</v>
      </c>
      <c r="C621" t="str">
        <f t="shared" si="111"/>
        <v>PSAA-CFK--FUR-CME-04</v>
      </c>
      <c r="E621" t="s">
        <v>38</v>
      </c>
      <c r="F621" t="str">
        <f>VLOOKUP(E621,Localizacoes!$A$3:$B$100,2,FALSE)</f>
        <v>PSAA</v>
      </c>
      <c r="G621" t="str">
        <f>VLOOKUP(E621,ID!$A$3:$B$100,2,FALSE)</f>
        <v>PS</v>
      </c>
      <c r="H621" s="14" t="s">
        <v>608</v>
      </c>
      <c r="I621" t="str">
        <f>VLOOKUP(H621,Localizacoes!$C$3:$D$100,2,FALSE)</f>
        <v>CFK</v>
      </c>
      <c r="J621">
        <f>VLOOKUP(H621,ID!$C$3:$D$100,2,FALSE)</f>
        <v>23</v>
      </c>
      <c r="K621" t="s">
        <v>274</v>
      </c>
      <c r="M621" t="str">
        <f>VLOOKUP(K621,ID!$E$3:$F$100,2,FALSE)</f>
        <v>BBG</v>
      </c>
      <c r="N621" t="s">
        <v>603</v>
      </c>
      <c r="O621" t="str">
        <f>VLOOKUP(N621,Localizacoes!$G$3:$H$100,2,FALSE)</f>
        <v>FUR</v>
      </c>
      <c r="P621">
        <f>VLOOKUP(N621,ID!$G$3:$H$100,2,FALSE)</f>
        <v>141</v>
      </c>
      <c r="Q621" t="s">
        <v>642</v>
      </c>
      <c r="R621" t="str">
        <f>VLOOKUP(Q621,Localizacoes!$I$3:$J$100,2,FALSE)</f>
        <v>CME</v>
      </c>
      <c r="S621" t="str">
        <f>VLOOKUP(Q621,ID!$I$3:$J$100,2,FALSE)</f>
        <v>CME</v>
      </c>
      <c r="T621" s="4" t="s">
        <v>188</v>
      </c>
      <c r="U621" t="s">
        <v>264</v>
      </c>
      <c r="Y621" t="s">
        <v>270</v>
      </c>
      <c r="Z621" t="str">
        <f t="shared" si="113"/>
        <v>Componentes mecânicos 04</v>
      </c>
      <c r="AD621" s="9" t="s">
        <v>7</v>
      </c>
      <c r="AF621" t="str">
        <f t="shared" ref="AF621:AF622" si="115">_xlfn.CONCAT(N621,Q621)</f>
        <v>FuroComponentes mecânicos</v>
      </c>
      <c r="AG621" s="28" t="str">
        <f>VLOOKUP(AF621,Imagens!$C$2:$D$42,2,FALSE)</f>
        <v>511e9f0a</v>
      </c>
      <c r="AH621" t="str">
        <f>_xlfn.CONCAT(Imagens!$H$2,'registo_ativo-CDs (1)'!AG621)</f>
        <v>assets/imagens/products/511e9f0a</v>
      </c>
      <c r="AI621" s="67">
        <v>45313</v>
      </c>
    </row>
    <row r="622" spans="1:35" ht="16.8" customHeight="1" x14ac:dyDescent="0.3">
      <c r="A622">
        <f t="shared" si="114"/>
        <v>15</v>
      </c>
      <c r="B622" t="str">
        <f t="shared" si="110"/>
        <v>PS23QEA152QEA04</v>
      </c>
      <c r="C622" t="str">
        <f t="shared" si="111"/>
        <v>PSAA-CFK--QEL-QEA-04</v>
      </c>
      <c r="E622" t="s">
        <v>38</v>
      </c>
      <c r="F622" t="str">
        <f>VLOOKUP(E622,Localizacoes!$A$3:$B$100,2,FALSE)</f>
        <v>PSAA</v>
      </c>
      <c r="G622" t="str">
        <f>VLOOKUP(E622,ID!$A$3:$B$100,2,FALSE)</f>
        <v>PS</v>
      </c>
      <c r="H622" s="14" t="s">
        <v>608</v>
      </c>
      <c r="I622" t="str">
        <f>VLOOKUP(H622,Localizacoes!$C$3:$D$100,2,FALSE)</f>
        <v>CFK</v>
      </c>
      <c r="J622">
        <f>VLOOKUP(H622,ID!$C$3:$D$100,2,FALSE)</f>
        <v>23</v>
      </c>
      <c r="K622" t="s">
        <v>154</v>
      </c>
      <c r="M622" t="str">
        <f>VLOOKUP(K622,ID!$E$3:$F$100,2,FALSE)</f>
        <v>QEA</v>
      </c>
      <c r="N622" t="s">
        <v>286</v>
      </c>
      <c r="O622" t="str">
        <f>VLOOKUP(N622,Localizacoes!$G$3:$H$100,2,FALSE)</f>
        <v>QEL</v>
      </c>
      <c r="P622">
        <f>VLOOKUP(N622,ID!$G$3:$H$100,2,FALSE)</f>
        <v>152</v>
      </c>
      <c r="Q622" t="s">
        <v>154</v>
      </c>
      <c r="R622" t="str">
        <f>VLOOKUP(Q622,Localizacoes!$I$3:$J$100,2,FALSE)</f>
        <v>QEA</v>
      </c>
      <c r="S622" t="str">
        <f>VLOOKUP(Q622,ID!$I$3:$J$100,2,FALSE)</f>
        <v>QEA</v>
      </c>
      <c r="T622" s="4" t="s">
        <v>188</v>
      </c>
      <c r="U622" t="s">
        <v>265</v>
      </c>
      <c r="Y622" t="s">
        <v>270</v>
      </c>
      <c r="Z622" t="str">
        <f t="shared" si="113"/>
        <v>Quadros Eléctricos de Arranque 04</v>
      </c>
      <c r="AD622" s="13" t="s">
        <v>267</v>
      </c>
      <c r="AF622" t="str">
        <f t="shared" si="115"/>
        <v>Quadro EléctricoQuadros Eléctricos de Arranque</v>
      </c>
      <c r="AG622" s="28" t="str">
        <f>VLOOKUP(AF622,Imagens!$C$2:$D$42,2,FALSE)</f>
        <v>65e8d2fa35c12</v>
      </c>
      <c r="AH622" t="str">
        <f>_xlfn.CONCAT(Imagens!$H$2,'registo_ativo-CDs (1)'!AG622)</f>
        <v>assets/imagens/products/65e8d2fa35c12</v>
      </c>
      <c r="AI622" s="67">
        <v>45369</v>
      </c>
    </row>
    <row r="623" spans="1:35" ht="16.8" customHeight="1" x14ac:dyDescent="0.3">
      <c r="A623">
        <f t="shared" si="114"/>
        <v>15</v>
      </c>
      <c r="B623" t="str">
        <f t="shared" si="110"/>
        <v>PS23BBG141CME05</v>
      </c>
      <c r="C623" t="str">
        <f t="shared" si="111"/>
        <v>PSAA-CFK--FUR-CME-05</v>
      </c>
      <c r="E623" t="s">
        <v>38</v>
      </c>
      <c r="F623" t="str">
        <f>VLOOKUP(E623,Localizacoes!$A$3:$B$100,2,FALSE)</f>
        <v>PSAA</v>
      </c>
      <c r="G623" t="str">
        <f>VLOOKUP(E623,ID!$A$3:$B$100,2,FALSE)</f>
        <v>PS</v>
      </c>
      <c r="H623" s="14" t="s">
        <v>608</v>
      </c>
      <c r="I623" t="str">
        <f>VLOOKUP(H623,Localizacoes!$C$3:$D$100,2,FALSE)</f>
        <v>CFK</v>
      </c>
      <c r="J623">
        <f>VLOOKUP(H623,ID!$C$3:$D$100,2,FALSE)</f>
        <v>23</v>
      </c>
      <c r="K623" t="s">
        <v>274</v>
      </c>
      <c r="M623" t="str">
        <f>VLOOKUP(K623,ID!$E$3:$F$100,2,FALSE)</f>
        <v>BBG</v>
      </c>
      <c r="N623" t="s">
        <v>603</v>
      </c>
      <c r="O623" t="str">
        <f>VLOOKUP(N623,Localizacoes!$G$3:$H$100,2,FALSE)</f>
        <v>FUR</v>
      </c>
      <c r="P623">
        <f>VLOOKUP(N623,ID!$G$3:$H$100,2,FALSE)</f>
        <v>141</v>
      </c>
      <c r="Q623" t="s">
        <v>642</v>
      </c>
      <c r="R623" t="str">
        <f>VLOOKUP(Q623,Localizacoes!$I$3:$J$100,2,FALSE)</f>
        <v>CME</v>
      </c>
      <c r="S623" t="str">
        <f>VLOOKUP(Q623,ID!$I$3:$J$100,2,FALSE)</f>
        <v>CME</v>
      </c>
      <c r="T623" s="4" t="s">
        <v>189</v>
      </c>
      <c r="U623" t="s">
        <v>264</v>
      </c>
      <c r="Y623" t="s">
        <v>270</v>
      </c>
      <c r="Z623" t="str">
        <f t="shared" si="113"/>
        <v>Componentes mecânicos 05</v>
      </c>
      <c r="AD623" s="9" t="s">
        <v>7</v>
      </c>
      <c r="AF623" t="str">
        <f t="shared" ref="AF623:AF624" si="116">_xlfn.CONCAT(N623,Q623)</f>
        <v>FuroComponentes mecânicos</v>
      </c>
      <c r="AG623" s="28" t="str">
        <f>VLOOKUP(AF623,Imagens!$C$2:$D$42,2,FALSE)</f>
        <v>511e9f0a</v>
      </c>
      <c r="AH623" t="str">
        <f>_xlfn.CONCAT(Imagens!$H$2,'registo_ativo-CDs (1)'!AG623)</f>
        <v>assets/imagens/products/511e9f0a</v>
      </c>
      <c r="AI623" s="67">
        <v>45313</v>
      </c>
    </row>
    <row r="624" spans="1:35" ht="16.8" customHeight="1" x14ac:dyDescent="0.3">
      <c r="A624">
        <f t="shared" si="114"/>
        <v>15</v>
      </c>
      <c r="B624" t="str">
        <f t="shared" si="110"/>
        <v>PS23QEA152QEA05</v>
      </c>
      <c r="C624" t="str">
        <f t="shared" si="111"/>
        <v>PSAA-CFK--QEL-QEA-05</v>
      </c>
      <c r="E624" t="s">
        <v>38</v>
      </c>
      <c r="F624" t="str">
        <f>VLOOKUP(E624,Localizacoes!$A$3:$B$100,2,FALSE)</f>
        <v>PSAA</v>
      </c>
      <c r="G624" t="str">
        <f>VLOOKUP(E624,ID!$A$3:$B$100,2,FALSE)</f>
        <v>PS</v>
      </c>
      <c r="H624" s="14" t="s">
        <v>608</v>
      </c>
      <c r="I624" t="str">
        <f>VLOOKUP(H624,Localizacoes!$C$3:$D$100,2,FALSE)</f>
        <v>CFK</v>
      </c>
      <c r="J624">
        <f>VLOOKUP(H624,ID!$C$3:$D$100,2,FALSE)</f>
        <v>23</v>
      </c>
      <c r="K624" t="s">
        <v>154</v>
      </c>
      <c r="M624" t="str">
        <f>VLOOKUP(K624,ID!$E$3:$F$100,2,FALSE)</f>
        <v>QEA</v>
      </c>
      <c r="N624" t="s">
        <v>286</v>
      </c>
      <c r="O624" t="str">
        <f>VLOOKUP(N624,Localizacoes!$G$3:$H$100,2,FALSE)</f>
        <v>QEL</v>
      </c>
      <c r="P624">
        <f>VLOOKUP(N624,ID!$G$3:$H$100,2,FALSE)</f>
        <v>152</v>
      </c>
      <c r="Q624" t="s">
        <v>154</v>
      </c>
      <c r="R624" t="str">
        <f>VLOOKUP(Q624,Localizacoes!$I$3:$J$100,2,FALSE)</f>
        <v>QEA</v>
      </c>
      <c r="S624" t="str">
        <f>VLOOKUP(Q624,ID!$I$3:$J$100,2,FALSE)</f>
        <v>QEA</v>
      </c>
      <c r="T624" s="4" t="s">
        <v>189</v>
      </c>
      <c r="U624" t="s">
        <v>265</v>
      </c>
      <c r="Y624" t="s">
        <v>270</v>
      </c>
      <c r="Z624" t="str">
        <f t="shared" si="113"/>
        <v>Quadros Eléctricos de Arranque 05</v>
      </c>
      <c r="AD624" s="13" t="s">
        <v>267</v>
      </c>
      <c r="AF624" t="str">
        <f t="shared" si="116"/>
        <v>Quadro EléctricoQuadros Eléctricos de Arranque</v>
      </c>
      <c r="AG624" s="28" t="str">
        <f>VLOOKUP(AF624,Imagens!$C$2:$D$42,2,FALSE)</f>
        <v>65e8d2fa35c12</v>
      </c>
      <c r="AH624" t="str">
        <f>_xlfn.CONCAT(Imagens!$H$2,'registo_ativo-CDs (1)'!AG624)</f>
        <v>assets/imagens/products/65e8d2fa35c12</v>
      </c>
      <c r="AI624" s="67">
        <v>45369</v>
      </c>
    </row>
    <row r="625" spans="1:35" ht="16.8" customHeight="1" x14ac:dyDescent="0.3">
      <c r="A625">
        <f t="shared" si="114"/>
        <v>15</v>
      </c>
      <c r="B625" t="str">
        <f t="shared" si="110"/>
        <v>PS23BBG141CME06</v>
      </c>
      <c r="C625" t="str">
        <f t="shared" si="111"/>
        <v>PSAA-CFK--FUR-CME-06</v>
      </c>
      <c r="E625" t="s">
        <v>38</v>
      </c>
      <c r="F625" t="str">
        <f>VLOOKUP(E625,Localizacoes!$A$3:$B$100,2,FALSE)</f>
        <v>PSAA</v>
      </c>
      <c r="G625" t="str">
        <f>VLOOKUP(E625,ID!$A$3:$B$100,2,FALSE)</f>
        <v>PS</v>
      </c>
      <c r="H625" s="14" t="s">
        <v>608</v>
      </c>
      <c r="I625" t="str">
        <f>VLOOKUP(H625,Localizacoes!$C$3:$D$100,2,FALSE)</f>
        <v>CFK</v>
      </c>
      <c r="J625">
        <f>VLOOKUP(H625,ID!$C$3:$D$100,2,FALSE)</f>
        <v>23</v>
      </c>
      <c r="K625" t="s">
        <v>274</v>
      </c>
      <c r="M625" t="str">
        <f>VLOOKUP(K625,ID!$E$3:$F$100,2,FALSE)</f>
        <v>BBG</v>
      </c>
      <c r="N625" t="s">
        <v>603</v>
      </c>
      <c r="O625" t="str">
        <f>VLOOKUP(N625,Localizacoes!$G$3:$H$100,2,FALSE)</f>
        <v>FUR</v>
      </c>
      <c r="P625">
        <f>VLOOKUP(N625,ID!$G$3:$H$100,2,FALSE)</f>
        <v>141</v>
      </c>
      <c r="Q625" t="s">
        <v>642</v>
      </c>
      <c r="R625" t="str">
        <f>VLOOKUP(Q625,Localizacoes!$I$3:$J$100,2,FALSE)</f>
        <v>CME</v>
      </c>
      <c r="S625" t="str">
        <f>VLOOKUP(Q625,ID!$I$3:$J$100,2,FALSE)</f>
        <v>CME</v>
      </c>
      <c r="T625" s="4" t="s">
        <v>190</v>
      </c>
      <c r="U625" t="s">
        <v>264</v>
      </c>
      <c r="Y625" t="s">
        <v>270</v>
      </c>
      <c r="Z625" t="str">
        <f t="shared" si="113"/>
        <v>Componentes mecânicos 06</v>
      </c>
      <c r="AD625" s="9" t="s">
        <v>7</v>
      </c>
      <c r="AF625" t="str">
        <f t="shared" ref="AF625:AF626" si="117">_xlfn.CONCAT(N625,Q625)</f>
        <v>FuroComponentes mecânicos</v>
      </c>
      <c r="AG625" s="28" t="str">
        <f>VLOOKUP(AF625,Imagens!$C$2:$D$42,2,FALSE)</f>
        <v>511e9f0a</v>
      </c>
      <c r="AH625" t="str">
        <f>_xlfn.CONCAT(Imagens!$H$2,'registo_ativo-CDs (1)'!AG625)</f>
        <v>assets/imagens/products/511e9f0a</v>
      </c>
      <c r="AI625" s="67">
        <v>45313</v>
      </c>
    </row>
    <row r="626" spans="1:35" ht="16.8" customHeight="1" x14ac:dyDescent="0.3">
      <c r="A626">
        <f t="shared" si="114"/>
        <v>15</v>
      </c>
      <c r="B626" t="str">
        <f t="shared" si="110"/>
        <v>PS23QEA152QEA06</v>
      </c>
      <c r="C626" t="str">
        <f t="shared" si="111"/>
        <v>PSAA-CFK--QEL-QEA-06</v>
      </c>
      <c r="E626" t="s">
        <v>38</v>
      </c>
      <c r="F626" t="str">
        <f>VLOOKUP(E626,Localizacoes!$A$3:$B$100,2,FALSE)</f>
        <v>PSAA</v>
      </c>
      <c r="G626" t="str">
        <f>VLOOKUP(E626,ID!$A$3:$B$100,2,FALSE)</f>
        <v>PS</v>
      </c>
      <c r="H626" s="14" t="s">
        <v>608</v>
      </c>
      <c r="I626" t="str">
        <f>VLOOKUP(H626,Localizacoes!$C$3:$D$100,2,FALSE)</f>
        <v>CFK</v>
      </c>
      <c r="J626">
        <f>VLOOKUP(H626,ID!$C$3:$D$100,2,FALSE)</f>
        <v>23</v>
      </c>
      <c r="K626" t="s">
        <v>154</v>
      </c>
      <c r="M626" t="str">
        <f>VLOOKUP(K626,ID!$E$3:$F$100,2,FALSE)</f>
        <v>QEA</v>
      </c>
      <c r="N626" t="s">
        <v>286</v>
      </c>
      <c r="O626" t="str">
        <f>VLOOKUP(N626,Localizacoes!$G$3:$H$100,2,FALSE)</f>
        <v>QEL</v>
      </c>
      <c r="P626">
        <f>VLOOKUP(N626,ID!$G$3:$H$100,2,FALSE)</f>
        <v>152</v>
      </c>
      <c r="Q626" t="s">
        <v>154</v>
      </c>
      <c r="R626" t="str">
        <f>VLOOKUP(Q626,Localizacoes!$I$3:$J$100,2,FALSE)</f>
        <v>QEA</v>
      </c>
      <c r="S626" t="str">
        <f>VLOOKUP(Q626,ID!$I$3:$J$100,2,FALSE)</f>
        <v>QEA</v>
      </c>
      <c r="T626" s="4" t="s">
        <v>190</v>
      </c>
      <c r="U626" t="s">
        <v>265</v>
      </c>
      <c r="Y626" t="s">
        <v>270</v>
      </c>
      <c r="Z626" t="str">
        <f t="shared" si="113"/>
        <v>Quadros Eléctricos de Arranque 06</v>
      </c>
      <c r="AD626" s="13" t="s">
        <v>267</v>
      </c>
      <c r="AF626" t="str">
        <f t="shared" si="117"/>
        <v>Quadro EléctricoQuadros Eléctricos de Arranque</v>
      </c>
      <c r="AG626" s="28" t="str">
        <f>VLOOKUP(AF626,Imagens!$C$2:$D$42,2,FALSE)</f>
        <v>65e8d2fa35c12</v>
      </c>
      <c r="AH626" t="str">
        <f>_xlfn.CONCAT(Imagens!$H$2,'registo_ativo-CDs (1)'!AG626)</f>
        <v>assets/imagens/products/65e8d2fa35c12</v>
      </c>
      <c r="AI626" s="67">
        <v>45369</v>
      </c>
    </row>
    <row r="627" spans="1:35" ht="16.8" customHeight="1" x14ac:dyDescent="0.3">
      <c r="A627">
        <f t="shared" ref="A627:A641" si="118">LEN(B627)</f>
        <v>15</v>
      </c>
      <c r="B627" t="str">
        <f t="shared" si="110"/>
        <v>PS23BBG141CME07</v>
      </c>
      <c r="C627" t="str">
        <f t="shared" si="111"/>
        <v>PSAA-CFK--FUR-CME-07</v>
      </c>
      <c r="E627" t="s">
        <v>38</v>
      </c>
      <c r="F627" t="str">
        <f>VLOOKUP(E627,Localizacoes!$A$3:$B$100,2,FALSE)</f>
        <v>PSAA</v>
      </c>
      <c r="G627" t="str">
        <f>VLOOKUP(E627,ID!$A$3:$B$100,2,FALSE)</f>
        <v>PS</v>
      </c>
      <c r="H627" s="14" t="s">
        <v>608</v>
      </c>
      <c r="I627" t="str">
        <f>VLOOKUP(H627,Localizacoes!$C$3:$D$100,2,FALSE)</f>
        <v>CFK</v>
      </c>
      <c r="J627">
        <f>VLOOKUP(H627,ID!$C$3:$D$100,2,FALSE)</f>
        <v>23</v>
      </c>
      <c r="K627" t="s">
        <v>274</v>
      </c>
      <c r="M627" t="str">
        <f>VLOOKUP(K627,ID!$E$3:$F$100,2,FALSE)</f>
        <v>BBG</v>
      </c>
      <c r="N627" t="s">
        <v>603</v>
      </c>
      <c r="O627" t="str">
        <f>VLOOKUP(N627,Localizacoes!$G$3:$H$100,2,FALSE)</f>
        <v>FUR</v>
      </c>
      <c r="P627">
        <f>VLOOKUP(N627,ID!$G$3:$H$100,2,FALSE)</f>
        <v>141</v>
      </c>
      <c r="Q627" t="s">
        <v>642</v>
      </c>
      <c r="R627" t="str">
        <f>VLOOKUP(Q627,Localizacoes!$I$3:$J$100,2,FALSE)</f>
        <v>CME</v>
      </c>
      <c r="S627" t="str">
        <f>VLOOKUP(Q627,ID!$I$3:$J$100,2,FALSE)</f>
        <v>CME</v>
      </c>
      <c r="T627" s="4" t="s">
        <v>183</v>
      </c>
      <c r="U627" t="s">
        <v>264</v>
      </c>
      <c r="Y627" t="s">
        <v>270</v>
      </c>
      <c r="Z627" t="str">
        <f t="shared" si="113"/>
        <v>Componentes mecânicos 07</v>
      </c>
      <c r="AD627" s="9" t="s">
        <v>7</v>
      </c>
      <c r="AF627" t="str">
        <f t="shared" ref="AF627:AF628" si="119">_xlfn.CONCAT(N627,Q627)</f>
        <v>FuroComponentes mecânicos</v>
      </c>
      <c r="AG627" s="28" t="str">
        <f>VLOOKUP(AF627,Imagens!$C$2:$D$42,2,FALSE)</f>
        <v>511e9f0a</v>
      </c>
      <c r="AH627" t="str">
        <f>_xlfn.CONCAT(Imagens!$H$2,'registo_ativo-CDs (1)'!AG627)</f>
        <v>assets/imagens/products/511e9f0a</v>
      </c>
      <c r="AI627" s="67">
        <v>45313</v>
      </c>
    </row>
    <row r="628" spans="1:35" ht="16.8" customHeight="1" x14ac:dyDescent="0.3">
      <c r="A628">
        <f t="shared" si="118"/>
        <v>15</v>
      </c>
      <c r="B628" t="str">
        <f t="shared" si="110"/>
        <v>PS23QEA152QEA07</v>
      </c>
      <c r="C628" t="str">
        <f t="shared" si="111"/>
        <v>PSAA-CFK--QEL-QEA-07</v>
      </c>
      <c r="E628" t="s">
        <v>38</v>
      </c>
      <c r="F628" t="str">
        <f>VLOOKUP(E628,Localizacoes!$A$3:$B$100,2,FALSE)</f>
        <v>PSAA</v>
      </c>
      <c r="G628" t="str">
        <f>VLOOKUP(E628,ID!$A$3:$B$100,2,FALSE)</f>
        <v>PS</v>
      </c>
      <c r="H628" s="14" t="s">
        <v>608</v>
      </c>
      <c r="I628" t="str">
        <f>VLOOKUP(H628,Localizacoes!$C$3:$D$100,2,FALSE)</f>
        <v>CFK</v>
      </c>
      <c r="J628">
        <f>VLOOKUP(H628,ID!$C$3:$D$100,2,FALSE)</f>
        <v>23</v>
      </c>
      <c r="K628" t="s">
        <v>154</v>
      </c>
      <c r="M628" t="str">
        <f>VLOOKUP(K628,ID!$E$3:$F$100,2,FALSE)</f>
        <v>QEA</v>
      </c>
      <c r="N628" t="s">
        <v>286</v>
      </c>
      <c r="O628" t="str">
        <f>VLOOKUP(N628,Localizacoes!$G$3:$H$100,2,FALSE)</f>
        <v>QEL</v>
      </c>
      <c r="P628">
        <f>VLOOKUP(N628,ID!$G$3:$H$100,2,FALSE)</f>
        <v>152</v>
      </c>
      <c r="Q628" t="s">
        <v>154</v>
      </c>
      <c r="R628" t="str">
        <f>VLOOKUP(Q628,Localizacoes!$I$3:$J$100,2,FALSE)</f>
        <v>QEA</v>
      </c>
      <c r="S628" t="str">
        <f>VLOOKUP(Q628,ID!$I$3:$J$100,2,FALSE)</f>
        <v>QEA</v>
      </c>
      <c r="T628" s="4" t="s">
        <v>183</v>
      </c>
      <c r="U628" t="s">
        <v>265</v>
      </c>
      <c r="Y628" t="s">
        <v>270</v>
      </c>
      <c r="Z628" t="str">
        <f t="shared" si="113"/>
        <v>Quadros Eléctricos de Arranque 07</v>
      </c>
      <c r="AD628" s="13" t="s">
        <v>267</v>
      </c>
      <c r="AF628" t="str">
        <f t="shared" si="119"/>
        <v>Quadro EléctricoQuadros Eléctricos de Arranque</v>
      </c>
      <c r="AG628" s="28" t="str">
        <f>VLOOKUP(AF628,Imagens!$C$2:$D$42,2,FALSE)</f>
        <v>65e8d2fa35c12</v>
      </c>
      <c r="AH628" t="str">
        <f>_xlfn.CONCAT(Imagens!$H$2,'registo_ativo-CDs (1)'!AG628)</f>
        <v>assets/imagens/products/65e8d2fa35c12</v>
      </c>
      <c r="AI628" s="67">
        <v>45369</v>
      </c>
    </row>
    <row r="629" spans="1:35" ht="16.8" customHeight="1" x14ac:dyDescent="0.3">
      <c r="A629">
        <f t="shared" si="118"/>
        <v>15</v>
      </c>
      <c r="B629" t="str">
        <f t="shared" si="110"/>
        <v>PS23BBG141CME08</v>
      </c>
      <c r="C629" t="str">
        <f t="shared" si="111"/>
        <v>PSAA-CFK--FUR-CME-08</v>
      </c>
      <c r="E629" t="s">
        <v>38</v>
      </c>
      <c r="F629" t="str">
        <f>VLOOKUP(E629,Localizacoes!$A$3:$B$100,2,FALSE)</f>
        <v>PSAA</v>
      </c>
      <c r="G629" t="str">
        <f>VLOOKUP(E629,ID!$A$3:$B$100,2,FALSE)</f>
        <v>PS</v>
      </c>
      <c r="H629" s="14" t="s">
        <v>608</v>
      </c>
      <c r="I629" t="str">
        <f>VLOOKUP(H629,Localizacoes!$C$3:$D$100,2,FALSE)</f>
        <v>CFK</v>
      </c>
      <c r="J629">
        <f>VLOOKUP(H629,ID!$C$3:$D$100,2,FALSE)</f>
        <v>23</v>
      </c>
      <c r="K629" t="s">
        <v>274</v>
      </c>
      <c r="M629" t="str">
        <f>VLOOKUP(K629,ID!$E$3:$F$100,2,FALSE)</f>
        <v>BBG</v>
      </c>
      <c r="N629" t="s">
        <v>603</v>
      </c>
      <c r="O629" t="str">
        <f>VLOOKUP(N629,Localizacoes!$G$3:$H$100,2,FALSE)</f>
        <v>FUR</v>
      </c>
      <c r="P629">
        <f>VLOOKUP(N629,ID!$G$3:$H$100,2,FALSE)</f>
        <v>141</v>
      </c>
      <c r="Q629" t="s">
        <v>642</v>
      </c>
      <c r="R629" t="str">
        <f>VLOOKUP(Q629,Localizacoes!$I$3:$J$100,2,FALSE)</f>
        <v>CME</v>
      </c>
      <c r="S629" t="str">
        <f>VLOOKUP(Q629,ID!$I$3:$J$100,2,FALSE)</f>
        <v>CME</v>
      </c>
      <c r="T629" s="4" t="s">
        <v>184</v>
      </c>
      <c r="U629" t="s">
        <v>264</v>
      </c>
      <c r="Y629" t="s">
        <v>270</v>
      </c>
      <c r="Z629" t="str">
        <f t="shared" si="113"/>
        <v>Componentes mecânicos 08</v>
      </c>
      <c r="AD629" s="9" t="s">
        <v>7</v>
      </c>
      <c r="AF629" t="str">
        <f t="shared" ref="AF629:AF630" si="120">_xlfn.CONCAT(N629,Q629)</f>
        <v>FuroComponentes mecânicos</v>
      </c>
      <c r="AG629" s="28" t="str">
        <f>VLOOKUP(AF629,Imagens!$C$2:$D$42,2,FALSE)</f>
        <v>511e9f0a</v>
      </c>
      <c r="AH629" t="str">
        <f>_xlfn.CONCAT(Imagens!$H$2,'registo_ativo-CDs (1)'!AG629)</f>
        <v>assets/imagens/products/511e9f0a</v>
      </c>
      <c r="AI629" s="67">
        <v>45313</v>
      </c>
    </row>
    <row r="630" spans="1:35" ht="16.8" customHeight="1" x14ac:dyDescent="0.3">
      <c r="A630">
        <f t="shared" si="118"/>
        <v>15</v>
      </c>
      <c r="B630" t="str">
        <f t="shared" si="110"/>
        <v>PS23QEA152QEA08</v>
      </c>
      <c r="C630" t="str">
        <f t="shared" si="111"/>
        <v>PSAA-CFK--QEL-QEA-08</v>
      </c>
      <c r="E630" t="s">
        <v>38</v>
      </c>
      <c r="F630" t="str">
        <f>VLOOKUP(E630,Localizacoes!$A$3:$B$100,2,FALSE)</f>
        <v>PSAA</v>
      </c>
      <c r="G630" t="str">
        <f>VLOOKUP(E630,ID!$A$3:$B$100,2,FALSE)</f>
        <v>PS</v>
      </c>
      <c r="H630" s="14" t="s">
        <v>608</v>
      </c>
      <c r="I630" t="str">
        <f>VLOOKUP(H630,Localizacoes!$C$3:$D$100,2,FALSE)</f>
        <v>CFK</v>
      </c>
      <c r="J630">
        <f>VLOOKUP(H630,ID!$C$3:$D$100,2,FALSE)</f>
        <v>23</v>
      </c>
      <c r="K630" t="s">
        <v>154</v>
      </c>
      <c r="M630" t="str">
        <f>VLOOKUP(K630,ID!$E$3:$F$100,2,FALSE)</f>
        <v>QEA</v>
      </c>
      <c r="N630" t="s">
        <v>286</v>
      </c>
      <c r="O630" t="str">
        <f>VLOOKUP(N630,Localizacoes!$G$3:$H$100,2,FALSE)</f>
        <v>QEL</v>
      </c>
      <c r="P630">
        <f>VLOOKUP(N630,ID!$G$3:$H$100,2,FALSE)</f>
        <v>152</v>
      </c>
      <c r="Q630" t="s">
        <v>154</v>
      </c>
      <c r="R630" t="str">
        <f>VLOOKUP(Q630,Localizacoes!$I$3:$J$100,2,FALSE)</f>
        <v>QEA</v>
      </c>
      <c r="S630" t="str">
        <f>VLOOKUP(Q630,ID!$I$3:$J$100,2,FALSE)</f>
        <v>QEA</v>
      </c>
      <c r="T630" s="4" t="s">
        <v>184</v>
      </c>
      <c r="U630" t="s">
        <v>265</v>
      </c>
      <c r="Y630" t="s">
        <v>270</v>
      </c>
      <c r="Z630" t="str">
        <f t="shared" si="113"/>
        <v>Quadros Eléctricos de Arranque 08</v>
      </c>
      <c r="AD630" s="13" t="s">
        <v>267</v>
      </c>
      <c r="AF630" t="str">
        <f t="shared" si="120"/>
        <v>Quadro EléctricoQuadros Eléctricos de Arranque</v>
      </c>
      <c r="AG630" s="28" t="str">
        <f>VLOOKUP(AF630,Imagens!$C$2:$D$42,2,FALSE)</f>
        <v>65e8d2fa35c12</v>
      </c>
      <c r="AH630" t="str">
        <f>_xlfn.CONCAT(Imagens!$H$2,'registo_ativo-CDs (1)'!AG630)</f>
        <v>assets/imagens/products/65e8d2fa35c12</v>
      </c>
      <c r="AI630" s="67">
        <v>45369</v>
      </c>
    </row>
    <row r="631" spans="1:35" ht="16.8" customHeight="1" x14ac:dyDescent="0.3">
      <c r="A631">
        <f t="shared" si="118"/>
        <v>15</v>
      </c>
      <c r="B631" t="str">
        <f t="shared" ref="B631:B691" si="121">CONCATENATE(G631,J631,M631,P631,S631,T631)</f>
        <v>PS23BBG141CME09</v>
      </c>
      <c r="C631" t="str">
        <f t="shared" ref="C631:C691" si="122">CONCATENATE(F631, "-", I631, "-", L631, "-", O631, "-", R631, "-", T631)</f>
        <v>PSAA-CFK--FUR-CME-09</v>
      </c>
      <c r="E631" t="s">
        <v>38</v>
      </c>
      <c r="F631" t="str">
        <f>VLOOKUP(E631,Localizacoes!$A$3:$B$100,2,FALSE)</f>
        <v>PSAA</v>
      </c>
      <c r="G631" t="str">
        <f>VLOOKUP(E631,ID!$A$3:$B$100,2,FALSE)</f>
        <v>PS</v>
      </c>
      <c r="H631" s="14" t="s">
        <v>608</v>
      </c>
      <c r="I631" t="str">
        <f>VLOOKUP(H631,Localizacoes!$C$3:$D$100,2,FALSE)</f>
        <v>CFK</v>
      </c>
      <c r="J631">
        <f>VLOOKUP(H631,ID!$C$3:$D$100,2,FALSE)</f>
        <v>23</v>
      </c>
      <c r="K631" t="s">
        <v>274</v>
      </c>
      <c r="M631" t="str">
        <f>VLOOKUP(K631,ID!$E$3:$F$100,2,FALSE)</f>
        <v>BBG</v>
      </c>
      <c r="N631" t="s">
        <v>603</v>
      </c>
      <c r="O631" t="str">
        <f>VLOOKUP(N631,Localizacoes!$G$3:$H$100,2,FALSE)</f>
        <v>FUR</v>
      </c>
      <c r="P631">
        <f>VLOOKUP(N631,ID!$G$3:$H$100,2,FALSE)</f>
        <v>141</v>
      </c>
      <c r="Q631" t="s">
        <v>642</v>
      </c>
      <c r="R631" t="str">
        <f>VLOOKUP(Q631,Localizacoes!$I$3:$J$100,2,FALSE)</f>
        <v>CME</v>
      </c>
      <c r="S631" t="str">
        <f>VLOOKUP(Q631,ID!$I$3:$J$100,2,FALSE)</f>
        <v>CME</v>
      </c>
      <c r="T631" s="4" t="s">
        <v>185</v>
      </c>
      <c r="U631" t="s">
        <v>264</v>
      </c>
      <c r="Y631" t="s">
        <v>270</v>
      </c>
      <c r="Z631" t="str">
        <f t="shared" si="113"/>
        <v>Componentes mecânicos 09</v>
      </c>
      <c r="AD631" s="9" t="s">
        <v>7</v>
      </c>
      <c r="AF631" t="str">
        <f t="shared" ref="AF631:AF632" si="123">_xlfn.CONCAT(N631,Q631)</f>
        <v>FuroComponentes mecânicos</v>
      </c>
      <c r="AG631" s="28" t="str">
        <f>VLOOKUP(AF631,Imagens!$C$2:$D$42,2,FALSE)</f>
        <v>511e9f0a</v>
      </c>
      <c r="AH631" t="str">
        <f>_xlfn.CONCAT(Imagens!$H$2,'registo_ativo-CDs (1)'!AG631)</f>
        <v>assets/imagens/products/511e9f0a</v>
      </c>
      <c r="AI631" s="67">
        <v>45313</v>
      </c>
    </row>
    <row r="632" spans="1:35" ht="16.8" customHeight="1" x14ac:dyDescent="0.3">
      <c r="A632">
        <f t="shared" si="118"/>
        <v>15</v>
      </c>
      <c r="B632" t="str">
        <f t="shared" si="121"/>
        <v>PS23QEA152QEA09</v>
      </c>
      <c r="C632" t="str">
        <f t="shared" si="122"/>
        <v>PSAA-CFK--QEL-QEA-09</v>
      </c>
      <c r="E632" t="s">
        <v>38</v>
      </c>
      <c r="F632" t="str">
        <f>VLOOKUP(E632,Localizacoes!$A$3:$B$100,2,FALSE)</f>
        <v>PSAA</v>
      </c>
      <c r="G632" t="str">
        <f>VLOOKUP(E632,ID!$A$3:$B$100,2,FALSE)</f>
        <v>PS</v>
      </c>
      <c r="H632" s="14" t="s">
        <v>608</v>
      </c>
      <c r="I632" t="str">
        <f>VLOOKUP(H632,Localizacoes!$C$3:$D$100,2,FALSE)</f>
        <v>CFK</v>
      </c>
      <c r="J632">
        <f>VLOOKUP(H632,ID!$C$3:$D$100,2,FALSE)</f>
        <v>23</v>
      </c>
      <c r="K632" t="s">
        <v>154</v>
      </c>
      <c r="M632" t="str">
        <f>VLOOKUP(K632,ID!$E$3:$F$100,2,FALSE)</f>
        <v>QEA</v>
      </c>
      <c r="N632" t="s">
        <v>286</v>
      </c>
      <c r="O632" t="str">
        <f>VLOOKUP(N632,Localizacoes!$G$3:$H$100,2,FALSE)</f>
        <v>QEL</v>
      </c>
      <c r="P632">
        <f>VLOOKUP(N632,ID!$G$3:$H$100,2,FALSE)</f>
        <v>152</v>
      </c>
      <c r="Q632" t="s">
        <v>154</v>
      </c>
      <c r="R632" t="str">
        <f>VLOOKUP(Q632,Localizacoes!$I$3:$J$100,2,FALSE)</f>
        <v>QEA</v>
      </c>
      <c r="S632" t="str">
        <f>VLOOKUP(Q632,ID!$I$3:$J$100,2,FALSE)</f>
        <v>QEA</v>
      </c>
      <c r="T632" s="4" t="s">
        <v>185</v>
      </c>
      <c r="U632" t="s">
        <v>265</v>
      </c>
      <c r="Y632" t="s">
        <v>270</v>
      </c>
      <c r="Z632" t="str">
        <f t="shared" si="113"/>
        <v>Quadros Eléctricos de Arranque 09</v>
      </c>
      <c r="AD632" s="13" t="s">
        <v>267</v>
      </c>
      <c r="AF632" t="str">
        <f t="shared" si="123"/>
        <v>Quadro EléctricoQuadros Eléctricos de Arranque</v>
      </c>
      <c r="AG632" s="28" t="str">
        <f>VLOOKUP(AF632,Imagens!$C$2:$D$42,2,FALSE)</f>
        <v>65e8d2fa35c12</v>
      </c>
      <c r="AH632" t="str">
        <f>_xlfn.CONCAT(Imagens!$H$2,'registo_ativo-CDs (1)'!AG632)</f>
        <v>assets/imagens/products/65e8d2fa35c12</v>
      </c>
      <c r="AI632" s="67">
        <v>45369</v>
      </c>
    </row>
    <row r="633" spans="1:35" ht="16.8" customHeight="1" x14ac:dyDescent="0.3">
      <c r="A633">
        <f t="shared" si="118"/>
        <v>15</v>
      </c>
      <c r="B633" t="str">
        <f t="shared" si="121"/>
        <v>PS23BBG141CME10</v>
      </c>
      <c r="C633" t="str">
        <f t="shared" si="122"/>
        <v>PSAA-CFK--FUR-CME-10</v>
      </c>
      <c r="E633" t="s">
        <v>38</v>
      </c>
      <c r="F633" t="str">
        <f>VLOOKUP(E633,Localizacoes!$A$3:$B$100,2,FALSE)</f>
        <v>PSAA</v>
      </c>
      <c r="G633" t="str">
        <f>VLOOKUP(E633,ID!$A$3:$B$100,2,FALSE)</f>
        <v>PS</v>
      </c>
      <c r="H633" s="14" t="s">
        <v>608</v>
      </c>
      <c r="I633" t="str">
        <f>VLOOKUP(H633,Localizacoes!$C$3:$D$100,2,FALSE)</f>
        <v>CFK</v>
      </c>
      <c r="J633">
        <f>VLOOKUP(H633,ID!$C$3:$D$100,2,FALSE)</f>
        <v>23</v>
      </c>
      <c r="K633" t="s">
        <v>274</v>
      </c>
      <c r="M633" t="str">
        <f>VLOOKUP(K633,ID!$E$3:$F$100,2,FALSE)</f>
        <v>BBG</v>
      </c>
      <c r="N633" t="s">
        <v>603</v>
      </c>
      <c r="O633" t="str">
        <f>VLOOKUP(N633,Localizacoes!$G$3:$H$100,2,FALSE)</f>
        <v>FUR</v>
      </c>
      <c r="P633">
        <f>VLOOKUP(N633,ID!$G$3:$H$100,2,FALSE)</f>
        <v>141</v>
      </c>
      <c r="Q633" t="s">
        <v>642</v>
      </c>
      <c r="R633" t="str">
        <f>VLOOKUP(Q633,Localizacoes!$I$3:$J$100,2,FALSE)</f>
        <v>CME</v>
      </c>
      <c r="S633" t="str">
        <f>VLOOKUP(Q633,ID!$I$3:$J$100,2,FALSE)</f>
        <v>CME</v>
      </c>
      <c r="T633" s="4" t="s">
        <v>192</v>
      </c>
      <c r="U633" t="s">
        <v>264</v>
      </c>
      <c r="Y633" t="s">
        <v>270</v>
      </c>
      <c r="Z633" t="str">
        <f t="shared" si="113"/>
        <v>Componentes mecânicos 10</v>
      </c>
      <c r="AD633" s="9" t="s">
        <v>7</v>
      </c>
      <c r="AF633" t="str">
        <f t="shared" ref="AF633:AF634" si="124">_xlfn.CONCAT(N633,Q633)</f>
        <v>FuroComponentes mecânicos</v>
      </c>
      <c r="AG633" s="28" t="str">
        <f>VLOOKUP(AF633,Imagens!$C$2:$D$42,2,FALSE)</f>
        <v>511e9f0a</v>
      </c>
      <c r="AH633" t="str">
        <f>_xlfn.CONCAT(Imagens!$H$2,'registo_ativo-CDs (1)'!AG633)</f>
        <v>assets/imagens/products/511e9f0a</v>
      </c>
      <c r="AI633" s="67">
        <v>45313</v>
      </c>
    </row>
    <row r="634" spans="1:35" ht="16.8" customHeight="1" x14ac:dyDescent="0.3">
      <c r="A634">
        <f t="shared" si="118"/>
        <v>15</v>
      </c>
      <c r="B634" t="str">
        <f t="shared" si="121"/>
        <v>PS23QEA152QEA10</v>
      </c>
      <c r="C634" t="str">
        <f t="shared" si="122"/>
        <v>PSAA-CFK--QEL-QEA-10</v>
      </c>
      <c r="E634" t="s">
        <v>38</v>
      </c>
      <c r="F634" t="str">
        <f>VLOOKUP(E634,Localizacoes!$A$3:$B$100,2,FALSE)</f>
        <v>PSAA</v>
      </c>
      <c r="G634" t="str">
        <f>VLOOKUP(E634,ID!$A$3:$B$100,2,FALSE)</f>
        <v>PS</v>
      </c>
      <c r="H634" s="14" t="s">
        <v>608</v>
      </c>
      <c r="I634" t="str">
        <f>VLOOKUP(H634,Localizacoes!$C$3:$D$100,2,FALSE)</f>
        <v>CFK</v>
      </c>
      <c r="J634">
        <f>VLOOKUP(H634,ID!$C$3:$D$100,2,FALSE)</f>
        <v>23</v>
      </c>
      <c r="K634" t="s">
        <v>154</v>
      </c>
      <c r="M634" t="str">
        <f>VLOOKUP(K634,ID!$E$3:$F$100,2,FALSE)</f>
        <v>QEA</v>
      </c>
      <c r="N634" t="s">
        <v>286</v>
      </c>
      <c r="O634" t="str">
        <f>VLOOKUP(N634,Localizacoes!$G$3:$H$100,2,FALSE)</f>
        <v>QEL</v>
      </c>
      <c r="P634">
        <f>VLOOKUP(N634,ID!$G$3:$H$100,2,FALSE)</f>
        <v>152</v>
      </c>
      <c r="Q634" t="s">
        <v>154</v>
      </c>
      <c r="R634" t="str">
        <f>VLOOKUP(Q634,Localizacoes!$I$3:$J$100,2,FALSE)</f>
        <v>QEA</v>
      </c>
      <c r="S634" t="str">
        <f>VLOOKUP(Q634,ID!$I$3:$J$100,2,FALSE)</f>
        <v>QEA</v>
      </c>
      <c r="T634" s="4" t="s">
        <v>192</v>
      </c>
      <c r="U634" t="s">
        <v>265</v>
      </c>
      <c r="Y634" t="s">
        <v>270</v>
      </c>
      <c r="Z634" t="str">
        <f t="shared" si="113"/>
        <v>Quadros Eléctricos de Arranque 10</v>
      </c>
      <c r="AD634" s="13" t="s">
        <v>267</v>
      </c>
      <c r="AF634" t="str">
        <f t="shared" si="124"/>
        <v>Quadro EléctricoQuadros Eléctricos de Arranque</v>
      </c>
      <c r="AG634" s="28" t="str">
        <f>VLOOKUP(AF634,Imagens!$C$2:$D$42,2,FALSE)</f>
        <v>65e8d2fa35c12</v>
      </c>
      <c r="AH634" t="str">
        <f>_xlfn.CONCAT(Imagens!$H$2,'registo_ativo-CDs (1)'!AG634)</f>
        <v>assets/imagens/products/65e8d2fa35c12</v>
      </c>
      <c r="AI634" s="67">
        <v>45369</v>
      </c>
    </row>
    <row r="635" spans="1:35" ht="16.8" customHeight="1" x14ac:dyDescent="0.3">
      <c r="A635">
        <f t="shared" si="118"/>
        <v>15</v>
      </c>
      <c r="B635" t="str">
        <f t="shared" si="121"/>
        <v>PS22BBG141CME01</v>
      </c>
      <c r="C635" t="str">
        <f t="shared" si="122"/>
        <v>PSAA-CFIS--FUR-CME-01</v>
      </c>
      <c r="E635" t="s">
        <v>38</v>
      </c>
      <c r="F635" t="str">
        <f>VLOOKUP(E635,Localizacoes!$A$3:$B$100,2,FALSE)</f>
        <v>PSAA</v>
      </c>
      <c r="G635" t="str">
        <f>VLOOKUP(E635,ID!$A$3:$B$100,2,FALSE)</f>
        <v>PS</v>
      </c>
      <c r="H635" s="14" t="s">
        <v>604</v>
      </c>
      <c r="I635" t="str">
        <f>VLOOKUP(H635,Localizacoes!$C$3:$D$100,2,FALSE)</f>
        <v>CFIS</v>
      </c>
      <c r="J635">
        <f>VLOOKUP(H635,ID!$C$3:$D$100,2,FALSE)</f>
        <v>22</v>
      </c>
      <c r="K635" t="s">
        <v>274</v>
      </c>
      <c r="M635" t="str">
        <f>VLOOKUP(K635,ID!$E$3:$F$100,2,FALSE)</f>
        <v>BBG</v>
      </c>
      <c r="N635" t="s">
        <v>603</v>
      </c>
      <c r="O635" t="str">
        <f>VLOOKUP(N635,Localizacoes!$G$3:$H$100,2,FALSE)</f>
        <v>FUR</v>
      </c>
      <c r="P635">
        <f>VLOOKUP(N635,ID!$G$3:$H$100,2,FALSE)</f>
        <v>141</v>
      </c>
      <c r="Q635" t="s">
        <v>642</v>
      </c>
      <c r="R635" t="str">
        <f>VLOOKUP(Q635,Localizacoes!$I$3:$J$100,2,FALSE)</f>
        <v>CME</v>
      </c>
      <c r="S635" t="str">
        <f>VLOOKUP(Q635,ID!$I$3:$J$100,2,FALSE)</f>
        <v>CME</v>
      </c>
      <c r="T635" s="4" t="s">
        <v>182</v>
      </c>
      <c r="U635" t="s">
        <v>264</v>
      </c>
      <c r="Y635" t="s">
        <v>270</v>
      </c>
      <c r="Z635" t="str">
        <f t="shared" si="113"/>
        <v>Componentes mecânicos 01</v>
      </c>
      <c r="AD635" s="9" t="s">
        <v>7</v>
      </c>
      <c r="AF635" t="str">
        <f t="shared" ref="AF635:AF637" si="125">_xlfn.CONCAT(N635,Q635)</f>
        <v>FuroComponentes mecânicos</v>
      </c>
      <c r="AG635" s="28" t="str">
        <f>VLOOKUP(AF635,Imagens!$C$2:$D$42,2,FALSE)</f>
        <v>511e9f0a</v>
      </c>
      <c r="AH635" t="str">
        <f>_xlfn.CONCAT(Imagens!$H$2,'registo_ativo-CDs (1)'!AG635)</f>
        <v>assets/imagens/products/511e9f0a</v>
      </c>
      <c r="AI635" s="68">
        <v>45313</v>
      </c>
    </row>
    <row r="636" spans="1:35" ht="16.8" customHeight="1" x14ac:dyDescent="0.3">
      <c r="A636">
        <f t="shared" si="118"/>
        <v>15</v>
      </c>
      <c r="B636" t="str">
        <f t="shared" si="121"/>
        <v>PS22SQE152QEA01</v>
      </c>
      <c r="C636" t="str">
        <f t="shared" si="122"/>
        <v>PSAA-CFIS--QEL-QEA-01</v>
      </c>
      <c r="E636" t="s">
        <v>38</v>
      </c>
      <c r="F636" t="str">
        <f>VLOOKUP(E636,Localizacoes!$A$3:$B$100,2,FALSE)</f>
        <v>PSAA</v>
      </c>
      <c r="G636" t="str">
        <f>VLOOKUP(E636,ID!$A$3:$B$100,2,FALSE)</f>
        <v>PS</v>
      </c>
      <c r="H636" s="14" t="s">
        <v>604</v>
      </c>
      <c r="I636" t="str">
        <f>VLOOKUP(H636,Localizacoes!$C$3:$D$100,2,FALSE)</f>
        <v>CFIS</v>
      </c>
      <c r="J636">
        <f>VLOOKUP(H636,ID!$C$3:$D$100,2,FALSE)</f>
        <v>22</v>
      </c>
      <c r="K636" t="s">
        <v>494</v>
      </c>
      <c r="M636" t="str">
        <f>VLOOKUP(K636,ID!$E$3:$F$100,2,FALSE)</f>
        <v>SQE</v>
      </c>
      <c r="N636" t="s">
        <v>286</v>
      </c>
      <c r="O636" t="str">
        <f>VLOOKUP(N636,Localizacoes!$G$3:$H$100,2,FALSE)</f>
        <v>QEL</v>
      </c>
      <c r="P636">
        <f>VLOOKUP(N636,ID!$G$3:$H$100,2,FALSE)</f>
        <v>152</v>
      </c>
      <c r="Q636" t="s">
        <v>154</v>
      </c>
      <c r="R636" t="str">
        <f>VLOOKUP(Q636,Localizacoes!$I$3:$J$100,2,FALSE)</f>
        <v>QEA</v>
      </c>
      <c r="S636" t="str">
        <f>VLOOKUP(Q636,ID!$I$3:$J$100,2,FALSE)</f>
        <v>QEA</v>
      </c>
      <c r="T636" s="4" t="s">
        <v>182</v>
      </c>
      <c r="U636" t="s">
        <v>265</v>
      </c>
      <c r="Y636" t="s">
        <v>270</v>
      </c>
      <c r="Z636" t="str">
        <f t="shared" si="113"/>
        <v>Quadros Eléctricos de Arranque 01</v>
      </c>
      <c r="AD636" s="9" t="s">
        <v>267</v>
      </c>
      <c r="AF636" t="str">
        <f t="shared" si="125"/>
        <v>Quadro EléctricoQuadros Eléctricos de Arranque</v>
      </c>
      <c r="AG636" s="28" t="str">
        <f>VLOOKUP(AF636,Imagens!$C$2:$D$42,2,FALSE)</f>
        <v>65e8d2fa35c12</v>
      </c>
      <c r="AH636" t="str">
        <f>_xlfn.CONCAT(Imagens!$H$2,'registo_ativo-CDs (1)'!AG636)</f>
        <v>assets/imagens/products/65e8d2fa35c12</v>
      </c>
      <c r="AI636" s="68">
        <v>45369</v>
      </c>
    </row>
    <row r="637" spans="1:35" ht="16.8" customHeight="1" x14ac:dyDescent="0.3">
      <c r="A637">
        <f t="shared" si="118"/>
        <v>15</v>
      </c>
      <c r="B637" t="str">
        <f t="shared" si="121"/>
        <v>PS22ILU164ILL01</v>
      </c>
      <c r="C637" t="str">
        <f t="shared" si="122"/>
        <v>PSAA-CFIS--SIL-ILL-01</v>
      </c>
      <c r="E637" t="s">
        <v>38</v>
      </c>
      <c r="F637" t="str">
        <f>VLOOKUP(E637,Localizacoes!$A$3:$B$100,2,FALSE)</f>
        <v>PSAA</v>
      </c>
      <c r="G637" t="str">
        <f>VLOOKUP(E637,ID!$A$3:$B$100,2,FALSE)</f>
        <v>PS</v>
      </c>
      <c r="H637" s="14" t="s">
        <v>604</v>
      </c>
      <c r="I637" t="str">
        <f>VLOOKUP(H637,Localizacoes!$C$3:$D$100,2,FALSE)</f>
        <v>CFIS</v>
      </c>
      <c r="J637">
        <f>VLOOKUP(H637,ID!$C$3:$D$100,2,FALSE)</f>
        <v>22</v>
      </c>
      <c r="K637" t="s">
        <v>141</v>
      </c>
      <c r="M637" t="str">
        <f>VLOOKUP(K637,ID!$E$3:$F$100,2,FALSE)</f>
        <v>ILU</v>
      </c>
      <c r="N637" t="s">
        <v>688</v>
      </c>
      <c r="O637" t="str">
        <f>VLOOKUP(N637,Localizacoes!$G$3:$H$100,2,FALSE)</f>
        <v>SIL</v>
      </c>
      <c r="P637">
        <f>VLOOKUP(N637,ID!$G$3:$H$100,2,FALSE)</f>
        <v>164</v>
      </c>
      <c r="Q637" t="s">
        <v>141</v>
      </c>
      <c r="R637" t="str">
        <f>VLOOKUP(Q637,Localizacoes!$I$3:$J$100,2,FALSE)</f>
        <v>ILL</v>
      </c>
      <c r="S637" t="str">
        <f>VLOOKUP(Q637,ID!$I$3:$J$100,2,FALSE)</f>
        <v>ILL</v>
      </c>
      <c r="T637" s="4" t="s">
        <v>182</v>
      </c>
      <c r="U637" t="s">
        <v>265</v>
      </c>
      <c r="Y637" t="s">
        <v>270</v>
      </c>
      <c r="Z637" t="str">
        <f t="shared" si="113"/>
        <v>Iluminação 01</v>
      </c>
      <c r="AD637" s="9" t="s">
        <v>267</v>
      </c>
      <c r="AF637" t="str">
        <f t="shared" si="125"/>
        <v>Sistema de IluminaçãoIluminação</v>
      </c>
      <c r="AG637" s="28" t="str">
        <f>VLOOKUP(AF637,Imagens!$C$2:$D$42,2,FALSE)</f>
        <v>65e8e579bfe6c</v>
      </c>
      <c r="AH637" t="str">
        <f>_xlfn.CONCAT(Imagens!$H$2,'registo_ativo-CDs (1)'!AG637)</f>
        <v>assets/imagens/products/65e8e579bfe6c</v>
      </c>
      <c r="AI637" s="68">
        <v>45313</v>
      </c>
    </row>
    <row r="638" spans="1:35" ht="16.8" customHeight="1" x14ac:dyDescent="0.3">
      <c r="A638">
        <f t="shared" si="118"/>
        <v>15</v>
      </c>
      <c r="B638" t="str">
        <f t="shared" si="121"/>
        <v>PS22CAN152CAN01</v>
      </c>
      <c r="C638" t="str">
        <f t="shared" si="122"/>
        <v>PSAA-CFIS--QEL-CAN-01</v>
      </c>
      <c r="E638" t="s">
        <v>38</v>
      </c>
      <c r="F638" t="str">
        <f>VLOOKUP(E638,Localizacoes!$A$3:$B$100,2,FALSE)</f>
        <v>PSAA</v>
      </c>
      <c r="G638" t="str">
        <f>VLOOKUP(E638,ID!$A$3:$B$100,2,FALSE)</f>
        <v>PS</v>
      </c>
      <c r="H638" s="14" t="s">
        <v>604</v>
      </c>
      <c r="I638" t="str">
        <f>VLOOKUP(H638,Localizacoes!$C$3:$D$100,2,FALSE)</f>
        <v>CFIS</v>
      </c>
      <c r="J638">
        <f>VLOOKUP(H638,ID!$C$3:$D$100,2,FALSE)</f>
        <v>22</v>
      </c>
      <c r="K638" t="s">
        <v>101</v>
      </c>
      <c r="M638" t="str">
        <f>VLOOKUP(K638,ID!$E$3:$F$100,2,FALSE)</f>
        <v>CAN</v>
      </c>
      <c r="N638" t="s">
        <v>286</v>
      </c>
      <c r="O638" t="str">
        <f>VLOOKUP(N638,Localizacoes!$G$3:$H$100,2,FALSE)</f>
        <v>QEL</v>
      </c>
      <c r="P638">
        <f>VLOOKUP(N638,ID!$G$3:$H$100,2,FALSE)</f>
        <v>152</v>
      </c>
      <c r="Q638" t="s">
        <v>101</v>
      </c>
      <c r="R638" t="str">
        <f>VLOOKUP(Q638,Localizacoes!$I$3:$J$100,2,FALSE)</f>
        <v>CAN</v>
      </c>
      <c r="S638" t="str">
        <f>VLOOKUP(Q638,ID!$I$3:$J$100,2,FALSE)</f>
        <v>CAN</v>
      </c>
      <c r="T638" s="4" t="s">
        <v>182</v>
      </c>
      <c r="U638" t="s">
        <v>265</v>
      </c>
      <c r="Y638" t="s">
        <v>270</v>
      </c>
      <c r="Z638" t="str">
        <f t="shared" si="113"/>
        <v>Canalização Eléctrica 01</v>
      </c>
      <c r="AD638" s="9" t="s">
        <v>266</v>
      </c>
      <c r="AF638" t="str">
        <f>_xlfn.CONCAT(N638,Q638)</f>
        <v>Quadro EléctricoCanalização Eléctrica</v>
      </c>
      <c r="AG638" s="28" t="str">
        <f>VLOOKUP(AF638,Imagens!$C$2:$D$42,2,FALSE)</f>
        <v>65e8e4bb71249</v>
      </c>
      <c r="AH638" t="str">
        <f>_xlfn.CONCAT(Imagens!$H$2,'registo_ativo-CDs (1)'!AG638)</f>
        <v>assets/imagens/products/65e8e4bb71249</v>
      </c>
      <c r="AI638" s="68">
        <v>45453</v>
      </c>
    </row>
    <row r="639" spans="1:35" ht="16.8" customHeight="1" x14ac:dyDescent="0.3">
      <c r="A639">
        <f t="shared" si="118"/>
        <v>15</v>
      </c>
      <c r="B639" t="str">
        <f t="shared" si="121"/>
        <v>PS22CAN152QEI01</v>
      </c>
      <c r="C639" t="str">
        <f t="shared" si="122"/>
        <v>PSAA-CFIS-CAN-QEL-QEI-01</v>
      </c>
      <c r="E639" t="s">
        <v>38</v>
      </c>
      <c r="F639" t="str">
        <f>VLOOKUP(E639,Localizacoes!$A$3:$B$100,2,FALSE)</f>
        <v>PSAA</v>
      </c>
      <c r="G639" t="str">
        <f>VLOOKUP(E639,ID!$A$3:$B$100,2,FALSE)</f>
        <v>PS</v>
      </c>
      <c r="H639" s="14" t="s">
        <v>604</v>
      </c>
      <c r="I639" t="str">
        <f>VLOOKUP(H639,Localizacoes!$C$3:$D$100,2,FALSE)</f>
        <v>CFIS</v>
      </c>
      <c r="J639">
        <f>VLOOKUP(H639,ID!$C$3:$D$100,2,FALSE)</f>
        <v>22</v>
      </c>
      <c r="K639" t="s">
        <v>101</v>
      </c>
      <c r="L639" t="str">
        <f>VLOOKUP(K639,Localizacoes!$E$3:$F$100,2,FALSE)</f>
        <v>CAN</v>
      </c>
      <c r="M639" t="str">
        <f>VLOOKUP(K639,ID!$E$3:$F$100,2,FALSE)</f>
        <v>CAN</v>
      </c>
      <c r="N639" t="s">
        <v>286</v>
      </c>
      <c r="O639" t="str">
        <f>VLOOKUP(N639,Localizacoes!$G$3:$H$100,2,FALSE)</f>
        <v>QEL</v>
      </c>
      <c r="P639">
        <f>VLOOKUP(N639,ID!$G$3:$H$100,2,FALSE)</f>
        <v>152</v>
      </c>
      <c r="Q639" t="s">
        <v>446</v>
      </c>
      <c r="R639" t="str">
        <f>VLOOKUP(Q639,Localizacoes!$I$3:$J$100,2,FALSE)</f>
        <v>QEI</v>
      </c>
      <c r="S639" t="str">
        <f>VLOOKUP(Q639,ID!$I$3:$J$100,2,FALSE)</f>
        <v>QEI</v>
      </c>
      <c r="T639" s="4" t="s">
        <v>182</v>
      </c>
      <c r="U639" t="s">
        <v>265</v>
      </c>
      <c r="Y639" t="s">
        <v>270</v>
      </c>
      <c r="Z639" t="str">
        <f t="shared" si="113"/>
        <v>Quadro Eléctrico de Instrumentação 01</v>
      </c>
      <c r="AD639" s="9" t="s">
        <v>267</v>
      </c>
      <c r="AF639" t="str">
        <f t="shared" ref="AF639" si="126">_xlfn.CONCAT(N639,Q639)</f>
        <v>Quadro EléctricoQuadro Eléctrico de Instrumentação</v>
      </c>
      <c r="AG639" s="28" t="str">
        <f>VLOOKUP(AF639,Imagens!$C$2:$D$42,2,FALSE)</f>
        <v>65d1346bf3835</v>
      </c>
      <c r="AH639" t="str">
        <f>_xlfn.CONCAT(Imagens!$H$2,'registo_ativo-CDs (1)'!AG639)</f>
        <v>assets/imagens/products/65d1346bf3835</v>
      </c>
      <c r="AI639" s="68">
        <v>45369</v>
      </c>
    </row>
    <row r="640" spans="1:35" ht="16.8" customHeight="1" x14ac:dyDescent="0.3">
      <c r="A640">
        <f t="shared" si="118"/>
        <v>15</v>
      </c>
      <c r="B640" t="str">
        <f t="shared" si="121"/>
        <v>PS22BBG141CME02</v>
      </c>
      <c r="C640" t="str">
        <f t="shared" si="122"/>
        <v>PSAA-CFIS--FUR-CME-02</v>
      </c>
      <c r="E640" t="s">
        <v>38</v>
      </c>
      <c r="F640" t="str">
        <f>VLOOKUP(E640,Localizacoes!$A$3:$B$100,2,FALSE)</f>
        <v>PSAA</v>
      </c>
      <c r="G640" t="str">
        <f>VLOOKUP(E640,ID!$A$3:$B$100,2,FALSE)</f>
        <v>PS</v>
      </c>
      <c r="H640" s="14" t="s">
        <v>604</v>
      </c>
      <c r="I640" t="str">
        <f>VLOOKUP(H640,Localizacoes!$C$3:$D$100,2,FALSE)</f>
        <v>CFIS</v>
      </c>
      <c r="J640">
        <f>VLOOKUP(H640,ID!$C$3:$D$100,2,FALSE)</f>
        <v>22</v>
      </c>
      <c r="K640" t="s">
        <v>274</v>
      </c>
      <c r="M640" t="str">
        <f>VLOOKUP(K640,ID!$E$3:$F$100,2,FALSE)</f>
        <v>BBG</v>
      </c>
      <c r="N640" t="s">
        <v>603</v>
      </c>
      <c r="O640" t="str">
        <f>VLOOKUP(N640,Localizacoes!$G$3:$H$100,2,FALSE)</f>
        <v>FUR</v>
      </c>
      <c r="P640">
        <f>VLOOKUP(N640,ID!$G$3:$H$100,2,FALSE)</f>
        <v>141</v>
      </c>
      <c r="Q640" t="s">
        <v>642</v>
      </c>
      <c r="R640" t="str">
        <f>VLOOKUP(Q640,Localizacoes!$I$3:$J$100,2,FALSE)</f>
        <v>CME</v>
      </c>
      <c r="S640" t="str">
        <f>VLOOKUP(Q640,ID!$I$3:$J$100,2,FALSE)</f>
        <v>CME</v>
      </c>
      <c r="T640" s="4" t="s">
        <v>186</v>
      </c>
      <c r="U640" t="s">
        <v>264</v>
      </c>
      <c r="Y640" t="s">
        <v>270</v>
      </c>
      <c r="Z640" t="str">
        <f t="shared" si="113"/>
        <v>Componentes mecânicos 02</v>
      </c>
      <c r="AD640" s="9" t="s">
        <v>7</v>
      </c>
      <c r="AF640" t="s">
        <v>1120</v>
      </c>
      <c r="AG640" s="28" t="str">
        <f>VLOOKUP(AF640,Imagens!$C$2:$D$42,2,FALSE)</f>
        <v>511e9f0a</v>
      </c>
      <c r="AH640" t="str">
        <f>_xlfn.CONCAT(Imagens!$H$2,'registo_ativo-CDs (1)'!AG640)</f>
        <v>assets/imagens/products/511e9f0a</v>
      </c>
      <c r="AI640" s="68">
        <v>45313</v>
      </c>
    </row>
    <row r="641" spans="1:35" ht="16.8" customHeight="1" x14ac:dyDescent="0.3">
      <c r="A641">
        <f t="shared" si="118"/>
        <v>15</v>
      </c>
      <c r="B641" t="str">
        <f t="shared" si="121"/>
        <v>PS22SQE152QEA02</v>
      </c>
      <c r="C641" t="str">
        <f t="shared" si="122"/>
        <v>PSAA-CFIS--QEL-QEA-02</v>
      </c>
      <c r="E641" t="s">
        <v>38</v>
      </c>
      <c r="F641" t="str">
        <f>VLOOKUP(E641,Localizacoes!$A$3:$B$100,2,FALSE)</f>
        <v>PSAA</v>
      </c>
      <c r="G641" t="str">
        <f>VLOOKUP(E641,ID!$A$3:$B$100,2,FALSE)</f>
        <v>PS</v>
      </c>
      <c r="H641" s="14" t="s">
        <v>604</v>
      </c>
      <c r="I641" t="str">
        <f>VLOOKUP(H641,Localizacoes!$C$3:$D$100,2,FALSE)</f>
        <v>CFIS</v>
      </c>
      <c r="J641">
        <f>VLOOKUP(H641,ID!$C$3:$D$100,2,FALSE)</f>
        <v>22</v>
      </c>
      <c r="K641" t="s">
        <v>494</v>
      </c>
      <c r="M641" t="str">
        <f>VLOOKUP(K641,ID!$E$3:$F$100,2,FALSE)</f>
        <v>SQE</v>
      </c>
      <c r="N641" t="s">
        <v>286</v>
      </c>
      <c r="O641" t="str">
        <f>VLOOKUP(N641,Localizacoes!$G$3:$H$100,2,FALSE)</f>
        <v>QEL</v>
      </c>
      <c r="P641">
        <f>VLOOKUP(N641,ID!$G$3:$H$100,2,FALSE)</f>
        <v>152</v>
      </c>
      <c r="Q641" t="s">
        <v>154</v>
      </c>
      <c r="R641" t="str">
        <f>VLOOKUP(Q641,Localizacoes!$I$3:$J$100,2,FALSE)</f>
        <v>QEA</v>
      </c>
      <c r="S641" t="str">
        <f>VLOOKUP(Q641,ID!$I$3:$J$100,2,FALSE)</f>
        <v>QEA</v>
      </c>
      <c r="T641" s="4" t="s">
        <v>186</v>
      </c>
      <c r="U641" t="s">
        <v>265</v>
      </c>
      <c r="Y641" t="s">
        <v>270</v>
      </c>
      <c r="Z641" t="str">
        <f t="shared" si="113"/>
        <v>Quadros Eléctricos de Arranque 02</v>
      </c>
      <c r="AD641" s="9" t="s">
        <v>267</v>
      </c>
      <c r="AF641" t="str">
        <f t="shared" ref="AF641:AF642" si="127">_xlfn.CONCAT(N641,Q641)</f>
        <v>Quadro EléctricoQuadros Eléctricos de Arranque</v>
      </c>
      <c r="AG641" s="28" t="str">
        <f>VLOOKUP(AF641,Imagens!$C$2:$D$42,2,FALSE)</f>
        <v>65e8d2fa35c12</v>
      </c>
      <c r="AH641" t="str">
        <f>_xlfn.CONCAT(Imagens!$H$2,'registo_ativo-CDs (1)'!AG641)</f>
        <v>assets/imagens/products/65e8d2fa35c12</v>
      </c>
      <c r="AI641" s="68">
        <v>45369</v>
      </c>
    </row>
    <row r="642" spans="1:35" ht="16.8" customHeight="1" x14ac:dyDescent="0.3">
      <c r="A642">
        <f t="shared" ref="A642:A643" si="128">LEN(B642)</f>
        <v>15</v>
      </c>
      <c r="B642" t="str">
        <f t="shared" si="121"/>
        <v>PS22ILU164ILL02</v>
      </c>
      <c r="C642" t="str">
        <f t="shared" si="122"/>
        <v>PSAA-CFIS--SIL-ILL-02</v>
      </c>
      <c r="E642" t="s">
        <v>38</v>
      </c>
      <c r="F642" t="str">
        <f>VLOOKUP(E642,Localizacoes!$A$3:$B$100,2,FALSE)</f>
        <v>PSAA</v>
      </c>
      <c r="G642" t="str">
        <f>VLOOKUP(E642,ID!$A$3:$B$100,2,FALSE)</f>
        <v>PS</v>
      </c>
      <c r="H642" s="14" t="s">
        <v>604</v>
      </c>
      <c r="I642" t="str">
        <f>VLOOKUP(H642,Localizacoes!$C$3:$D$100,2,FALSE)</f>
        <v>CFIS</v>
      </c>
      <c r="J642">
        <f>VLOOKUP(H642,ID!$C$3:$D$100,2,FALSE)</f>
        <v>22</v>
      </c>
      <c r="K642" t="s">
        <v>141</v>
      </c>
      <c r="M642" t="str">
        <f>VLOOKUP(K642,ID!$E$3:$F$100,2,FALSE)</f>
        <v>ILU</v>
      </c>
      <c r="N642" t="s">
        <v>688</v>
      </c>
      <c r="O642" t="str">
        <f>VLOOKUP(N642,Localizacoes!$G$3:$H$100,2,FALSE)</f>
        <v>SIL</v>
      </c>
      <c r="P642">
        <f>VLOOKUP(N642,ID!$G$3:$H$100,2,FALSE)</f>
        <v>164</v>
      </c>
      <c r="Q642" t="s">
        <v>141</v>
      </c>
      <c r="R642" t="str">
        <f>VLOOKUP(Q642,Localizacoes!$I$3:$J$100,2,FALSE)</f>
        <v>ILL</v>
      </c>
      <c r="S642" t="str">
        <f>VLOOKUP(Q642,ID!$I$3:$J$100,2,FALSE)</f>
        <v>ILL</v>
      </c>
      <c r="T642" s="4" t="s">
        <v>186</v>
      </c>
      <c r="U642" t="s">
        <v>265</v>
      </c>
      <c r="Y642" t="s">
        <v>270</v>
      </c>
      <c r="Z642" t="str">
        <f t="shared" si="113"/>
        <v>Iluminação 02</v>
      </c>
      <c r="AD642" s="9" t="s">
        <v>267</v>
      </c>
      <c r="AF642" t="str">
        <f t="shared" si="127"/>
        <v>Sistema de IluminaçãoIluminação</v>
      </c>
      <c r="AG642" s="28" t="str">
        <f>VLOOKUP(AF642,Imagens!$C$2:$D$42,2,FALSE)</f>
        <v>65e8e579bfe6c</v>
      </c>
      <c r="AH642" t="str">
        <f>_xlfn.CONCAT(Imagens!$H$2,'registo_ativo-CDs (1)'!AG642)</f>
        <v>assets/imagens/products/65e8e579bfe6c</v>
      </c>
      <c r="AI642" s="68">
        <v>45313</v>
      </c>
    </row>
    <row r="643" spans="1:35" ht="16.8" customHeight="1" x14ac:dyDescent="0.3">
      <c r="A643">
        <f t="shared" si="128"/>
        <v>15</v>
      </c>
      <c r="B643" t="str">
        <f t="shared" si="121"/>
        <v>PS22CAN152CAN02</v>
      </c>
      <c r="C643" t="str">
        <f t="shared" si="122"/>
        <v>PSAA-CFIS--QEL-CAN-02</v>
      </c>
      <c r="E643" t="s">
        <v>38</v>
      </c>
      <c r="F643" t="str">
        <f>VLOOKUP(E643,Localizacoes!$A$3:$B$100,2,FALSE)</f>
        <v>PSAA</v>
      </c>
      <c r="G643" t="str">
        <f>VLOOKUP(E643,ID!$A$3:$B$100,2,FALSE)</f>
        <v>PS</v>
      </c>
      <c r="H643" s="14" t="s">
        <v>604</v>
      </c>
      <c r="I643" t="str">
        <f>VLOOKUP(H643,Localizacoes!$C$3:$D$100,2,FALSE)</f>
        <v>CFIS</v>
      </c>
      <c r="J643">
        <f>VLOOKUP(H643,ID!$C$3:$D$100,2,FALSE)</f>
        <v>22</v>
      </c>
      <c r="K643" t="s">
        <v>101</v>
      </c>
      <c r="M643" t="str">
        <f>VLOOKUP(K643,ID!$E$3:$F$100,2,FALSE)</f>
        <v>CAN</v>
      </c>
      <c r="N643" t="s">
        <v>286</v>
      </c>
      <c r="O643" t="str">
        <f>VLOOKUP(N643,Localizacoes!$G$3:$H$100,2,FALSE)</f>
        <v>QEL</v>
      </c>
      <c r="P643">
        <f>VLOOKUP(N643,ID!$G$3:$H$100,2,FALSE)</f>
        <v>152</v>
      </c>
      <c r="Q643" t="s">
        <v>101</v>
      </c>
      <c r="R643" t="str">
        <f>VLOOKUP(Q643,Localizacoes!$I$3:$J$100,2,FALSE)</f>
        <v>CAN</v>
      </c>
      <c r="S643" t="str">
        <f>VLOOKUP(Q643,ID!$I$3:$J$100,2,FALSE)</f>
        <v>CAN</v>
      </c>
      <c r="T643" s="4" t="s">
        <v>186</v>
      </c>
      <c r="U643" t="s">
        <v>265</v>
      </c>
      <c r="Y643" t="s">
        <v>270</v>
      </c>
      <c r="Z643" t="str">
        <f t="shared" si="113"/>
        <v>Canalização Eléctrica 02</v>
      </c>
      <c r="AD643" s="9" t="s">
        <v>266</v>
      </c>
      <c r="AF643" t="str">
        <f>_xlfn.CONCAT(N643,Q643)</f>
        <v>Quadro EléctricoCanalização Eléctrica</v>
      </c>
      <c r="AG643" s="28" t="str">
        <f>VLOOKUP(AF643,Imagens!$C$2:$D$42,2,FALSE)</f>
        <v>65e8e4bb71249</v>
      </c>
      <c r="AH643" t="str">
        <f>_xlfn.CONCAT(Imagens!$H$2,'registo_ativo-CDs (1)'!AG643)</f>
        <v>assets/imagens/products/65e8e4bb71249</v>
      </c>
      <c r="AI643" s="68">
        <v>45453</v>
      </c>
    </row>
    <row r="644" spans="1:35" ht="16.8" customHeight="1" x14ac:dyDescent="0.3">
      <c r="A644">
        <f>LEN(B644)</f>
        <v>15</v>
      </c>
      <c r="B644" t="str">
        <f t="shared" si="121"/>
        <v>PS22BBG152CME03</v>
      </c>
      <c r="C644" t="str">
        <f t="shared" si="122"/>
        <v>PSAA-CFIS--QEL-CME-03</v>
      </c>
      <c r="E644" t="s">
        <v>38</v>
      </c>
      <c r="F644" t="str">
        <f>VLOOKUP(E644,Localizacoes!$A$3:$B$100,2,FALSE)</f>
        <v>PSAA</v>
      </c>
      <c r="G644" t="str">
        <f>VLOOKUP(E644,ID!$A$3:$B$100,2,FALSE)</f>
        <v>PS</v>
      </c>
      <c r="H644" s="14" t="s">
        <v>604</v>
      </c>
      <c r="I644" t="str">
        <f>VLOOKUP(H644,Localizacoes!$C$3:$D$100,2,FALSE)</f>
        <v>CFIS</v>
      </c>
      <c r="J644">
        <f>VLOOKUP(H644,ID!$C$3:$D$100,2,FALSE)</f>
        <v>22</v>
      </c>
      <c r="K644" t="s">
        <v>274</v>
      </c>
      <c r="M644" t="str">
        <f>VLOOKUP(K644,ID!$E$3:$F$100,2,FALSE)</f>
        <v>BBG</v>
      </c>
      <c r="N644" t="s">
        <v>286</v>
      </c>
      <c r="O644" t="str">
        <f>VLOOKUP(N644,Localizacoes!$G$3:$H$100,2,FALSE)</f>
        <v>QEL</v>
      </c>
      <c r="P644">
        <f>VLOOKUP(N644,ID!$G$3:$H$100,2,FALSE)</f>
        <v>152</v>
      </c>
      <c r="Q644" t="s">
        <v>642</v>
      </c>
      <c r="R644" t="str">
        <f>VLOOKUP(Q644,Localizacoes!$I$3:$J$100,2,FALSE)</f>
        <v>CME</v>
      </c>
      <c r="S644" t="str">
        <f>VLOOKUP(Q644,ID!$I$3:$J$100,2,FALSE)</f>
        <v>CME</v>
      </c>
      <c r="T644" s="4" t="s">
        <v>187</v>
      </c>
      <c r="U644" t="s">
        <v>264</v>
      </c>
      <c r="Y644" t="s">
        <v>270</v>
      </c>
      <c r="Z644" t="str">
        <f t="shared" si="113"/>
        <v>Componentes mecânicos 03</v>
      </c>
      <c r="AD644" s="9" t="s">
        <v>7</v>
      </c>
      <c r="AF644" t="s">
        <v>1120</v>
      </c>
      <c r="AG644" s="28" t="str">
        <f>VLOOKUP(AF644,Imagens!$C$2:$D$42,2,FALSE)</f>
        <v>511e9f0a</v>
      </c>
      <c r="AH644" t="str">
        <f>_xlfn.CONCAT(Imagens!$H$2,'registo_ativo-CDs (1)'!AG644)</f>
        <v>assets/imagens/products/511e9f0a</v>
      </c>
      <c r="AI644" s="68">
        <v>45313</v>
      </c>
    </row>
    <row r="645" spans="1:35" ht="16.8" customHeight="1" x14ac:dyDescent="0.3">
      <c r="A645">
        <f>LEN(B645)</f>
        <v>15</v>
      </c>
      <c r="B645" t="str">
        <f t="shared" si="121"/>
        <v>PS22SQE141QEA03</v>
      </c>
      <c r="C645" t="str">
        <f t="shared" si="122"/>
        <v>PSAA-CFIS--FUR-QEA-03</v>
      </c>
      <c r="E645" t="s">
        <v>38</v>
      </c>
      <c r="F645" t="str">
        <f>VLOOKUP(E645,Localizacoes!$A$3:$B$100,2,FALSE)</f>
        <v>PSAA</v>
      </c>
      <c r="G645" t="str">
        <f>VLOOKUP(E645,ID!$A$3:$B$100,2,FALSE)</f>
        <v>PS</v>
      </c>
      <c r="H645" s="14" t="s">
        <v>604</v>
      </c>
      <c r="I645" t="str">
        <f>VLOOKUP(H645,Localizacoes!$C$3:$D$100,2,FALSE)</f>
        <v>CFIS</v>
      </c>
      <c r="J645">
        <f>VLOOKUP(H645,ID!$C$3:$D$100,2,FALSE)</f>
        <v>22</v>
      </c>
      <c r="K645" t="s">
        <v>494</v>
      </c>
      <c r="M645" t="str">
        <f>VLOOKUP(K645,ID!$E$3:$F$100,2,FALSE)</f>
        <v>SQE</v>
      </c>
      <c r="N645" t="s">
        <v>603</v>
      </c>
      <c r="O645" t="str">
        <f>VLOOKUP(N645,Localizacoes!$G$3:$H$100,2,FALSE)</f>
        <v>FUR</v>
      </c>
      <c r="P645">
        <f>VLOOKUP(N645,ID!$G$3:$H$100,2,FALSE)</f>
        <v>141</v>
      </c>
      <c r="Q645" t="s">
        <v>154</v>
      </c>
      <c r="R645" t="str">
        <f>VLOOKUP(Q645,Localizacoes!$I$3:$J$100,2,FALSE)</f>
        <v>QEA</v>
      </c>
      <c r="S645" t="str">
        <f>VLOOKUP(Q645,ID!$I$3:$J$100,2,FALSE)</f>
        <v>QEA</v>
      </c>
      <c r="T645" s="4" t="s">
        <v>187</v>
      </c>
      <c r="U645" t="s">
        <v>265</v>
      </c>
      <c r="Y645" t="s">
        <v>270</v>
      </c>
      <c r="Z645" t="str">
        <f t="shared" si="113"/>
        <v>Quadros Eléctricos de Arranque 03</v>
      </c>
      <c r="AD645" s="9" t="s">
        <v>267</v>
      </c>
      <c r="AF645" t="str">
        <f t="shared" ref="AF645:AF646" si="129">_xlfn.CONCAT(N645,Q645)</f>
        <v>FuroQuadros Eléctricos de Arranque</v>
      </c>
      <c r="AG645" s="28" t="str">
        <f>VLOOKUP(AF645,Imagens!$C$2:$D$42,2,FALSE)</f>
        <v>65e8d2fa35c12</v>
      </c>
      <c r="AH645" t="str">
        <f>_xlfn.CONCAT(Imagens!$H$2,'registo_ativo-CDs (1)'!AG645)</f>
        <v>assets/imagens/products/65e8d2fa35c12</v>
      </c>
      <c r="AI645" s="68">
        <v>45369</v>
      </c>
    </row>
    <row r="646" spans="1:35" ht="16.8" customHeight="1" x14ac:dyDescent="0.3">
      <c r="A646">
        <f t="shared" ref="A646:A649" si="130">LEN(B646)</f>
        <v>15</v>
      </c>
      <c r="B646" t="str">
        <f t="shared" si="121"/>
        <v>PS22ILU164ILL03</v>
      </c>
      <c r="C646" t="str">
        <f t="shared" si="122"/>
        <v>PSAA-CFIS--SIL-ILL-03</v>
      </c>
      <c r="E646" t="s">
        <v>38</v>
      </c>
      <c r="F646" t="str">
        <f>VLOOKUP(E646,Localizacoes!$A$3:$B$100,2,FALSE)</f>
        <v>PSAA</v>
      </c>
      <c r="G646" t="str">
        <f>VLOOKUP(E646,ID!$A$3:$B$100,2,FALSE)</f>
        <v>PS</v>
      </c>
      <c r="H646" s="14" t="s">
        <v>604</v>
      </c>
      <c r="I646" t="str">
        <f>VLOOKUP(H646,Localizacoes!$C$3:$D$100,2,FALSE)</f>
        <v>CFIS</v>
      </c>
      <c r="J646">
        <f>VLOOKUP(H646,ID!$C$3:$D$100,2,FALSE)</f>
        <v>22</v>
      </c>
      <c r="K646" t="s">
        <v>141</v>
      </c>
      <c r="M646" t="str">
        <f>VLOOKUP(K646,ID!$E$3:$F$100,2,FALSE)</f>
        <v>ILU</v>
      </c>
      <c r="N646" t="s">
        <v>688</v>
      </c>
      <c r="O646" t="str">
        <f>VLOOKUP(N646,Localizacoes!$G$3:$H$100,2,FALSE)</f>
        <v>SIL</v>
      </c>
      <c r="P646">
        <f>VLOOKUP(N646,ID!$G$3:$H$100,2,FALSE)</f>
        <v>164</v>
      </c>
      <c r="Q646" t="s">
        <v>141</v>
      </c>
      <c r="R646" t="str">
        <f>VLOOKUP(Q646,Localizacoes!$I$3:$J$100,2,FALSE)</f>
        <v>ILL</v>
      </c>
      <c r="S646" t="str">
        <f>VLOOKUP(Q646,ID!$I$3:$J$100,2,FALSE)</f>
        <v>ILL</v>
      </c>
      <c r="T646" s="4" t="s">
        <v>187</v>
      </c>
      <c r="U646" t="s">
        <v>265</v>
      </c>
      <c r="Y646" t="s">
        <v>270</v>
      </c>
      <c r="Z646" t="str">
        <f t="shared" si="113"/>
        <v>Iluminação 03</v>
      </c>
      <c r="AD646" s="9" t="s">
        <v>267</v>
      </c>
      <c r="AF646" t="str">
        <f t="shared" si="129"/>
        <v>Sistema de IluminaçãoIluminação</v>
      </c>
      <c r="AG646" s="28" t="str">
        <f>VLOOKUP(AF646,Imagens!$C$2:$D$42,2,FALSE)</f>
        <v>65e8e579bfe6c</v>
      </c>
      <c r="AH646" t="str">
        <f>_xlfn.CONCAT(Imagens!$H$2,'registo_ativo-CDs (1)'!AG646)</f>
        <v>assets/imagens/products/65e8e579bfe6c</v>
      </c>
      <c r="AI646" s="68">
        <v>45313</v>
      </c>
    </row>
    <row r="647" spans="1:35" ht="16.8" customHeight="1" x14ac:dyDescent="0.3">
      <c r="A647">
        <f t="shared" ref="A647:A648" si="131">LEN(B647)</f>
        <v>15</v>
      </c>
      <c r="B647" t="str">
        <f t="shared" si="121"/>
        <v>PS22CAN152CAN03</v>
      </c>
      <c r="C647" t="str">
        <f t="shared" si="122"/>
        <v>PSAA-CFIS--QEL-CAN-03</v>
      </c>
      <c r="E647" t="s">
        <v>38</v>
      </c>
      <c r="F647" t="str">
        <f>VLOOKUP(E647,Localizacoes!$A$3:$B$100,2,FALSE)</f>
        <v>PSAA</v>
      </c>
      <c r="G647" t="str">
        <f>VLOOKUP(E647,ID!$A$3:$B$100,2,FALSE)</f>
        <v>PS</v>
      </c>
      <c r="H647" s="14" t="s">
        <v>604</v>
      </c>
      <c r="I647" t="str">
        <f>VLOOKUP(H647,Localizacoes!$C$3:$D$100,2,FALSE)</f>
        <v>CFIS</v>
      </c>
      <c r="J647">
        <f>VLOOKUP(H647,ID!$C$3:$D$100,2,FALSE)</f>
        <v>22</v>
      </c>
      <c r="K647" t="s">
        <v>101</v>
      </c>
      <c r="M647" t="str">
        <f>VLOOKUP(K647,ID!$E$3:$F$100,2,FALSE)</f>
        <v>CAN</v>
      </c>
      <c r="N647" t="s">
        <v>286</v>
      </c>
      <c r="O647" t="str">
        <f>VLOOKUP(N647,Localizacoes!$G$3:$H$100,2,FALSE)</f>
        <v>QEL</v>
      </c>
      <c r="P647">
        <f>VLOOKUP(N647,ID!$G$3:$H$100,2,FALSE)</f>
        <v>152</v>
      </c>
      <c r="Q647" t="s">
        <v>101</v>
      </c>
      <c r="R647" t="str">
        <f>VLOOKUP(Q647,Localizacoes!$I$3:$J$100,2,FALSE)</f>
        <v>CAN</v>
      </c>
      <c r="S647" t="str">
        <f>VLOOKUP(Q647,ID!$I$3:$J$100,2,FALSE)</f>
        <v>CAN</v>
      </c>
      <c r="T647" s="4" t="s">
        <v>187</v>
      </c>
      <c r="U647" t="s">
        <v>265</v>
      </c>
      <c r="Y647" t="s">
        <v>270</v>
      </c>
      <c r="Z647" t="str">
        <f t="shared" si="113"/>
        <v>Canalização Eléctrica 03</v>
      </c>
      <c r="AD647" s="9" t="s">
        <v>266</v>
      </c>
      <c r="AF647" t="str">
        <f>_xlfn.CONCAT(N647,Q647)</f>
        <v>Quadro EléctricoCanalização Eléctrica</v>
      </c>
      <c r="AG647" s="28" t="str">
        <f>VLOOKUP(AF647,Imagens!$C$2:$D$42,2,FALSE)</f>
        <v>65e8e4bb71249</v>
      </c>
      <c r="AH647" t="str">
        <f>_xlfn.CONCAT(Imagens!$H$2,'registo_ativo-CDs (1)'!AG647)</f>
        <v>assets/imagens/products/65e8e4bb71249</v>
      </c>
      <c r="AI647" s="68">
        <v>45453</v>
      </c>
    </row>
    <row r="648" spans="1:35" ht="16.8" customHeight="1" x14ac:dyDescent="0.3">
      <c r="A648">
        <f t="shared" si="131"/>
        <v>15</v>
      </c>
      <c r="B648" t="str">
        <f t="shared" si="121"/>
        <v>PS22BBG152CME04</v>
      </c>
      <c r="C648" t="str">
        <f t="shared" si="122"/>
        <v>PSAA-CFIS--QEL-CME-04</v>
      </c>
      <c r="E648" t="s">
        <v>38</v>
      </c>
      <c r="F648" t="str">
        <f>VLOOKUP(E648,Localizacoes!$A$3:$B$100,2,FALSE)</f>
        <v>PSAA</v>
      </c>
      <c r="G648" t="str">
        <f>VLOOKUP(E648,ID!$A$3:$B$100,2,FALSE)</f>
        <v>PS</v>
      </c>
      <c r="H648" s="14" t="s">
        <v>604</v>
      </c>
      <c r="I648" t="str">
        <f>VLOOKUP(H648,Localizacoes!$C$3:$D$100,2,FALSE)</f>
        <v>CFIS</v>
      </c>
      <c r="J648">
        <f>VLOOKUP(H648,ID!$C$3:$D$100,2,FALSE)</f>
        <v>22</v>
      </c>
      <c r="K648" t="s">
        <v>274</v>
      </c>
      <c r="M648" t="str">
        <f>VLOOKUP(K648,ID!$E$3:$F$100,2,FALSE)</f>
        <v>BBG</v>
      </c>
      <c r="N648" t="s">
        <v>286</v>
      </c>
      <c r="O648" t="str">
        <f>VLOOKUP(N648,Localizacoes!$G$3:$H$100,2,FALSE)</f>
        <v>QEL</v>
      </c>
      <c r="P648">
        <f>VLOOKUP(N648,ID!$G$3:$H$100,2,FALSE)</f>
        <v>152</v>
      </c>
      <c r="Q648" t="s">
        <v>642</v>
      </c>
      <c r="R648" t="str">
        <f>VLOOKUP(Q648,Localizacoes!$I$3:$J$100,2,FALSE)</f>
        <v>CME</v>
      </c>
      <c r="S648" t="str">
        <f>VLOOKUP(Q648,ID!$I$3:$J$100,2,FALSE)</f>
        <v>CME</v>
      </c>
      <c r="T648" s="4" t="s">
        <v>188</v>
      </c>
      <c r="U648" t="s">
        <v>264</v>
      </c>
      <c r="Y648" t="s">
        <v>270</v>
      </c>
      <c r="Z648" t="str">
        <f t="shared" si="113"/>
        <v>Componentes mecânicos 04</v>
      </c>
      <c r="AD648" s="9" t="s">
        <v>7</v>
      </c>
      <c r="AF648" t="s">
        <v>1120</v>
      </c>
      <c r="AG648" s="28" t="str">
        <f>VLOOKUP(AF648,Imagens!$C$2:$D$42,2,FALSE)</f>
        <v>511e9f0a</v>
      </c>
      <c r="AH648" t="str">
        <f>_xlfn.CONCAT(Imagens!$H$2,'registo_ativo-CDs (1)'!AG648)</f>
        <v>assets/imagens/products/511e9f0a</v>
      </c>
      <c r="AI648" s="68">
        <v>45313</v>
      </c>
    </row>
    <row r="649" spans="1:35" ht="16.8" customHeight="1" x14ac:dyDescent="0.3">
      <c r="A649">
        <f t="shared" si="130"/>
        <v>15</v>
      </c>
      <c r="B649" t="str">
        <f t="shared" si="121"/>
        <v>PS22SQE152QEA04</v>
      </c>
      <c r="C649" t="str">
        <f t="shared" si="122"/>
        <v>PSAA-CFIS--QEL-QEA-04</v>
      </c>
      <c r="E649" t="s">
        <v>38</v>
      </c>
      <c r="F649" t="str">
        <f>VLOOKUP(E649,Localizacoes!$A$3:$B$100,2,FALSE)</f>
        <v>PSAA</v>
      </c>
      <c r="G649" t="str">
        <f>VLOOKUP(E649,ID!$A$3:$B$100,2,FALSE)</f>
        <v>PS</v>
      </c>
      <c r="H649" s="14" t="s">
        <v>604</v>
      </c>
      <c r="I649" t="str">
        <f>VLOOKUP(H649,Localizacoes!$C$3:$D$100,2,FALSE)</f>
        <v>CFIS</v>
      </c>
      <c r="J649">
        <f>VLOOKUP(H649,ID!$C$3:$D$100,2,FALSE)</f>
        <v>22</v>
      </c>
      <c r="K649" t="s">
        <v>494</v>
      </c>
      <c r="M649" t="str">
        <f>VLOOKUP(K649,ID!$E$3:$F$100,2,FALSE)</f>
        <v>SQE</v>
      </c>
      <c r="N649" t="s">
        <v>286</v>
      </c>
      <c r="O649" t="str">
        <f>VLOOKUP(N649,Localizacoes!$G$3:$H$100,2,FALSE)</f>
        <v>QEL</v>
      </c>
      <c r="P649">
        <f>VLOOKUP(N649,ID!$G$3:$H$100,2,FALSE)</f>
        <v>152</v>
      </c>
      <c r="Q649" t="s">
        <v>154</v>
      </c>
      <c r="R649" t="str">
        <f>VLOOKUP(Q649,Localizacoes!$I$3:$J$100,2,FALSE)</f>
        <v>QEA</v>
      </c>
      <c r="S649" t="str">
        <f>VLOOKUP(Q649,ID!$I$3:$J$100,2,FALSE)</f>
        <v>QEA</v>
      </c>
      <c r="T649" s="4" t="s">
        <v>188</v>
      </c>
      <c r="U649" t="s">
        <v>265</v>
      </c>
      <c r="Y649" t="s">
        <v>270</v>
      </c>
      <c r="Z649" t="str">
        <f t="shared" si="113"/>
        <v>Quadros Eléctricos de Arranque 04</v>
      </c>
      <c r="AD649" s="9" t="s">
        <v>267</v>
      </c>
      <c r="AF649" t="str">
        <f t="shared" ref="AF649:AF650" si="132">_xlfn.CONCAT(N649,Q649)</f>
        <v>Quadro EléctricoQuadros Eléctricos de Arranque</v>
      </c>
      <c r="AG649" s="28" t="str">
        <f>VLOOKUP(AF649,Imagens!$C$2:$D$42,2,FALSE)</f>
        <v>65e8d2fa35c12</v>
      </c>
      <c r="AH649" t="str">
        <f>_xlfn.CONCAT(Imagens!$H$2,'registo_ativo-CDs (1)'!AG649)</f>
        <v>assets/imagens/products/65e8d2fa35c12</v>
      </c>
      <c r="AI649" s="68">
        <v>45369</v>
      </c>
    </row>
    <row r="650" spans="1:35" ht="16.8" customHeight="1" x14ac:dyDescent="0.3">
      <c r="A650">
        <f>LEN(B650)</f>
        <v>15</v>
      </c>
      <c r="B650" t="str">
        <f t="shared" si="121"/>
        <v>PS22ILU164ILL04</v>
      </c>
      <c r="C650" t="str">
        <f t="shared" si="122"/>
        <v>PSAA-CFIS--SIL-ILL-04</v>
      </c>
      <c r="E650" t="s">
        <v>38</v>
      </c>
      <c r="F650" t="str">
        <f>VLOOKUP(E650,Localizacoes!$A$3:$B$100,2,FALSE)</f>
        <v>PSAA</v>
      </c>
      <c r="G650" t="str">
        <f>VLOOKUP(E650,ID!$A$3:$B$100,2,FALSE)</f>
        <v>PS</v>
      </c>
      <c r="H650" s="14" t="s">
        <v>604</v>
      </c>
      <c r="I650" t="str">
        <f>VLOOKUP(H650,Localizacoes!$C$3:$D$100,2,FALSE)</f>
        <v>CFIS</v>
      </c>
      <c r="J650">
        <f>VLOOKUP(H650,ID!$C$3:$D$100,2,FALSE)</f>
        <v>22</v>
      </c>
      <c r="K650" t="s">
        <v>141</v>
      </c>
      <c r="M650" t="str">
        <f>VLOOKUP(K650,ID!$E$3:$F$100,2,FALSE)</f>
        <v>ILU</v>
      </c>
      <c r="N650" t="s">
        <v>688</v>
      </c>
      <c r="O650" t="str">
        <f>VLOOKUP(N650,Localizacoes!$G$3:$H$100,2,FALSE)</f>
        <v>SIL</v>
      </c>
      <c r="P650">
        <f>VLOOKUP(N650,ID!$G$3:$H$100,2,FALSE)</f>
        <v>164</v>
      </c>
      <c r="Q650" t="s">
        <v>141</v>
      </c>
      <c r="R650" t="str">
        <f>VLOOKUP(Q650,Localizacoes!$I$3:$J$100,2,FALSE)</f>
        <v>ILL</v>
      </c>
      <c r="S650" t="str">
        <f>VLOOKUP(Q650,ID!$I$3:$J$100,2,FALSE)</f>
        <v>ILL</v>
      </c>
      <c r="T650" s="4" t="s">
        <v>188</v>
      </c>
      <c r="U650" t="s">
        <v>265</v>
      </c>
      <c r="Y650" t="s">
        <v>270</v>
      </c>
      <c r="Z650" t="str">
        <f t="shared" si="113"/>
        <v>Iluminação 04</v>
      </c>
      <c r="AD650" s="9" t="s">
        <v>267</v>
      </c>
      <c r="AF650" t="str">
        <f t="shared" si="132"/>
        <v>Sistema de IluminaçãoIluminação</v>
      </c>
      <c r="AG650" s="28" t="str">
        <f>VLOOKUP(AF650,Imagens!$C$2:$D$42,2,FALSE)</f>
        <v>65e8e579bfe6c</v>
      </c>
      <c r="AH650" t="str">
        <f>_xlfn.CONCAT(Imagens!$H$2,'registo_ativo-CDs (1)'!AG650)</f>
        <v>assets/imagens/products/65e8e579bfe6c</v>
      </c>
      <c r="AI650" s="68">
        <v>45313</v>
      </c>
    </row>
    <row r="651" spans="1:35" ht="16.8" customHeight="1" x14ac:dyDescent="0.3">
      <c r="A651">
        <f>LEN(B651)</f>
        <v>15</v>
      </c>
      <c r="B651" t="str">
        <f t="shared" si="121"/>
        <v>PS22CAN152CAN04</v>
      </c>
      <c r="C651" t="str">
        <f t="shared" si="122"/>
        <v>PSAA-CFIS--QEL-CAN-04</v>
      </c>
      <c r="E651" t="s">
        <v>38</v>
      </c>
      <c r="F651" t="str">
        <f>VLOOKUP(E651,Localizacoes!$A$3:$B$100,2,FALSE)</f>
        <v>PSAA</v>
      </c>
      <c r="G651" t="str">
        <f>VLOOKUP(E651,ID!$A$3:$B$100,2,FALSE)</f>
        <v>PS</v>
      </c>
      <c r="H651" s="14" t="s">
        <v>604</v>
      </c>
      <c r="I651" t="str">
        <f>VLOOKUP(H651,Localizacoes!$C$3:$D$100,2,FALSE)</f>
        <v>CFIS</v>
      </c>
      <c r="J651">
        <f>VLOOKUP(H651,ID!$C$3:$D$100,2,FALSE)</f>
        <v>22</v>
      </c>
      <c r="K651" t="s">
        <v>101</v>
      </c>
      <c r="M651" t="str">
        <f>VLOOKUP(K651,ID!$E$3:$F$100,2,FALSE)</f>
        <v>CAN</v>
      </c>
      <c r="N651" t="s">
        <v>286</v>
      </c>
      <c r="O651" t="str">
        <f>VLOOKUP(N651,Localizacoes!$G$3:$H$100,2,FALSE)</f>
        <v>QEL</v>
      </c>
      <c r="P651">
        <f>VLOOKUP(N651,ID!$G$3:$H$100,2,FALSE)</f>
        <v>152</v>
      </c>
      <c r="Q651" t="s">
        <v>101</v>
      </c>
      <c r="R651" t="str">
        <f>VLOOKUP(Q651,Localizacoes!$I$3:$J$100,2,FALSE)</f>
        <v>CAN</v>
      </c>
      <c r="S651" t="str">
        <f>VLOOKUP(Q651,ID!$I$3:$J$100,2,FALSE)</f>
        <v>CAN</v>
      </c>
      <c r="T651" s="4" t="s">
        <v>188</v>
      </c>
      <c r="U651" t="s">
        <v>265</v>
      </c>
      <c r="Y651" t="s">
        <v>270</v>
      </c>
      <c r="Z651" t="str">
        <f t="shared" si="113"/>
        <v>Canalização Eléctrica 04</v>
      </c>
      <c r="AD651" s="9" t="s">
        <v>266</v>
      </c>
      <c r="AF651" t="str">
        <f>_xlfn.CONCAT(N651,Q651)</f>
        <v>Quadro EléctricoCanalização Eléctrica</v>
      </c>
      <c r="AG651" s="28" t="str">
        <f>VLOOKUP(AF651,Imagens!$C$2:$D$42,2,FALSE)</f>
        <v>65e8e4bb71249</v>
      </c>
      <c r="AH651" t="str">
        <f>_xlfn.CONCAT(Imagens!$H$2,'registo_ativo-CDs (1)'!AG651)</f>
        <v>assets/imagens/products/65e8e4bb71249</v>
      </c>
      <c r="AI651" s="68">
        <v>45453</v>
      </c>
    </row>
    <row r="652" spans="1:35" ht="16.8" customHeight="1" x14ac:dyDescent="0.3">
      <c r="A652">
        <f>LEN(B652)</f>
        <v>15</v>
      </c>
      <c r="B652" t="str">
        <f t="shared" si="121"/>
        <v>PS22ILU164ILL04</v>
      </c>
      <c r="C652" t="str">
        <f t="shared" si="122"/>
        <v>PSAA-CFIS--SIL-ILL-04</v>
      </c>
      <c r="E652" t="s">
        <v>38</v>
      </c>
      <c r="F652" t="str">
        <f>VLOOKUP(E652,Localizacoes!$A$3:$B$100,2,FALSE)</f>
        <v>PSAA</v>
      </c>
      <c r="G652" t="str">
        <f>VLOOKUP(E652,ID!$A$3:$B$100,2,FALSE)</f>
        <v>PS</v>
      </c>
      <c r="H652" s="14" t="s">
        <v>604</v>
      </c>
      <c r="I652" t="str">
        <f>VLOOKUP(H652,Localizacoes!$C$3:$D$100,2,FALSE)</f>
        <v>CFIS</v>
      </c>
      <c r="J652">
        <f>VLOOKUP(H652,ID!$C$3:$D$100,2,FALSE)</f>
        <v>22</v>
      </c>
      <c r="K652" t="s">
        <v>141</v>
      </c>
      <c r="M652" t="str">
        <f>VLOOKUP(K652,ID!$E$3:$F$100,2,FALSE)</f>
        <v>ILU</v>
      </c>
      <c r="N652" t="s">
        <v>688</v>
      </c>
      <c r="O652" t="str">
        <f>VLOOKUP(N652,Localizacoes!$G$3:$H$100,2,FALSE)</f>
        <v>SIL</v>
      </c>
      <c r="P652">
        <f>VLOOKUP(N652,ID!$G$3:$H$100,2,FALSE)</f>
        <v>164</v>
      </c>
      <c r="Q652" t="s">
        <v>141</v>
      </c>
      <c r="R652" t="str">
        <f>VLOOKUP(Q652,Localizacoes!$I$3:$J$100,2,FALSE)</f>
        <v>ILL</v>
      </c>
      <c r="S652" t="str">
        <f>VLOOKUP(Q652,ID!$I$3:$J$100,2,FALSE)</f>
        <v>ILL</v>
      </c>
      <c r="T652" s="4" t="s">
        <v>188</v>
      </c>
      <c r="U652" t="s">
        <v>265</v>
      </c>
      <c r="Y652" t="s">
        <v>270</v>
      </c>
      <c r="Z652" t="str">
        <f t="shared" si="113"/>
        <v>Iluminação 04</v>
      </c>
      <c r="AD652" s="9" t="s">
        <v>267</v>
      </c>
      <c r="AF652" t="str">
        <f t="shared" ref="AF652:AF697" si="133">_xlfn.CONCAT(N652,Q652)</f>
        <v>Sistema de IluminaçãoIluminação</v>
      </c>
      <c r="AG652" s="28" t="str">
        <f>VLOOKUP(AF652,Imagens!$C$2:$D$42,2,FALSE)</f>
        <v>65e8e579bfe6c</v>
      </c>
      <c r="AH652" t="str">
        <f>_xlfn.CONCAT(Imagens!$H$2,'registo_ativo-CDs (1)'!AG652)</f>
        <v>assets/imagens/products/65e8e579bfe6c</v>
      </c>
      <c r="AI652" s="68">
        <v>45313</v>
      </c>
    </row>
    <row r="653" spans="1:35" ht="16.8" customHeight="1" x14ac:dyDescent="0.3">
      <c r="A653">
        <f t="shared" ref="A653:A716" si="134">LEN(B653)</f>
        <v>15</v>
      </c>
      <c r="B653" t="str">
        <f t="shared" si="121"/>
        <v>PS22CAN141CAN04</v>
      </c>
      <c r="C653" t="str">
        <f t="shared" si="122"/>
        <v>PSAA-CFIS--FUR-CAN-04</v>
      </c>
      <c r="E653" t="s">
        <v>38</v>
      </c>
      <c r="F653" t="str">
        <f>VLOOKUP(E653,Localizacoes!$A$3:$B$100,2,FALSE)</f>
        <v>PSAA</v>
      </c>
      <c r="G653" t="str">
        <f>VLOOKUP(E653,ID!$A$3:$B$100,2,FALSE)</f>
        <v>PS</v>
      </c>
      <c r="H653" s="14" t="s">
        <v>604</v>
      </c>
      <c r="I653" t="str">
        <f>VLOOKUP(H653,Localizacoes!$C$3:$D$100,2,FALSE)</f>
        <v>CFIS</v>
      </c>
      <c r="J653">
        <f>VLOOKUP(H653,ID!$C$3:$D$100,2,FALSE)</f>
        <v>22</v>
      </c>
      <c r="K653" t="s">
        <v>101</v>
      </c>
      <c r="M653" t="str">
        <f>VLOOKUP(K653,ID!$E$3:$F$100,2,FALSE)</f>
        <v>CAN</v>
      </c>
      <c r="N653" t="s">
        <v>603</v>
      </c>
      <c r="O653" t="str">
        <f>VLOOKUP(N653,Localizacoes!$G$3:$H$100,2,FALSE)</f>
        <v>FUR</v>
      </c>
      <c r="P653">
        <f>VLOOKUP(N653,ID!$G$3:$H$100,2,FALSE)</f>
        <v>141</v>
      </c>
      <c r="Q653" t="s">
        <v>101</v>
      </c>
      <c r="R653" t="str">
        <f>VLOOKUP(Q653,Localizacoes!$I$3:$J$100,2,FALSE)</f>
        <v>CAN</v>
      </c>
      <c r="S653" t="str">
        <f>VLOOKUP(Q653,ID!$I$3:$J$100,2,FALSE)</f>
        <v>CAN</v>
      </c>
      <c r="T653" s="4" t="s">
        <v>188</v>
      </c>
      <c r="U653" t="s">
        <v>265</v>
      </c>
      <c r="Y653" t="s">
        <v>270</v>
      </c>
      <c r="Z653" t="str">
        <f t="shared" si="113"/>
        <v>Canalização Eléctrica 04</v>
      </c>
      <c r="AD653" s="9" t="s">
        <v>266</v>
      </c>
      <c r="AF653" t="str">
        <f t="shared" si="133"/>
        <v>FuroCanalização Eléctrica</v>
      </c>
      <c r="AG653" s="28" t="e">
        <f>VLOOKUP(AF653,Imagens!$C$2:$D$42,2,FALSE)</f>
        <v>#N/A</v>
      </c>
      <c r="AH653" t="e">
        <f>_xlfn.CONCAT(Imagens!$H$2,'registo_ativo-CDs (1)'!AG653)</f>
        <v>#N/A</v>
      </c>
      <c r="AI653" s="68">
        <v>45453</v>
      </c>
    </row>
    <row r="654" spans="1:35" ht="16.8" customHeight="1" x14ac:dyDescent="0.3">
      <c r="A654">
        <f t="shared" si="134"/>
        <v>15</v>
      </c>
      <c r="B654" t="str">
        <f t="shared" si="121"/>
        <v>PS22BBG152CME05</v>
      </c>
      <c r="C654" t="str">
        <f t="shared" si="122"/>
        <v>PSAA-CFIS--QEL-CME-05</v>
      </c>
      <c r="E654" t="s">
        <v>38</v>
      </c>
      <c r="F654" t="str">
        <f>VLOOKUP(E654,Localizacoes!$A$3:$B$100,2,FALSE)</f>
        <v>PSAA</v>
      </c>
      <c r="G654" t="str">
        <f>VLOOKUP(E654,ID!$A$3:$B$100,2,FALSE)</f>
        <v>PS</v>
      </c>
      <c r="H654" s="14" t="s">
        <v>604</v>
      </c>
      <c r="I654" t="str">
        <f>VLOOKUP(H654,Localizacoes!$C$3:$D$100,2,FALSE)</f>
        <v>CFIS</v>
      </c>
      <c r="J654">
        <f>VLOOKUP(H654,ID!$C$3:$D$100,2,FALSE)</f>
        <v>22</v>
      </c>
      <c r="K654" t="s">
        <v>274</v>
      </c>
      <c r="M654" t="str">
        <f>VLOOKUP(K654,ID!$E$3:$F$100,2,FALSE)</f>
        <v>BBG</v>
      </c>
      <c r="N654" t="s">
        <v>286</v>
      </c>
      <c r="O654" t="str">
        <f>VLOOKUP(N654,Localizacoes!$G$3:$H$100,2,FALSE)</f>
        <v>QEL</v>
      </c>
      <c r="P654">
        <f>VLOOKUP(N654,ID!$G$3:$H$100,2,FALSE)</f>
        <v>152</v>
      </c>
      <c r="Q654" t="s">
        <v>642</v>
      </c>
      <c r="R654" t="str">
        <f>VLOOKUP(Q654,Localizacoes!$I$3:$J$100,2,FALSE)</f>
        <v>CME</v>
      </c>
      <c r="S654" t="str">
        <f>VLOOKUP(Q654,ID!$I$3:$J$100,2,FALSE)</f>
        <v>CME</v>
      </c>
      <c r="T654" s="4" t="s">
        <v>189</v>
      </c>
      <c r="U654" t="s">
        <v>264</v>
      </c>
      <c r="Y654" t="s">
        <v>270</v>
      </c>
      <c r="Z654" t="str">
        <f t="shared" ref="Z654:Z697" si="135">Q654&amp;" "&amp; T654</f>
        <v>Componentes mecânicos 05</v>
      </c>
      <c r="AD654" s="9" t="s">
        <v>7</v>
      </c>
      <c r="AF654" t="str">
        <f t="shared" si="133"/>
        <v>Quadro EléctricoComponentes mecânicos</v>
      </c>
      <c r="AG654" s="28" t="e">
        <f>VLOOKUP(AF654,Imagens!$C$2:$D$42,2,FALSE)</f>
        <v>#N/A</v>
      </c>
      <c r="AH654" t="e">
        <f>_xlfn.CONCAT(Imagens!$H$2,'registo_ativo-CDs (1)'!AG654)</f>
        <v>#N/A</v>
      </c>
      <c r="AI654" s="68">
        <v>45313</v>
      </c>
    </row>
    <row r="655" spans="1:35" ht="16.8" customHeight="1" x14ac:dyDescent="0.3">
      <c r="A655">
        <f t="shared" si="134"/>
        <v>15</v>
      </c>
      <c r="B655" t="str">
        <f t="shared" si="121"/>
        <v>PS22SQE152QEA05</v>
      </c>
      <c r="C655" t="str">
        <f t="shared" si="122"/>
        <v>PSAA-CFIS--QEL-QEA-05</v>
      </c>
      <c r="E655" t="s">
        <v>38</v>
      </c>
      <c r="F655" t="str">
        <f>VLOOKUP(E655,Localizacoes!$A$3:$B$100,2,FALSE)</f>
        <v>PSAA</v>
      </c>
      <c r="G655" t="str">
        <f>VLOOKUP(E655,ID!$A$3:$B$100,2,FALSE)</f>
        <v>PS</v>
      </c>
      <c r="H655" s="14" t="s">
        <v>604</v>
      </c>
      <c r="I655" t="str">
        <f>VLOOKUP(H655,Localizacoes!$C$3:$D$100,2,FALSE)</f>
        <v>CFIS</v>
      </c>
      <c r="J655">
        <f>VLOOKUP(H655,ID!$C$3:$D$100,2,FALSE)</f>
        <v>22</v>
      </c>
      <c r="K655" t="s">
        <v>494</v>
      </c>
      <c r="M655" t="str">
        <f>VLOOKUP(K655,ID!$E$3:$F$100,2,FALSE)</f>
        <v>SQE</v>
      </c>
      <c r="N655" t="s">
        <v>286</v>
      </c>
      <c r="O655" t="str">
        <f>VLOOKUP(N655,Localizacoes!$G$3:$H$100,2,FALSE)</f>
        <v>QEL</v>
      </c>
      <c r="P655">
        <f>VLOOKUP(N655,ID!$G$3:$H$100,2,FALSE)</f>
        <v>152</v>
      </c>
      <c r="Q655" t="s">
        <v>154</v>
      </c>
      <c r="R655" t="str">
        <f>VLOOKUP(Q655,Localizacoes!$I$3:$J$100,2,FALSE)</f>
        <v>QEA</v>
      </c>
      <c r="S655" t="str">
        <f>VLOOKUP(Q655,ID!$I$3:$J$100,2,FALSE)</f>
        <v>QEA</v>
      </c>
      <c r="T655" s="4" t="s">
        <v>189</v>
      </c>
      <c r="U655" t="s">
        <v>265</v>
      </c>
      <c r="Y655" t="s">
        <v>270</v>
      </c>
      <c r="Z655" t="str">
        <f t="shared" si="135"/>
        <v>Quadros Eléctricos de Arranque 05</v>
      </c>
      <c r="AD655" s="9" t="s">
        <v>267</v>
      </c>
      <c r="AF655" t="str">
        <f t="shared" si="133"/>
        <v>Quadro EléctricoQuadros Eléctricos de Arranque</v>
      </c>
      <c r="AG655" s="28" t="str">
        <f>VLOOKUP(AF655,Imagens!$C$2:$D$42,2,FALSE)</f>
        <v>65e8d2fa35c12</v>
      </c>
      <c r="AH655" t="str">
        <f>_xlfn.CONCAT(Imagens!$H$2,'registo_ativo-CDs (1)'!AG655)</f>
        <v>assets/imagens/products/65e8d2fa35c12</v>
      </c>
      <c r="AI655" s="68">
        <v>45369</v>
      </c>
    </row>
    <row r="656" spans="1:35" ht="16.8" customHeight="1" x14ac:dyDescent="0.3">
      <c r="A656">
        <f t="shared" si="134"/>
        <v>15</v>
      </c>
      <c r="B656" t="str">
        <f t="shared" si="121"/>
        <v>PS22ILU152ILL05</v>
      </c>
      <c r="C656" t="str">
        <f t="shared" si="122"/>
        <v>PSAA-CFIS--QEL-ILL-05</v>
      </c>
      <c r="E656" t="s">
        <v>38</v>
      </c>
      <c r="F656" t="str">
        <f>VLOOKUP(E656,Localizacoes!$A$3:$B$100,2,FALSE)</f>
        <v>PSAA</v>
      </c>
      <c r="G656" t="str">
        <f>VLOOKUP(E656,ID!$A$3:$B$100,2,FALSE)</f>
        <v>PS</v>
      </c>
      <c r="H656" s="14" t="s">
        <v>604</v>
      </c>
      <c r="I656" t="str">
        <f>VLOOKUP(H656,Localizacoes!$C$3:$D$100,2,FALSE)</f>
        <v>CFIS</v>
      </c>
      <c r="J656">
        <f>VLOOKUP(H656,ID!$C$3:$D$100,2,FALSE)</f>
        <v>22</v>
      </c>
      <c r="K656" t="s">
        <v>141</v>
      </c>
      <c r="M656" t="str">
        <f>VLOOKUP(K656,ID!$E$3:$F$100,2,FALSE)</f>
        <v>ILU</v>
      </c>
      <c r="N656" t="s">
        <v>286</v>
      </c>
      <c r="O656" t="str">
        <f>VLOOKUP(N656,Localizacoes!$G$3:$H$100,2,FALSE)</f>
        <v>QEL</v>
      </c>
      <c r="P656">
        <f>VLOOKUP(N656,ID!$G$3:$H$100,2,FALSE)</f>
        <v>152</v>
      </c>
      <c r="Q656" t="s">
        <v>141</v>
      </c>
      <c r="R656" t="str">
        <f>VLOOKUP(Q656,Localizacoes!$I$3:$J$100,2,FALSE)</f>
        <v>ILL</v>
      </c>
      <c r="S656" t="str">
        <f>VLOOKUP(Q656,ID!$I$3:$J$100,2,FALSE)</f>
        <v>ILL</v>
      </c>
      <c r="T656" s="4" t="s">
        <v>189</v>
      </c>
      <c r="U656" t="s">
        <v>265</v>
      </c>
      <c r="Y656" t="s">
        <v>270</v>
      </c>
      <c r="Z656" t="str">
        <f t="shared" si="135"/>
        <v>Iluminação 05</v>
      </c>
      <c r="AD656" s="9" t="s">
        <v>267</v>
      </c>
      <c r="AF656" t="str">
        <f t="shared" si="133"/>
        <v>Quadro EléctricoIluminação</v>
      </c>
      <c r="AG656" s="28" t="str">
        <f>VLOOKUP(AF656,Imagens!$C$2:$D$42,2,FALSE)</f>
        <v>65e8e579bfe6c</v>
      </c>
      <c r="AH656" t="str">
        <f>_xlfn.CONCAT(Imagens!$H$2,'registo_ativo-CDs (1)'!AG656)</f>
        <v>assets/imagens/products/65e8e579bfe6c</v>
      </c>
      <c r="AI656" s="68">
        <v>45313</v>
      </c>
    </row>
    <row r="657" spans="1:35" ht="16.8" customHeight="1" x14ac:dyDescent="0.3">
      <c r="A657">
        <f t="shared" si="134"/>
        <v>15</v>
      </c>
      <c r="B657" t="str">
        <f t="shared" si="121"/>
        <v>PS22CAN152CAN05</v>
      </c>
      <c r="C657" t="str">
        <f t="shared" si="122"/>
        <v>PSAA-CFIS--QEL-CAN-05</v>
      </c>
      <c r="E657" t="s">
        <v>38</v>
      </c>
      <c r="F657" t="str">
        <f>VLOOKUP(E657,Localizacoes!$A$3:$B$100,2,FALSE)</f>
        <v>PSAA</v>
      </c>
      <c r="G657" t="str">
        <f>VLOOKUP(E657,ID!$A$3:$B$100,2,FALSE)</f>
        <v>PS</v>
      </c>
      <c r="H657" s="14" t="s">
        <v>604</v>
      </c>
      <c r="I657" t="str">
        <f>VLOOKUP(H657,Localizacoes!$C$3:$D$100,2,FALSE)</f>
        <v>CFIS</v>
      </c>
      <c r="J657">
        <f>VLOOKUP(H657,ID!$C$3:$D$100,2,FALSE)</f>
        <v>22</v>
      </c>
      <c r="K657" t="s">
        <v>101</v>
      </c>
      <c r="M657" t="str">
        <f>VLOOKUP(K657,ID!$E$3:$F$100,2,FALSE)</f>
        <v>CAN</v>
      </c>
      <c r="N657" t="s">
        <v>286</v>
      </c>
      <c r="O657" t="str">
        <f>VLOOKUP(N657,Localizacoes!$G$3:$H$100,2,FALSE)</f>
        <v>QEL</v>
      </c>
      <c r="P657">
        <f>VLOOKUP(N657,ID!$G$3:$H$100,2,FALSE)</f>
        <v>152</v>
      </c>
      <c r="Q657" t="s">
        <v>101</v>
      </c>
      <c r="R657" t="str">
        <f>VLOOKUP(Q657,Localizacoes!$I$3:$J$100,2,FALSE)</f>
        <v>CAN</v>
      </c>
      <c r="S657" t="str">
        <f>VLOOKUP(Q657,ID!$I$3:$J$100,2,FALSE)</f>
        <v>CAN</v>
      </c>
      <c r="T657" s="4" t="s">
        <v>189</v>
      </c>
      <c r="U657" t="s">
        <v>265</v>
      </c>
      <c r="Y657" t="s">
        <v>270</v>
      </c>
      <c r="Z657" t="str">
        <f t="shared" si="135"/>
        <v>Canalização Eléctrica 05</v>
      </c>
      <c r="AD657" s="9" t="s">
        <v>266</v>
      </c>
      <c r="AF657" t="str">
        <f t="shared" si="133"/>
        <v>Quadro EléctricoCanalização Eléctrica</v>
      </c>
      <c r="AG657" s="28" t="str">
        <f>VLOOKUP(AF657,Imagens!$C$2:$D$42,2,FALSE)</f>
        <v>65e8e4bb71249</v>
      </c>
      <c r="AH657" t="str">
        <f>_xlfn.CONCAT(Imagens!$H$2,'registo_ativo-CDs (1)'!AG657)</f>
        <v>assets/imagens/products/65e8e4bb71249</v>
      </c>
      <c r="AI657" s="68">
        <v>45453</v>
      </c>
    </row>
    <row r="658" spans="1:35" ht="16.8" customHeight="1" x14ac:dyDescent="0.3">
      <c r="A658">
        <f t="shared" si="134"/>
        <v>15</v>
      </c>
      <c r="B658" t="str">
        <f t="shared" si="121"/>
        <v>PS22BBG141CME06</v>
      </c>
      <c r="C658" t="str">
        <f t="shared" si="122"/>
        <v>PSAA-CFIS--FUR-CME-06</v>
      </c>
      <c r="E658" t="s">
        <v>38</v>
      </c>
      <c r="F658" t="str">
        <f>VLOOKUP(E658,Localizacoes!$A$3:$B$100,2,FALSE)</f>
        <v>PSAA</v>
      </c>
      <c r="G658" t="str">
        <f>VLOOKUP(E658,ID!$A$3:$B$100,2,FALSE)</f>
        <v>PS</v>
      </c>
      <c r="H658" s="14" t="s">
        <v>604</v>
      </c>
      <c r="I658" t="str">
        <f>VLOOKUP(H658,Localizacoes!$C$3:$D$100,2,FALSE)</f>
        <v>CFIS</v>
      </c>
      <c r="J658">
        <f>VLOOKUP(H658,ID!$C$3:$D$100,2,FALSE)</f>
        <v>22</v>
      </c>
      <c r="K658" t="s">
        <v>274</v>
      </c>
      <c r="M658" t="str">
        <f>VLOOKUP(K658,ID!$E$3:$F$100,2,FALSE)</f>
        <v>BBG</v>
      </c>
      <c r="N658" t="s">
        <v>603</v>
      </c>
      <c r="O658" t="str">
        <f>VLOOKUP(N658,Localizacoes!$G$3:$H$100,2,FALSE)</f>
        <v>FUR</v>
      </c>
      <c r="P658">
        <f>VLOOKUP(N658,ID!$G$3:$H$100,2,FALSE)</f>
        <v>141</v>
      </c>
      <c r="Q658" t="s">
        <v>642</v>
      </c>
      <c r="R658" t="str">
        <f>VLOOKUP(Q658,Localizacoes!$I$3:$J$100,2,FALSE)</f>
        <v>CME</v>
      </c>
      <c r="S658" t="str">
        <f>VLOOKUP(Q658,ID!$I$3:$J$100,2,FALSE)</f>
        <v>CME</v>
      </c>
      <c r="T658" s="4" t="s">
        <v>190</v>
      </c>
      <c r="U658" t="s">
        <v>264</v>
      </c>
      <c r="Y658" t="s">
        <v>270</v>
      </c>
      <c r="Z658" t="str">
        <f t="shared" si="135"/>
        <v>Componentes mecânicos 06</v>
      </c>
      <c r="AD658" s="9" t="s">
        <v>7</v>
      </c>
      <c r="AF658" t="str">
        <f t="shared" si="133"/>
        <v>FuroComponentes mecânicos</v>
      </c>
      <c r="AG658" s="28" t="str">
        <f>VLOOKUP(AF658,Imagens!$C$2:$D$42,2,FALSE)</f>
        <v>511e9f0a</v>
      </c>
      <c r="AH658" t="str">
        <f>_xlfn.CONCAT(Imagens!$H$2,'registo_ativo-CDs (1)'!AG658)</f>
        <v>assets/imagens/products/511e9f0a</v>
      </c>
      <c r="AI658" s="68">
        <v>45313</v>
      </c>
    </row>
    <row r="659" spans="1:35" ht="16.8" customHeight="1" x14ac:dyDescent="0.3">
      <c r="A659">
        <f t="shared" si="134"/>
        <v>15</v>
      </c>
      <c r="B659" t="str">
        <f t="shared" si="121"/>
        <v>PS22SQE152QEA06</v>
      </c>
      <c r="C659" t="str">
        <f t="shared" si="122"/>
        <v>PSAA-CFIS--QEL-QEA-06</v>
      </c>
      <c r="E659" t="s">
        <v>38</v>
      </c>
      <c r="F659" t="str">
        <f>VLOOKUP(E659,Localizacoes!$A$3:$B$100,2,FALSE)</f>
        <v>PSAA</v>
      </c>
      <c r="G659" t="str">
        <f>VLOOKUP(E659,ID!$A$3:$B$100,2,FALSE)</f>
        <v>PS</v>
      </c>
      <c r="H659" s="14" t="s">
        <v>604</v>
      </c>
      <c r="I659" t="str">
        <f>VLOOKUP(H659,Localizacoes!$C$3:$D$100,2,FALSE)</f>
        <v>CFIS</v>
      </c>
      <c r="J659">
        <f>VLOOKUP(H659,ID!$C$3:$D$100,2,FALSE)</f>
        <v>22</v>
      </c>
      <c r="K659" t="s">
        <v>494</v>
      </c>
      <c r="M659" t="str">
        <f>VLOOKUP(K659,ID!$E$3:$F$100,2,FALSE)</f>
        <v>SQE</v>
      </c>
      <c r="N659" t="s">
        <v>286</v>
      </c>
      <c r="O659" t="str">
        <f>VLOOKUP(N659,Localizacoes!$G$3:$H$100,2,FALSE)</f>
        <v>QEL</v>
      </c>
      <c r="P659">
        <f>VLOOKUP(N659,ID!$G$3:$H$100,2,FALSE)</f>
        <v>152</v>
      </c>
      <c r="Q659" t="s">
        <v>154</v>
      </c>
      <c r="R659" t="str">
        <f>VLOOKUP(Q659,Localizacoes!$I$3:$J$100,2,FALSE)</f>
        <v>QEA</v>
      </c>
      <c r="S659" t="str">
        <f>VLOOKUP(Q659,ID!$I$3:$J$100,2,FALSE)</f>
        <v>QEA</v>
      </c>
      <c r="T659" s="4" t="s">
        <v>190</v>
      </c>
      <c r="U659" t="s">
        <v>265</v>
      </c>
      <c r="Y659" t="s">
        <v>270</v>
      </c>
      <c r="Z659" t="str">
        <f t="shared" si="135"/>
        <v>Quadros Eléctricos de Arranque 06</v>
      </c>
      <c r="AD659" s="9" t="s">
        <v>267</v>
      </c>
      <c r="AF659" t="str">
        <f t="shared" si="133"/>
        <v>Quadro EléctricoQuadros Eléctricos de Arranque</v>
      </c>
      <c r="AG659" s="28" t="str">
        <f>VLOOKUP(AF659,Imagens!$C$2:$D$42,2,FALSE)</f>
        <v>65e8d2fa35c12</v>
      </c>
      <c r="AH659" t="str">
        <f>_xlfn.CONCAT(Imagens!$H$2,'registo_ativo-CDs (1)'!AG659)</f>
        <v>assets/imagens/products/65e8d2fa35c12</v>
      </c>
      <c r="AI659" s="68">
        <v>45369</v>
      </c>
    </row>
    <row r="660" spans="1:35" ht="16.8" customHeight="1" x14ac:dyDescent="0.3">
      <c r="A660">
        <f t="shared" si="134"/>
        <v>15</v>
      </c>
      <c r="B660" t="str">
        <f t="shared" si="121"/>
        <v>PS22ILU164ILL06</v>
      </c>
      <c r="C660" t="str">
        <f t="shared" si="122"/>
        <v>PSAA-CFIS--SIL-ILL-06</v>
      </c>
      <c r="E660" t="s">
        <v>38</v>
      </c>
      <c r="F660" t="str">
        <f>VLOOKUP(E660,Localizacoes!$A$3:$B$100,2,FALSE)</f>
        <v>PSAA</v>
      </c>
      <c r="G660" t="str">
        <f>VLOOKUP(E660,ID!$A$3:$B$100,2,FALSE)</f>
        <v>PS</v>
      </c>
      <c r="H660" s="14" t="s">
        <v>604</v>
      </c>
      <c r="I660" t="str">
        <f>VLOOKUP(H660,Localizacoes!$C$3:$D$100,2,FALSE)</f>
        <v>CFIS</v>
      </c>
      <c r="J660">
        <f>VLOOKUP(H660,ID!$C$3:$D$100,2,FALSE)</f>
        <v>22</v>
      </c>
      <c r="K660" t="s">
        <v>141</v>
      </c>
      <c r="M660" t="str">
        <f>VLOOKUP(K660,ID!$E$3:$F$100,2,FALSE)</f>
        <v>ILU</v>
      </c>
      <c r="N660" t="s">
        <v>688</v>
      </c>
      <c r="O660" t="str">
        <f>VLOOKUP(N660,Localizacoes!$G$3:$H$100,2,FALSE)</f>
        <v>SIL</v>
      </c>
      <c r="P660">
        <f>VLOOKUP(N660,ID!$G$3:$H$100,2,FALSE)</f>
        <v>164</v>
      </c>
      <c r="Q660" t="s">
        <v>141</v>
      </c>
      <c r="R660" t="str">
        <f>VLOOKUP(Q660,Localizacoes!$I$3:$J$100,2,FALSE)</f>
        <v>ILL</v>
      </c>
      <c r="S660" t="str">
        <f>VLOOKUP(Q660,ID!$I$3:$J$100,2,FALSE)</f>
        <v>ILL</v>
      </c>
      <c r="T660" s="4" t="s">
        <v>190</v>
      </c>
      <c r="U660" t="s">
        <v>265</v>
      </c>
      <c r="Y660" t="s">
        <v>270</v>
      </c>
      <c r="Z660" t="str">
        <f t="shared" si="135"/>
        <v>Iluminação 06</v>
      </c>
      <c r="AD660" s="9" t="s">
        <v>267</v>
      </c>
      <c r="AF660" t="str">
        <f t="shared" si="133"/>
        <v>Sistema de IluminaçãoIluminação</v>
      </c>
      <c r="AG660" s="28" t="str">
        <f>VLOOKUP(AF660,Imagens!$C$2:$D$42,2,FALSE)</f>
        <v>65e8e579bfe6c</v>
      </c>
      <c r="AH660" t="str">
        <f>_xlfn.CONCAT(Imagens!$H$2,'registo_ativo-CDs (1)'!AG660)</f>
        <v>assets/imagens/products/65e8e579bfe6c</v>
      </c>
      <c r="AI660" s="68">
        <v>45313</v>
      </c>
    </row>
    <row r="661" spans="1:35" ht="16.8" customHeight="1" x14ac:dyDescent="0.3">
      <c r="A661">
        <f t="shared" si="134"/>
        <v>15</v>
      </c>
      <c r="B661" t="str">
        <f t="shared" si="121"/>
        <v>PS22CAN152CAN06</v>
      </c>
      <c r="C661" t="str">
        <f t="shared" si="122"/>
        <v>PSAA-CFIS--QEL-CAN-06</v>
      </c>
      <c r="E661" t="s">
        <v>38</v>
      </c>
      <c r="F661" t="str">
        <f>VLOOKUP(E661,Localizacoes!$A$3:$B$100,2,FALSE)</f>
        <v>PSAA</v>
      </c>
      <c r="G661" t="str">
        <f>VLOOKUP(E661,ID!$A$3:$B$100,2,FALSE)</f>
        <v>PS</v>
      </c>
      <c r="H661" s="14" t="s">
        <v>604</v>
      </c>
      <c r="I661" t="str">
        <f>VLOOKUP(H661,Localizacoes!$C$3:$D$100,2,FALSE)</f>
        <v>CFIS</v>
      </c>
      <c r="J661">
        <f>VLOOKUP(H661,ID!$C$3:$D$100,2,FALSE)</f>
        <v>22</v>
      </c>
      <c r="K661" t="s">
        <v>101</v>
      </c>
      <c r="M661" t="str">
        <f>VLOOKUP(K661,ID!$E$3:$F$100,2,FALSE)</f>
        <v>CAN</v>
      </c>
      <c r="N661" t="s">
        <v>286</v>
      </c>
      <c r="O661" t="str">
        <f>VLOOKUP(N661,Localizacoes!$G$3:$H$100,2,FALSE)</f>
        <v>QEL</v>
      </c>
      <c r="P661">
        <f>VLOOKUP(N661,ID!$G$3:$H$100,2,FALSE)</f>
        <v>152</v>
      </c>
      <c r="Q661" t="s">
        <v>101</v>
      </c>
      <c r="R661" t="str">
        <f>VLOOKUP(Q661,Localizacoes!$I$3:$J$100,2,FALSE)</f>
        <v>CAN</v>
      </c>
      <c r="S661" t="str">
        <f>VLOOKUP(Q661,ID!$I$3:$J$100,2,FALSE)</f>
        <v>CAN</v>
      </c>
      <c r="T661" s="4" t="s">
        <v>190</v>
      </c>
      <c r="U661" t="s">
        <v>265</v>
      </c>
      <c r="Y661" t="s">
        <v>270</v>
      </c>
      <c r="Z661" t="str">
        <f t="shared" si="135"/>
        <v>Canalização Eléctrica 06</v>
      </c>
      <c r="AD661" s="9" t="s">
        <v>266</v>
      </c>
      <c r="AF661" t="str">
        <f t="shared" si="133"/>
        <v>Quadro EléctricoCanalização Eléctrica</v>
      </c>
      <c r="AG661" s="28" t="str">
        <f>VLOOKUP(AF661,Imagens!$C$2:$D$42,2,FALSE)</f>
        <v>65e8e4bb71249</v>
      </c>
      <c r="AH661" t="str">
        <f>_xlfn.CONCAT(Imagens!$H$2,'registo_ativo-CDs (1)'!AG661)</f>
        <v>assets/imagens/products/65e8e4bb71249</v>
      </c>
      <c r="AI661" s="68">
        <v>45453</v>
      </c>
    </row>
    <row r="662" spans="1:35" ht="16.8" customHeight="1" x14ac:dyDescent="0.3">
      <c r="A662">
        <f t="shared" si="134"/>
        <v>15</v>
      </c>
      <c r="B662" t="str">
        <f t="shared" si="121"/>
        <v>PS21BBG141CME01</v>
      </c>
      <c r="C662" t="str">
        <f t="shared" si="122"/>
        <v>PSAA-CFIN--FUR-CME-01</v>
      </c>
      <c r="E662" t="s">
        <v>38</v>
      </c>
      <c r="F662" t="str">
        <f>VLOOKUP(E662,Localizacoes!$A$3:$B$100,2,FALSE)</f>
        <v>PSAA</v>
      </c>
      <c r="G662" t="str">
        <f>VLOOKUP(E662,ID!$A$3:$B$100,2,FALSE)</f>
        <v>PS</v>
      </c>
      <c r="H662" s="14" t="s">
        <v>605</v>
      </c>
      <c r="I662" t="str">
        <f>VLOOKUP(H662,Localizacoes!$C$3:$D$100,2,FALSE)</f>
        <v>CFIN</v>
      </c>
      <c r="J662">
        <f>VLOOKUP(H662,ID!$C$3:$D$100,2,FALSE)</f>
        <v>21</v>
      </c>
      <c r="K662" t="s">
        <v>274</v>
      </c>
      <c r="M662" t="str">
        <f>VLOOKUP(K662,ID!$E$3:$F$100,2,FALSE)</f>
        <v>BBG</v>
      </c>
      <c r="N662" t="s">
        <v>603</v>
      </c>
      <c r="O662" t="str">
        <f>VLOOKUP(N662,Localizacoes!$G$3:$H$100,2,FALSE)</f>
        <v>FUR</v>
      </c>
      <c r="P662">
        <f>VLOOKUP(N662,ID!$G$3:$H$100,2,FALSE)</f>
        <v>141</v>
      </c>
      <c r="Q662" t="s">
        <v>642</v>
      </c>
      <c r="R662" t="str">
        <f>VLOOKUP(Q662,Localizacoes!$I$3:$J$100,2,FALSE)</f>
        <v>CME</v>
      </c>
      <c r="S662" t="str">
        <f>VLOOKUP(Q662,ID!$I$3:$J$100,2,FALSE)</f>
        <v>CME</v>
      </c>
      <c r="T662" s="4" t="s">
        <v>182</v>
      </c>
      <c r="U662" t="s">
        <v>264</v>
      </c>
      <c r="Y662" t="s">
        <v>270</v>
      </c>
      <c r="Z662" t="str">
        <f t="shared" si="135"/>
        <v>Componentes mecânicos 01</v>
      </c>
      <c r="AD662" s="9" t="s">
        <v>7</v>
      </c>
      <c r="AF662" t="str">
        <f t="shared" si="133"/>
        <v>FuroComponentes mecânicos</v>
      </c>
      <c r="AG662" s="28" t="str">
        <f>VLOOKUP(AF662,Imagens!$C$2:$D$42,2,FALSE)</f>
        <v>511e9f0a</v>
      </c>
      <c r="AH662" t="str">
        <f>_xlfn.CONCAT(Imagens!$H$2,'registo_ativo-CDs (1)'!AG662)</f>
        <v>assets/imagens/products/511e9f0a</v>
      </c>
      <c r="AI662" s="67">
        <v>45306</v>
      </c>
    </row>
    <row r="663" spans="1:35" ht="16.8" customHeight="1" x14ac:dyDescent="0.3">
      <c r="A663">
        <f t="shared" si="134"/>
        <v>15</v>
      </c>
      <c r="B663" t="str">
        <f t="shared" si="121"/>
        <v>PS21QEA152QEA01</v>
      </c>
      <c r="C663" t="str">
        <f t="shared" si="122"/>
        <v>PSAA-CFIN--QEL-QEA-01</v>
      </c>
      <c r="E663" t="s">
        <v>38</v>
      </c>
      <c r="F663" t="str">
        <f>VLOOKUP(E663,Localizacoes!$A$3:$B$100,2,FALSE)</f>
        <v>PSAA</v>
      </c>
      <c r="G663" t="str">
        <f>VLOOKUP(E663,ID!$A$3:$B$100,2,FALSE)</f>
        <v>PS</v>
      </c>
      <c r="H663" s="14" t="s">
        <v>605</v>
      </c>
      <c r="I663" t="str">
        <f>VLOOKUP(H663,Localizacoes!$C$3:$D$100,2,FALSE)</f>
        <v>CFIN</v>
      </c>
      <c r="J663">
        <f>VLOOKUP(H663,ID!$C$3:$D$100,2,FALSE)</f>
        <v>21</v>
      </c>
      <c r="K663" t="s">
        <v>154</v>
      </c>
      <c r="M663" t="str">
        <f>VLOOKUP(K663,ID!$E$3:$F$100,2,FALSE)</f>
        <v>QEA</v>
      </c>
      <c r="N663" t="s">
        <v>286</v>
      </c>
      <c r="O663" t="str">
        <f>VLOOKUP(N663,Localizacoes!$G$3:$H$100,2,FALSE)</f>
        <v>QEL</v>
      </c>
      <c r="P663">
        <f>VLOOKUP(N663,ID!$G$3:$H$100,2,FALSE)</f>
        <v>152</v>
      </c>
      <c r="Q663" t="s">
        <v>154</v>
      </c>
      <c r="R663" t="str">
        <f>VLOOKUP(Q663,Localizacoes!$I$3:$J$100,2,FALSE)</f>
        <v>QEA</v>
      </c>
      <c r="S663" t="str">
        <f>VLOOKUP(Q663,ID!$I$3:$J$100,2,FALSE)</f>
        <v>QEA</v>
      </c>
      <c r="T663" s="4" t="s">
        <v>182</v>
      </c>
      <c r="U663" t="s">
        <v>265</v>
      </c>
      <c r="Y663" t="s">
        <v>270</v>
      </c>
      <c r="Z663" t="str">
        <f t="shared" si="135"/>
        <v>Quadros Eléctricos de Arranque 01</v>
      </c>
      <c r="AD663" s="9" t="s">
        <v>267</v>
      </c>
      <c r="AF663" t="str">
        <f t="shared" si="133"/>
        <v>Quadro EléctricoQuadros Eléctricos de Arranque</v>
      </c>
      <c r="AG663" s="28" t="str">
        <f>VLOOKUP(AF663,Imagens!$C$2:$D$42,2,FALSE)</f>
        <v>65e8d2fa35c12</v>
      </c>
      <c r="AH663" t="str">
        <f>_xlfn.CONCAT(Imagens!$H$2,'registo_ativo-CDs (1)'!AG663)</f>
        <v>assets/imagens/products/65e8d2fa35c12</v>
      </c>
      <c r="AI663" s="67">
        <v>45362</v>
      </c>
    </row>
    <row r="664" spans="1:35" ht="16.8" customHeight="1" x14ac:dyDescent="0.3">
      <c r="A664">
        <f t="shared" si="134"/>
        <v>15</v>
      </c>
      <c r="B664" t="str">
        <f t="shared" si="121"/>
        <v>PS21ILU164ILL01</v>
      </c>
      <c r="C664" t="str">
        <f t="shared" si="122"/>
        <v>PSAA-CFIN--SIL-ILL-01</v>
      </c>
      <c r="E664" t="s">
        <v>38</v>
      </c>
      <c r="F664" t="str">
        <f>VLOOKUP(E664,Localizacoes!$A$3:$B$100,2,FALSE)</f>
        <v>PSAA</v>
      </c>
      <c r="G664" t="str">
        <f>VLOOKUP(E664,ID!$A$3:$B$100,2,FALSE)</f>
        <v>PS</v>
      </c>
      <c r="H664" s="14" t="s">
        <v>605</v>
      </c>
      <c r="I664" t="str">
        <f>VLOOKUP(H664,Localizacoes!$C$3:$D$100,2,FALSE)</f>
        <v>CFIN</v>
      </c>
      <c r="J664">
        <f>VLOOKUP(H664,ID!$C$3:$D$100,2,FALSE)</f>
        <v>21</v>
      </c>
      <c r="K664" t="s">
        <v>141</v>
      </c>
      <c r="M664" t="str">
        <f>VLOOKUP(K664,ID!$E$3:$F$100,2,FALSE)</f>
        <v>ILU</v>
      </c>
      <c r="N664" t="s">
        <v>688</v>
      </c>
      <c r="O664" t="str">
        <f>VLOOKUP(N664,Localizacoes!$G$3:$H$100,2,FALSE)</f>
        <v>SIL</v>
      </c>
      <c r="P664">
        <f>VLOOKUP(N664,ID!$G$3:$H$100,2,FALSE)</f>
        <v>164</v>
      </c>
      <c r="Q664" t="s">
        <v>141</v>
      </c>
      <c r="R664" t="str">
        <f>VLOOKUP(Q664,Localizacoes!$I$3:$J$100,2,FALSE)</f>
        <v>ILL</v>
      </c>
      <c r="S664" t="str">
        <f>VLOOKUP(Q664,ID!$I$3:$J$100,2,FALSE)</f>
        <v>ILL</v>
      </c>
      <c r="T664" s="4" t="s">
        <v>182</v>
      </c>
      <c r="U664" t="s">
        <v>265</v>
      </c>
      <c r="Y664" t="s">
        <v>270</v>
      </c>
      <c r="Z664" t="str">
        <f t="shared" si="135"/>
        <v>Iluminação 01</v>
      </c>
      <c r="AD664" s="9" t="s">
        <v>267</v>
      </c>
      <c r="AF664" t="str">
        <f t="shared" si="133"/>
        <v>Sistema de IluminaçãoIluminação</v>
      </c>
      <c r="AG664" s="28" t="str">
        <f>VLOOKUP(AF664,Imagens!$C$2:$D$42,2,FALSE)</f>
        <v>65e8e579bfe6c</v>
      </c>
      <c r="AH664" t="str">
        <f>_xlfn.CONCAT(Imagens!$H$2,'registo_ativo-CDs (1)'!AG664)</f>
        <v>assets/imagens/products/65e8e579bfe6c</v>
      </c>
      <c r="AI664" s="67">
        <v>45306</v>
      </c>
    </row>
    <row r="665" spans="1:35" ht="16.8" customHeight="1" x14ac:dyDescent="0.3">
      <c r="A665">
        <f t="shared" si="134"/>
        <v>15</v>
      </c>
      <c r="B665" t="str">
        <f t="shared" si="121"/>
        <v>PS21CAN152CAN01</v>
      </c>
      <c r="C665" t="str">
        <f t="shared" si="122"/>
        <v>PSAA-CFIN--QEL-CAN-01</v>
      </c>
      <c r="E665" t="s">
        <v>38</v>
      </c>
      <c r="F665" t="str">
        <f>VLOOKUP(E665,Localizacoes!$A$3:$B$100,2,FALSE)</f>
        <v>PSAA</v>
      </c>
      <c r="G665" t="str">
        <f>VLOOKUP(E665,ID!$A$3:$B$100,2,FALSE)</f>
        <v>PS</v>
      </c>
      <c r="H665" s="14" t="s">
        <v>605</v>
      </c>
      <c r="I665" t="str">
        <f>VLOOKUP(H665,Localizacoes!$C$3:$D$100,2,FALSE)</f>
        <v>CFIN</v>
      </c>
      <c r="J665">
        <f>VLOOKUP(H665,ID!$C$3:$D$100,2,FALSE)</f>
        <v>21</v>
      </c>
      <c r="K665" t="s">
        <v>101</v>
      </c>
      <c r="M665" t="str">
        <f>VLOOKUP(K665,ID!$E$3:$F$100,2,FALSE)</f>
        <v>CAN</v>
      </c>
      <c r="N665" t="s">
        <v>286</v>
      </c>
      <c r="O665" t="str">
        <f>VLOOKUP(N665,Localizacoes!$G$3:$H$100,2,FALSE)</f>
        <v>QEL</v>
      </c>
      <c r="P665">
        <f>VLOOKUP(N665,ID!$G$3:$H$100,2,FALSE)</f>
        <v>152</v>
      </c>
      <c r="Q665" t="s">
        <v>101</v>
      </c>
      <c r="R665" t="str">
        <f>VLOOKUP(Q665,Localizacoes!$I$3:$J$100,2,FALSE)</f>
        <v>CAN</v>
      </c>
      <c r="S665" t="str">
        <f>VLOOKUP(Q665,ID!$I$3:$J$100,2,FALSE)</f>
        <v>CAN</v>
      </c>
      <c r="T665" s="4" t="s">
        <v>182</v>
      </c>
      <c r="U665" t="s">
        <v>265</v>
      </c>
      <c r="Y665" t="s">
        <v>270</v>
      </c>
      <c r="Z665" t="str">
        <f t="shared" si="135"/>
        <v>Canalização Eléctrica 01</v>
      </c>
      <c r="AD665" s="9" t="s">
        <v>266</v>
      </c>
      <c r="AF665" t="str">
        <f t="shared" si="133"/>
        <v>Quadro EléctricoCanalização Eléctrica</v>
      </c>
      <c r="AG665" s="28" t="str">
        <f>VLOOKUP(AF665,Imagens!$C$2:$D$42,2,FALSE)</f>
        <v>65e8e4bb71249</v>
      </c>
      <c r="AH665" t="str">
        <f>_xlfn.CONCAT(Imagens!$H$2,'registo_ativo-CDs (1)'!AG665)</f>
        <v>assets/imagens/products/65e8e4bb71249</v>
      </c>
      <c r="AI665" s="67">
        <v>45446</v>
      </c>
    </row>
    <row r="666" spans="1:35" ht="16.8" customHeight="1" x14ac:dyDescent="0.3">
      <c r="A666">
        <f t="shared" si="134"/>
        <v>15</v>
      </c>
      <c r="B666" t="str">
        <f t="shared" si="121"/>
        <v>PS21CAN152QEI01</v>
      </c>
      <c r="C666" t="str">
        <f t="shared" si="122"/>
        <v>PSAA-CFIN-CAN-QEL-QEI-01</v>
      </c>
      <c r="E666" t="s">
        <v>38</v>
      </c>
      <c r="F666" t="str">
        <f>VLOOKUP(E666,Localizacoes!$A$3:$B$100,2,FALSE)</f>
        <v>PSAA</v>
      </c>
      <c r="G666" t="str">
        <f>VLOOKUP(E666,ID!$A$3:$B$100,2,FALSE)</f>
        <v>PS</v>
      </c>
      <c r="H666" s="14" t="s">
        <v>605</v>
      </c>
      <c r="I666" t="str">
        <f>VLOOKUP(H666,Localizacoes!$C$3:$D$100,2,FALSE)</f>
        <v>CFIN</v>
      </c>
      <c r="J666">
        <f>VLOOKUP(H666,ID!$C$3:$D$100,2,FALSE)</f>
        <v>21</v>
      </c>
      <c r="K666" t="s">
        <v>101</v>
      </c>
      <c r="L666" t="str">
        <f>VLOOKUP(K666,Localizacoes!$E$3:$F$100,2,FALSE)</f>
        <v>CAN</v>
      </c>
      <c r="M666" t="str">
        <f>VLOOKUP(K666,ID!$E$3:$F$100,2,FALSE)</f>
        <v>CAN</v>
      </c>
      <c r="N666" t="s">
        <v>286</v>
      </c>
      <c r="O666" t="str">
        <f>VLOOKUP(N666,Localizacoes!$G$3:$H$100,2,FALSE)</f>
        <v>QEL</v>
      </c>
      <c r="P666">
        <f>VLOOKUP(N666,ID!$G$3:$H$100,2,FALSE)</f>
        <v>152</v>
      </c>
      <c r="Q666" t="s">
        <v>446</v>
      </c>
      <c r="R666" t="str">
        <f>VLOOKUP(Q666,Localizacoes!$I$3:$J$100,2,FALSE)</f>
        <v>QEI</v>
      </c>
      <c r="S666" t="str">
        <f>VLOOKUP(Q666,ID!$I$3:$J$100,2,FALSE)</f>
        <v>QEI</v>
      </c>
      <c r="T666" s="4" t="s">
        <v>182</v>
      </c>
      <c r="U666" t="s">
        <v>265</v>
      </c>
      <c r="Y666" t="s">
        <v>270</v>
      </c>
      <c r="Z666" t="str">
        <f t="shared" si="135"/>
        <v>Quadro Eléctrico de Instrumentação 01</v>
      </c>
      <c r="AD666" s="9" t="s">
        <v>267</v>
      </c>
      <c r="AF666" t="str">
        <f t="shared" si="133"/>
        <v>Quadro EléctricoQuadro Eléctrico de Instrumentação</v>
      </c>
      <c r="AG666" s="28" t="str">
        <f>VLOOKUP(AF666,Imagens!$C$2:$D$42,2,FALSE)</f>
        <v>65d1346bf3835</v>
      </c>
      <c r="AH666" t="str">
        <f>_xlfn.CONCAT(Imagens!$H$2,'registo_ativo-CDs (1)'!AG666)</f>
        <v>assets/imagens/products/65d1346bf3835</v>
      </c>
      <c r="AI666" s="67">
        <v>45362</v>
      </c>
    </row>
    <row r="667" spans="1:35" ht="16.8" customHeight="1" x14ac:dyDescent="0.3">
      <c r="A667">
        <f t="shared" si="134"/>
        <v>15</v>
      </c>
      <c r="B667" t="str">
        <f t="shared" si="121"/>
        <v>PS21BBG141CME02</v>
      </c>
      <c r="C667" t="str">
        <f t="shared" si="122"/>
        <v>PSAA-CFIN--FUR-CME-02</v>
      </c>
      <c r="E667" t="s">
        <v>38</v>
      </c>
      <c r="F667" t="str">
        <f>VLOOKUP(E667,Localizacoes!$A$3:$B$100,2,FALSE)</f>
        <v>PSAA</v>
      </c>
      <c r="G667" t="str">
        <f>VLOOKUP(E667,ID!$A$3:$B$100,2,FALSE)</f>
        <v>PS</v>
      </c>
      <c r="H667" s="14" t="s">
        <v>605</v>
      </c>
      <c r="I667" t="str">
        <f>VLOOKUP(H667,Localizacoes!$C$3:$D$100,2,FALSE)</f>
        <v>CFIN</v>
      </c>
      <c r="J667">
        <f>VLOOKUP(H667,ID!$C$3:$D$100,2,FALSE)</f>
        <v>21</v>
      </c>
      <c r="K667" t="s">
        <v>274</v>
      </c>
      <c r="M667" t="str">
        <f>VLOOKUP(K667,ID!$E$3:$F$100,2,FALSE)</f>
        <v>BBG</v>
      </c>
      <c r="N667" t="s">
        <v>603</v>
      </c>
      <c r="O667" t="str">
        <f>VLOOKUP(N667,Localizacoes!$G$3:$H$100,2,FALSE)</f>
        <v>FUR</v>
      </c>
      <c r="P667">
        <f>VLOOKUP(N667,ID!$G$3:$H$100,2,FALSE)</f>
        <v>141</v>
      </c>
      <c r="Q667" t="s">
        <v>642</v>
      </c>
      <c r="R667" t="str">
        <f>VLOOKUP(Q667,Localizacoes!$I$3:$J$100,2,FALSE)</f>
        <v>CME</v>
      </c>
      <c r="S667" t="str">
        <f>VLOOKUP(Q667,ID!$I$3:$J$100,2,FALSE)</f>
        <v>CME</v>
      </c>
      <c r="T667" s="4" t="s">
        <v>186</v>
      </c>
      <c r="U667" t="s">
        <v>264</v>
      </c>
      <c r="Y667" t="s">
        <v>270</v>
      </c>
      <c r="Z667" t="str">
        <f t="shared" si="135"/>
        <v>Componentes mecânicos 02</v>
      </c>
      <c r="AD667" s="9" t="s">
        <v>7</v>
      </c>
      <c r="AF667" t="str">
        <f t="shared" si="133"/>
        <v>FuroComponentes mecânicos</v>
      </c>
      <c r="AG667" s="28" t="str">
        <f>VLOOKUP(AF667,Imagens!$C$2:$D$42,2,FALSE)</f>
        <v>511e9f0a</v>
      </c>
      <c r="AH667" t="str">
        <f>_xlfn.CONCAT(Imagens!$H$2,'registo_ativo-CDs (1)'!AG667)</f>
        <v>assets/imagens/products/511e9f0a</v>
      </c>
      <c r="AI667" s="67">
        <v>45306</v>
      </c>
    </row>
    <row r="668" spans="1:35" ht="16.8" customHeight="1" x14ac:dyDescent="0.3">
      <c r="A668">
        <f t="shared" si="134"/>
        <v>15</v>
      </c>
      <c r="B668" t="str">
        <f t="shared" si="121"/>
        <v>PS21QEA152QEA02</v>
      </c>
      <c r="C668" t="str">
        <f t="shared" si="122"/>
        <v>PSAA-CFIN--QEL-QEA-02</v>
      </c>
      <c r="E668" t="s">
        <v>38</v>
      </c>
      <c r="F668" t="str">
        <f>VLOOKUP(E668,Localizacoes!$A$3:$B$100,2,FALSE)</f>
        <v>PSAA</v>
      </c>
      <c r="G668" t="str">
        <f>VLOOKUP(E668,ID!$A$3:$B$100,2,FALSE)</f>
        <v>PS</v>
      </c>
      <c r="H668" s="14" t="s">
        <v>605</v>
      </c>
      <c r="I668" t="str">
        <f>VLOOKUP(H668,Localizacoes!$C$3:$D$100,2,FALSE)</f>
        <v>CFIN</v>
      </c>
      <c r="J668">
        <f>VLOOKUP(H668,ID!$C$3:$D$100,2,FALSE)</f>
        <v>21</v>
      </c>
      <c r="K668" t="s">
        <v>154</v>
      </c>
      <c r="M668" t="str">
        <f>VLOOKUP(K668,ID!$E$3:$F$100,2,FALSE)</f>
        <v>QEA</v>
      </c>
      <c r="N668" t="s">
        <v>286</v>
      </c>
      <c r="O668" t="str">
        <f>VLOOKUP(N668,Localizacoes!$G$3:$H$100,2,FALSE)</f>
        <v>QEL</v>
      </c>
      <c r="P668">
        <f>VLOOKUP(N668,ID!$G$3:$H$100,2,FALSE)</f>
        <v>152</v>
      </c>
      <c r="Q668" t="s">
        <v>154</v>
      </c>
      <c r="R668" t="str">
        <f>VLOOKUP(Q668,Localizacoes!$I$3:$J$100,2,FALSE)</f>
        <v>QEA</v>
      </c>
      <c r="S668" t="str">
        <f>VLOOKUP(Q668,ID!$I$3:$J$100,2,FALSE)</f>
        <v>QEA</v>
      </c>
      <c r="T668" s="4" t="s">
        <v>186</v>
      </c>
      <c r="U668" t="s">
        <v>265</v>
      </c>
      <c r="Y668" t="s">
        <v>270</v>
      </c>
      <c r="Z668" t="str">
        <f t="shared" si="135"/>
        <v>Quadros Eléctricos de Arranque 02</v>
      </c>
      <c r="AD668" s="9" t="s">
        <v>267</v>
      </c>
      <c r="AF668" t="str">
        <f t="shared" si="133"/>
        <v>Quadro EléctricoQuadros Eléctricos de Arranque</v>
      </c>
      <c r="AG668" s="28" t="str">
        <f>VLOOKUP(AF668,Imagens!$C$2:$D$42,2,FALSE)</f>
        <v>65e8d2fa35c12</v>
      </c>
      <c r="AH668" t="str">
        <f>_xlfn.CONCAT(Imagens!$H$2,'registo_ativo-CDs (1)'!AG668)</f>
        <v>assets/imagens/products/65e8d2fa35c12</v>
      </c>
      <c r="AI668" s="67">
        <v>45362</v>
      </c>
    </row>
    <row r="669" spans="1:35" ht="16.8" customHeight="1" x14ac:dyDescent="0.3">
      <c r="A669">
        <f t="shared" si="134"/>
        <v>15</v>
      </c>
      <c r="B669" t="str">
        <f t="shared" si="121"/>
        <v>PS21ILU164ILL02</v>
      </c>
      <c r="C669" t="str">
        <f t="shared" si="122"/>
        <v>PSAA-CFIN--SIL-ILL-02</v>
      </c>
      <c r="E669" t="s">
        <v>38</v>
      </c>
      <c r="F669" t="str">
        <f>VLOOKUP(E669,Localizacoes!$A$3:$B$100,2,FALSE)</f>
        <v>PSAA</v>
      </c>
      <c r="G669" t="str">
        <f>VLOOKUP(E669,ID!$A$3:$B$100,2,FALSE)</f>
        <v>PS</v>
      </c>
      <c r="H669" s="14" t="s">
        <v>605</v>
      </c>
      <c r="I669" t="str">
        <f>VLOOKUP(H669,Localizacoes!$C$3:$D$100,2,FALSE)</f>
        <v>CFIN</v>
      </c>
      <c r="J669">
        <f>VLOOKUP(H669,ID!$C$3:$D$100,2,FALSE)</f>
        <v>21</v>
      </c>
      <c r="K669" t="s">
        <v>141</v>
      </c>
      <c r="M669" t="str">
        <f>VLOOKUP(K669,ID!$E$3:$F$100,2,FALSE)</f>
        <v>ILU</v>
      </c>
      <c r="N669" t="s">
        <v>688</v>
      </c>
      <c r="O669" t="str">
        <f>VLOOKUP(N669,Localizacoes!$G$3:$H$100,2,FALSE)</f>
        <v>SIL</v>
      </c>
      <c r="P669">
        <f>VLOOKUP(N669,ID!$G$3:$H$100,2,FALSE)</f>
        <v>164</v>
      </c>
      <c r="Q669" t="s">
        <v>141</v>
      </c>
      <c r="R669" t="str">
        <f>VLOOKUP(Q669,Localizacoes!$I$3:$J$100,2,FALSE)</f>
        <v>ILL</v>
      </c>
      <c r="S669" t="str">
        <f>VLOOKUP(Q669,ID!$I$3:$J$100,2,FALSE)</f>
        <v>ILL</v>
      </c>
      <c r="T669" s="4" t="s">
        <v>186</v>
      </c>
      <c r="U669" t="s">
        <v>265</v>
      </c>
      <c r="Y669" t="s">
        <v>270</v>
      </c>
      <c r="Z669" t="str">
        <f t="shared" si="135"/>
        <v>Iluminação 02</v>
      </c>
      <c r="AD669" s="9" t="s">
        <v>267</v>
      </c>
      <c r="AF669" t="str">
        <f t="shared" si="133"/>
        <v>Sistema de IluminaçãoIluminação</v>
      </c>
      <c r="AG669" s="28" t="str">
        <f>VLOOKUP(AF669,Imagens!$C$2:$D$42,2,FALSE)</f>
        <v>65e8e579bfe6c</v>
      </c>
      <c r="AH669" t="str">
        <f>_xlfn.CONCAT(Imagens!$H$2,'registo_ativo-CDs (1)'!AG669)</f>
        <v>assets/imagens/products/65e8e579bfe6c</v>
      </c>
      <c r="AI669" s="67">
        <v>45306</v>
      </c>
    </row>
    <row r="670" spans="1:35" ht="16.8" customHeight="1" x14ac:dyDescent="0.3">
      <c r="A670">
        <f t="shared" si="134"/>
        <v>15</v>
      </c>
      <c r="B670" t="str">
        <f t="shared" si="121"/>
        <v>PS21CAN152CAN02</v>
      </c>
      <c r="C670" t="str">
        <f t="shared" si="122"/>
        <v>PSAA-CFIN--QEL-CAN-02</v>
      </c>
      <c r="E670" t="s">
        <v>38</v>
      </c>
      <c r="F670" t="str">
        <f>VLOOKUP(E670,Localizacoes!$A$3:$B$100,2,FALSE)</f>
        <v>PSAA</v>
      </c>
      <c r="G670" t="str">
        <f>VLOOKUP(E670,ID!$A$3:$B$100,2,FALSE)</f>
        <v>PS</v>
      </c>
      <c r="H670" s="14" t="s">
        <v>605</v>
      </c>
      <c r="I670" t="str">
        <f>VLOOKUP(H670,Localizacoes!$C$3:$D$100,2,FALSE)</f>
        <v>CFIN</v>
      </c>
      <c r="J670">
        <f>VLOOKUP(H670,ID!$C$3:$D$100,2,FALSE)</f>
        <v>21</v>
      </c>
      <c r="K670" t="s">
        <v>101</v>
      </c>
      <c r="M670" t="str">
        <f>VLOOKUP(K670,ID!$E$3:$F$100,2,FALSE)</f>
        <v>CAN</v>
      </c>
      <c r="N670" t="s">
        <v>286</v>
      </c>
      <c r="O670" t="str">
        <f>VLOOKUP(N670,Localizacoes!$G$3:$H$100,2,FALSE)</f>
        <v>QEL</v>
      </c>
      <c r="P670">
        <f>VLOOKUP(N670,ID!$G$3:$H$100,2,FALSE)</f>
        <v>152</v>
      </c>
      <c r="Q670" t="s">
        <v>101</v>
      </c>
      <c r="R670" t="str">
        <f>VLOOKUP(Q670,Localizacoes!$I$3:$J$100,2,FALSE)</f>
        <v>CAN</v>
      </c>
      <c r="S670" t="str">
        <f>VLOOKUP(Q670,ID!$I$3:$J$100,2,FALSE)</f>
        <v>CAN</v>
      </c>
      <c r="T670" s="4" t="s">
        <v>186</v>
      </c>
      <c r="U670" t="s">
        <v>265</v>
      </c>
      <c r="Y670" t="s">
        <v>270</v>
      </c>
      <c r="Z670" t="str">
        <f t="shared" si="135"/>
        <v>Canalização Eléctrica 02</v>
      </c>
      <c r="AD670" s="9" t="s">
        <v>266</v>
      </c>
      <c r="AF670" t="str">
        <f t="shared" si="133"/>
        <v>Quadro EléctricoCanalização Eléctrica</v>
      </c>
      <c r="AG670" s="28" t="str">
        <f>VLOOKUP(AF670,Imagens!$C$2:$D$42,2,FALSE)</f>
        <v>65e8e4bb71249</v>
      </c>
      <c r="AH670" t="str">
        <f>_xlfn.CONCAT(Imagens!$H$2,'registo_ativo-CDs (1)'!AG670)</f>
        <v>assets/imagens/products/65e8e4bb71249</v>
      </c>
      <c r="AI670" s="67">
        <v>45446</v>
      </c>
    </row>
    <row r="671" spans="1:35" ht="16.8" customHeight="1" x14ac:dyDescent="0.3">
      <c r="A671">
        <f t="shared" si="134"/>
        <v>15</v>
      </c>
      <c r="B671" t="str">
        <f t="shared" si="121"/>
        <v>PS21CAN152QEI02</v>
      </c>
      <c r="C671" t="str">
        <f t="shared" si="122"/>
        <v>PSAA-CFIN-CAN-QEL-QEI-02</v>
      </c>
      <c r="E671" t="s">
        <v>38</v>
      </c>
      <c r="F671" t="str">
        <f>VLOOKUP(E671,Localizacoes!$A$3:$B$100,2,FALSE)</f>
        <v>PSAA</v>
      </c>
      <c r="G671" t="str">
        <f>VLOOKUP(E671,ID!$A$3:$B$100,2,FALSE)</f>
        <v>PS</v>
      </c>
      <c r="H671" s="14" t="s">
        <v>605</v>
      </c>
      <c r="I671" t="str">
        <f>VLOOKUP(H671,Localizacoes!$C$3:$D$100,2,FALSE)</f>
        <v>CFIN</v>
      </c>
      <c r="J671">
        <f>VLOOKUP(H671,ID!$C$3:$D$100,2,FALSE)</f>
        <v>21</v>
      </c>
      <c r="K671" t="s">
        <v>101</v>
      </c>
      <c r="L671" t="str">
        <f>VLOOKUP(K671,Localizacoes!$E$3:$F$100,2,FALSE)</f>
        <v>CAN</v>
      </c>
      <c r="M671" t="str">
        <f>VLOOKUP(K671,ID!$E$3:$F$100,2,FALSE)</f>
        <v>CAN</v>
      </c>
      <c r="N671" t="s">
        <v>286</v>
      </c>
      <c r="O671" t="str">
        <f>VLOOKUP(N671,Localizacoes!$G$3:$H$100,2,FALSE)</f>
        <v>QEL</v>
      </c>
      <c r="P671">
        <f>VLOOKUP(N671,ID!$G$3:$H$100,2,FALSE)</f>
        <v>152</v>
      </c>
      <c r="Q671" t="s">
        <v>446</v>
      </c>
      <c r="R671" t="str">
        <f>VLOOKUP(Q671,Localizacoes!$I$3:$J$100,2,FALSE)</f>
        <v>QEI</v>
      </c>
      <c r="S671" t="str">
        <f>VLOOKUP(Q671,ID!$I$3:$J$100,2,FALSE)</f>
        <v>QEI</v>
      </c>
      <c r="T671" s="4" t="s">
        <v>186</v>
      </c>
      <c r="U671" t="s">
        <v>265</v>
      </c>
      <c r="Y671" t="s">
        <v>270</v>
      </c>
      <c r="Z671" t="str">
        <f t="shared" si="135"/>
        <v>Quadro Eléctrico de Instrumentação 02</v>
      </c>
      <c r="AD671" s="9" t="s">
        <v>267</v>
      </c>
      <c r="AF671" t="str">
        <f t="shared" si="133"/>
        <v>Quadro EléctricoQuadro Eléctrico de Instrumentação</v>
      </c>
      <c r="AG671" s="28" t="str">
        <f>VLOOKUP(AF671,Imagens!$C$2:$D$42,2,FALSE)</f>
        <v>65d1346bf3835</v>
      </c>
      <c r="AH671" t="str">
        <f>_xlfn.CONCAT(Imagens!$H$2,'registo_ativo-CDs (1)'!AG671)</f>
        <v>assets/imagens/products/65d1346bf3835</v>
      </c>
      <c r="AI671" s="67">
        <v>45362</v>
      </c>
    </row>
    <row r="672" spans="1:35" ht="16.8" customHeight="1" x14ac:dyDescent="0.3">
      <c r="A672">
        <f t="shared" si="134"/>
        <v>15</v>
      </c>
      <c r="B672" t="str">
        <f t="shared" si="121"/>
        <v>PS21BBG141CME03</v>
      </c>
      <c r="C672" t="str">
        <f t="shared" si="122"/>
        <v>PSAA-CFIN--FUR-CME-03</v>
      </c>
      <c r="E672" t="s">
        <v>38</v>
      </c>
      <c r="F672" t="str">
        <f>VLOOKUP(E672,Localizacoes!$A$3:$B$100,2,FALSE)</f>
        <v>PSAA</v>
      </c>
      <c r="G672" t="str">
        <f>VLOOKUP(E672,ID!$A$3:$B$100,2,FALSE)</f>
        <v>PS</v>
      </c>
      <c r="H672" s="14" t="s">
        <v>605</v>
      </c>
      <c r="I672" t="str">
        <f>VLOOKUP(H672,Localizacoes!$C$3:$D$100,2,FALSE)</f>
        <v>CFIN</v>
      </c>
      <c r="J672">
        <f>VLOOKUP(H672,ID!$C$3:$D$100,2,FALSE)</f>
        <v>21</v>
      </c>
      <c r="K672" t="s">
        <v>274</v>
      </c>
      <c r="M672" t="str">
        <f>VLOOKUP(K672,ID!$E$3:$F$100,2,FALSE)</f>
        <v>BBG</v>
      </c>
      <c r="N672" t="s">
        <v>603</v>
      </c>
      <c r="O672" t="str">
        <f>VLOOKUP(N672,Localizacoes!$G$3:$H$100,2,FALSE)</f>
        <v>FUR</v>
      </c>
      <c r="P672">
        <f>VLOOKUP(N672,ID!$G$3:$H$100,2,FALSE)</f>
        <v>141</v>
      </c>
      <c r="Q672" t="s">
        <v>642</v>
      </c>
      <c r="R672" t="str">
        <f>VLOOKUP(Q672,Localizacoes!$I$3:$J$100,2,FALSE)</f>
        <v>CME</v>
      </c>
      <c r="S672" t="str">
        <f>VLOOKUP(Q672,ID!$I$3:$J$100,2,FALSE)</f>
        <v>CME</v>
      </c>
      <c r="T672" s="4" t="s">
        <v>187</v>
      </c>
      <c r="U672" t="s">
        <v>264</v>
      </c>
      <c r="Y672" t="s">
        <v>270</v>
      </c>
      <c r="Z672" t="str">
        <f t="shared" si="135"/>
        <v>Componentes mecânicos 03</v>
      </c>
      <c r="AD672" s="9" t="s">
        <v>7</v>
      </c>
      <c r="AF672" t="str">
        <f t="shared" si="133"/>
        <v>FuroComponentes mecânicos</v>
      </c>
      <c r="AG672" s="28" t="str">
        <f>VLOOKUP(AF672,Imagens!$C$2:$D$42,2,FALSE)</f>
        <v>511e9f0a</v>
      </c>
      <c r="AH672" t="str">
        <f>_xlfn.CONCAT(Imagens!$H$2,'registo_ativo-CDs (1)'!AG672)</f>
        <v>assets/imagens/products/511e9f0a</v>
      </c>
      <c r="AI672" s="67">
        <v>45306</v>
      </c>
    </row>
    <row r="673" spans="1:35" ht="16.8" customHeight="1" x14ac:dyDescent="0.3">
      <c r="A673">
        <f t="shared" si="134"/>
        <v>15</v>
      </c>
      <c r="B673" t="str">
        <f t="shared" si="121"/>
        <v>PS21QEA152QEA03</v>
      </c>
      <c r="C673" t="str">
        <f t="shared" si="122"/>
        <v>PSAA-CFIN--QEL-QEA-03</v>
      </c>
      <c r="E673" t="s">
        <v>38</v>
      </c>
      <c r="F673" t="str">
        <f>VLOOKUP(E673,Localizacoes!$A$3:$B$100,2,FALSE)</f>
        <v>PSAA</v>
      </c>
      <c r="G673" t="str">
        <f>VLOOKUP(E673,ID!$A$3:$B$100,2,FALSE)</f>
        <v>PS</v>
      </c>
      <c r="H673" s="14" t="s">
        <v>605</v>
      </c>
      <c r="I673" t="str">
        <f>VLOOKUP(H673,Localizacoes!$C$3:$D$100,2,FALSE)</f>
        <v>CFIN</v>
      </c>
      <c r="J673">
        <f>VLOOKUP(H673,ID!$C$3:$D$100,2,FALSE)</f>
        <v>21</v>
      </c>
      <c r="K673" t="s">
        <v>154</v>
      </c>
      <c r="M673" t="str">
        <f>VLOOKUP(K673,ID!$E$3:$F$100,2,FALSE)</f>
        <v>QEA</v>
      </c>
      <c r="N673" t="s">
        <v>286</v>
      </c>
      <c r="O673" t="str">
        <f>VLOOKUP(N673,Localizacoes!$G$3:$H$100,2,FALSE)</f>
        <v>QEL</v>
      </c>
      <c r="P673">
        <f>VLOOKUP(N673,ID!$G$3:$H$100,2,FALSE)</f>
        <v>152</v>
      </c>
      <c r="Q673" t="s">
        <v>154</v>
      </c>
      <c r="R673" t="str">
        <f>VLOOKUP(Q673,Localizacoes!$I$3:$J$100,2,FALSE)</f>
        <v>QEA</v>
      </c>
      <c r="S673" t="str">
        <f>VLOOKUP(Q673,ID!$I$3:$J$100,2,FALSE)</f>
        <v>QEA</v>
      </c>
      <c r="T673" s="4" t="s">
        <v>187</v>
      </c>
      <c r="U673" t="s">
        <v>265</v>
      </c>
      <c r="Y673" t="s">
        <v>270</v>
      </c>
      <c r="Z673" t="str">
        <f t="shared" si="135"/>
        <v>Quadros Eléctricos de Arranque 03</v>
      </c>
      <c r="AD673" s="9" t="s">
        <v>267</v>
      </c>
      <c r="AF673" t="str">
        <f t="shared" si="133"/>
        <v>Quadro EléctricoQuadros Eléctricos de Arranque</v>
      </c>
      <c r="AG673" s="28" t="str">
        <f>VLOOKUP(AF673,Imagens!$C$2:$D$42,2,FALSE)</f>
        <v>65e8d2fa35c12</v>
      </c>
      <c r="AH673" t="str">
        <f>_xlfn.CONCAT(Imagens!$H$2,'registo_ativo-CDs (1)'!AG673)</f>
        <v>assets/imagens/products/65e8d2fa35c12</v>
      </c>
      <c r="AI673" s="67">
        <v>45362</v>
      </c>
    </row>
    <row r="674" spans="1:35" ht="16.8" customHeight="1" x14ac:dyDescent="0.3">
      <c r="A674">
        <f t="shared" si="134"/>
        <v>15</v>
      </c>
      <c r="B674" t="str">
        <f t="shared" si="121"/>
        <v>PS21ILU164ILL03</v>
      </c>
      <c r="C674" t="str">
        <f t="shared" si="122"/>
        <v>PSAA-CFIN--SIL-ILL-03</v>
      </c>
      <c r="E674" t="s">
        <v>38</v>
      </c>
      <c r="F674" t="str">
        <f>VLOOKUP(E674,Localizacoes!$A$3:$B$100,2,FALSE)</f>
        <v>PSAA</v>
      </c>
      <c r="G674" t="str">
        <f>VLOOKUP(E674,ID!$A$3:$B$100,2,FALSE)</f>
        <v>PS</v>
      </c>
      <c r="H674" s="14" t="s">
        <v>605</v>
      </c>
      <c r="I674" t="str">
        <f>VLOOKUP(H674,Localizacoes!$C$3:$D$100,2,FALSE)</f>
        <v>CFIN</v>
      </c>
      <c r="J674">
        <f>VLOOKUP(H674,ID!$C$3:$D$100,2,FALSE)</f>
        <v>21</v>
      </c>
      <c r="K674" t="s">
        <v>141</v>
      </c>
      <c r="M674" t="str">
        <f>VLOOKUP(K674,ID!$E$3:$F$100,2,FALSE)</f>
        <v>ILU</v>
      </c>
      <c r="N674" t="s">
        <v>688</v>
      </c>
      <c r="O674" t="str">
        <f>VLOOKUP(N674,Localizacoes!$G$3:$H$100,2,FALSE)</f>
        <v>SIL</v>
      </c>
      <c r="P674">
        <f>VLOOKUP(N674,ID!$G$3:$H$100,2,FALSE)</f>
        <v>164</v>
      </c>
      <c r="Q674" t="s">
        <v>141</v>
      </c>
      <c r="R674" t="str">
        <f>VLOOKUP(Q674,Localizacoes!$I$3:$J$100,2,FALSE)</f>
        <v>ILL</v>
      </c>
      <c r="S674" t="str">
        <f>VLOOKUP(Q674,ID!$I$3:$J$100,2,FALSE)</f>
        <v>ILL</v>
      </c>
      <c r="T674" s="4" t="s">
        <v>187</v>
      </c>
      <c r="U674" t="s">
        <v>265</v>
      </c>
      <c r="Y674" t="s">
        <v>270</v>
      </c>
      <c r="Z674" t="str">
        <f t="shared" si="135"/>
        <v>Iluminação 03</v>
      </c>
      <c r="AD674" s="9" t="s">
        <v>267</v>
      </c>
      <c r="AF674" t="str">
        <f t="shared" si="133"/>
        <v>Sistema de IluminaçãoIluminação</v>
      </c>
      <c r="AG674" s="28" t="str">
        <f>VLOOKUP(AF674,Imagens!$C$2:$D$42,2,FALSE)</f>
        <v>65e8e579bfe6c</v>
      </c>
      <c r="AH674" t="str">
        <f>_xlfn.CONCAT(Imagens!$H$2,'registo_ativo-CDs (1)'!AG674)</f>
        <v>assets/imagens/products/65e8e579bfe6c</v>
      </c>
      <c r="AI674" s="67">
        <v>45306</v>
      </c>
    </row>
    <row r="675" spans="1:35" ht="16.8" customHeight="1" x14ac:dyDescent="0.3">
      <c r="A675">
        <f t="shared" si="134"/>
        <v>15</v>
      </c>
      <c r="B675" t="str">
        <f t="shared" si="121"/>
        <v>PS21CAN152CAN03</v>
      </c>
      <c r="C675" t="str">
        <f t="shared" si="122"/>
        <v>PSAA-CFIN--QEL-CAN-03</v>
      </c>
      <c r="E675" t="s">
        <v>38</v>
      </c>
      <c r="F675" t="str">
        <f>VLOOKUP(E675,Localizacoes!$A$3:$B$100,2,FALSE)</f>
        <v>PSAA</v>
      </c>
      <c r="G675" t="str">
        <f>VLOOKUP(E675,ID!$A$3:$B$100,2,FALSE)</f>
        <v>PS</v>
      </c>
      <c r="H675" s="14" t="s">
        <v>605</v>
      </c>
      <c r="I675" t="str">
        <f>VLOOKUP(H675,Localizacoes!$C$3:$D$100,2,FALSE)</f>
        <v>CFIN</v>
      </c>
      <c r="J675">
        <f>VLOOKUP(H675,ID!$C$3:$D$100,2,FALSE)</f>
        <v>21</v>
      </c>
      <c r="K675" t="s">
        <v>101</v>
      </c>
      <c r="M675" t="str">
        <f>VLOOKUP(K675,ID!$E$3:$F$100,2,FALSE)</f>
        <v>CAN</v>
      </c>
      <c r="N675" t="s">
        <v>286</v>
      </c>
      <c r="O675" t="str">
        <f>VLOOKUP(N675,Localizacoes!$G$3:$H$100,2,FALSE)</f>
        <v>QEL</v>
      </c>
      <c r="P675">
        <f>VLOOKUP(N675,ID!$G$3:$H$100,2,FALSE)</f>
        <v>152</v>
      </c>
      <c r="Q675" t="s">
        <v>101</v>
      </c>
      <c r="R675" t="str">
        <f>VLOOKUP(Q675,Localizacoes!$I$3:$J$100,2,FALSE)</f>
        <v>CAN</v>
      </c>
      <c r="S675" t="str">
        <f>VLOOKUP(Q675,ID!$I$3:$J$100,2,FALSE)</f>
        <v>CAN</v>
      </c>
      <c r="T675" s="4" t="s">
        <v>187</v>
      </c>
      <c r="U675" t="s">
        <v>265</v>
      </c>
      <c r="Y675" t="s">
        <v>270</v>
      </c>
      <c r="Z675" t="str">
        <f t="shared" si="135"/>
        <v>Canalização Eléctrica 03</v>
      </c>
      <c r="AD675" s="9" t="s">
        <v>266</v>
      </c>
      <c r="AF675" t="str">
        <f t="shared" si="133"/>
        <v>Quadro EléctricoCanalização Eléctrica</v>
      </c>
      <c r="AG675" s="28" t="str">
        <f>VLOOKUP(AF675,Imagens!$C$2:$D$42,2,FALSE)</f>
        <v>65e8e4bb71249</v>
      </c>
      <c r="AH675" t="str">
        <f>_xlfn.CONCAT(Imagens!$H$2,'registo_ativo-CDs (1)'!AG675)</f>
        <v>assets/imagens/products/65e8e4bb71249</v>
      </c>
      <c r="AI675" s="67">
        <v>45446</v>
      </c>
    </row>
    <row r="676" spans="1:35" ht="16.8" customHeight="1" x14ac:dyDescent="0.3">
      <c r="A676">
        <f t="shared" si="134"/>
        <v>15</v>
      </c>
      <c r="B676" t="str">
        <f t="shared" si="121"/>
        <v>PS21CAN152QEI03</v>
      </c>
      <c r="C676" t="str">
        <f t="shared" si="122"/>
        <v>PSAA-CFIN-CAN-QEL-QEI-03</v>
      </c>
      <c r="E676" t="s">
        <v>38</v>
      </c>
      <c r="F676" t="str">
        <f>VLOOKUP(E676,Localizacoes!$A$3:$B$100,2,FALSE)</f>
        <v>PSAA</v>
      </c>
      <c r="G676" t="str">
        <f>VLOOKUP(E676,ID!$A$3:$B$100,2,FALSE)</f>
        <v>PS</v>
      </c>
      <c r="H676" s="14" t="s">
        <v>605</v>
      </c>
      <c r="I676" t="str">
        <f>VLOOKUP(H676,Localizacoes!$C$3:$D$100,2,FALSE)</f>
        <v>CFIN</v>
      </c>
      <c r="J676">
        <f>VLOOKUP(H676,ID!$C$3:$D$100,2,FALSE)</f>
        <v>21</v>
      </c>
      <c r="K676" t="s">
        <v>101</v>
      </c>
      <c r="L676" t="str">
        <f>VLOOKUP(K676,Localizacoes!$E$3:$F$100,2,FALSE)</f>
        <v>CAN</v>
      </c>
      <c r="M676" t="str">
        <f>VLOOKUP(K676,ID!$E$3:$F$100,2,FALSE)</f>
        <v>CAN</v>
      </c>
      <c r="N676" t="s">
        <v>286</v>
      </c>
      <c r="O676" t="str">
        <f>VLOOKUP(N676,Localizacoes!$G$3:$H$100,2,FALSE)</f>
        <v>QEL</v>
      </c>
      <c r="P676">
        <f>VLOOKUP(N676,ID!$G$3:$H$100,2,FALSE)</f>
        <v>152</v>
      </c>
      <c r="Q676" t="s">
        <v>446</v>
      </c>
      <c r="R676" t="str">
        <f>VLOOKUP(Q676,Localizacoes!$I$3:$J$100,2,FALSE)</f>
        <v>QEI</v>
      </c>
      <c r="S676" t="str">
        <f>VLOOKUP(Q676,ID!$I$3:$J$100,2,FALSE)</f>
        <v>QEI</v>
      </c>
      <c r="T676" s="4" t="s">
        <v>187</v>
      </c>
      <c r="U676" t="s">
        <v>265</v>
      </c>
      <c r="Y676" t="s">
        <v>270</v>
      </c>
      <c r="Z676" t="str">
        <f t="shared" si="135"/>
        <v>Quadro Eléctrico de Instrumentação 03</v>
      </c>
      <c r="AD676" s="9" t="s">
        <v>267</v>
      </c>
      <c r="AF676" t="str">
        <f t="shared" si="133"/>
        <v>Quadro EléctricoQuadro Eléctrico de Instrumentação</v>
      </c>
      <c r="AG676" s="28" t="str">
        <f>VLOOKUP(AF676,Imagens!$C$2:$D$42,2,FALSE)</f>
        <v>65d1346bf3835</v>
      </c>
      <c r="AH676" t="str">
        <f>_xlfn.CONCAT(Imagens!$H$2,'registo_ativo-CDs (1)'!AG676)</f>
        <v>assets/imagens/products/65d1346bf3835</v>
      </c>
      <c r="AI676" s="67">
        <v>45362</v>
      </c>
    </row>
    <row r="677" spans="1:35" ht="16.8" customHeight="1" x14ac:dyDescent="0.3">
      <c r="A677">
        <f t="shared" si="134"/>
        <v>15</v>
      </c>
      <c r="B677" t="str">
        <f t="shared" si="121"/>
        <v>PS21BBG141CME04</v>
      </c>
      <c r="C677" t="str">
        <f t="shared" si="122"/>
        <v>PSAA-CFIN--FUR-CME-04</v>
      </c>
      <c r="E677" t="s">
        <v>38</v>
      </c>
      <c r="F677" t="str">
        <f>VLOOKUP(E677,Localizacoes!$A$3:$B$100,2,FALSE)</f>
        <v>PSAA</v>
      </c>
      <c r="G677" t="str">
        <f>VLOOKUP(E677,ID!$A$3:$B$100,2,FALSE)</f>
        <v>PS</v>
      </c>
      <c r="H677" s="14" t="s">
        <v>605</v>
      </c>
      <c r="I677" t="str">
        <f>VLOOKUP(H677,Localizacoes!$C$3:$D$100,2,FALSE)</f>
        <v>CFIN</v>
      </c>
      <c r="J677">
        <f>VLOOKUP(H677,ID!$C$3:$D$100,2,FALSE)</f>
        <v>21</v>
      </c>
      <c r="K677" t="s">
        <v>274</v>
      </c>
      <c r="M677" t="str">
        <f>VLOOKUP(K677,ID!$E$3:$F$100,2,FALSE)</f>
        <v>BBG</v>
      </c>
      <c r="N677" t="s">
        <v>603</v>
      </c>
      <c r="O677" t="str">
        <f>VLOOKUP(N677,Localizacoes!$G$3:$H$100,2,FALSE)</f>
        <v>FUR</v>
      </c>
      <c r="P677">
        <f>VLOOKUP(N677,ID!$G$3:$H$100,2,FALSE)</f>
        <v>141</v>
      </c>
      <c r="Q677" t="s">
        <v>642</v>
      </c>
      <c r="R677" t="str">
        <f>VLOOKUP(Q677,Localizacoes!$I$3:$J$100,2,FALSE)</f>
        <v>CME</v>
      </c>
      <c r="S677" t="str">
        <f>VLOOKUP(Q677,ID!$I$3:$J$100,2,FALSE)</f>
        <v>CME</v>
      </c>
      <c r="T677" s="4" t="s">
        <v>188</v>
      </c>
      <c r="U677" t="s">
        <v>264</v>
      </c>
      <c r="Y677" t="s">
        <v>270</v>
      </c>
      <c r="Z677" t="str">
        <f t="shared" si="135"/>
        <v>Componentes mecânicos 04</v>
      </c>
      <c r="AD677" s="9" t="s">
        <v>7</v>
      </c>
      <c r="AF677" t="str">
        <f t="shared" si="133"/>
        <v>FuroComponentes mecânicos</v>
      </c>
      <c r="AG677" s="28" t="str">
        <f>VLOOKUP(AF677,Imagens!$C$2:$D$42,2,FALSE)</f>
        <v>511e9f0a</v>
      </c>
      <c r="AH677" t="str">
        <f>_xlfn.CONCAT(Imagens!$H$2,'registo_ativo-CDs (1)'!AG677)</f>
        <v>assets/imagens/products/511e9f0a</v>
      </c>
      <c r="AI677" s="67">
        <v>45306</v>
      </c>
    </row>
    <row r="678" spans="1:35" ht="16.8" customHeight="1" x14ac:dyDescent="0.3">
      <c r="A678">
        <f t="shared" si="134"/>
        <v>15</v>
      </c>
      <c r="B678" t="str">
        <f t="shared" si="121"/>
        <v>PS21QEA152QEA04</v>
      </c>
      <c r="C678" t="str">
        <f t="shared" si="122"/>
        <v>PSAA-CFIN--QEL-QEA-04</v>
      </c>
      <c r="E678" t="s">
        <v>38</v>
      </c>
      <c r="F678" t="str">
        <f>VLOOKUP(E678,Localizacoes!$A$3:$B$100,2,FALSE)</f>
        <v>PSAA</v>
      </c>
      <c r="G678" t="str">
        <f>VLOOKUP(E678,ID!$A$3:$B$100,2,FALSE)</f>
        <v>PS</v>
      </c>
      <c r="H678" s="14" t="s">
        <v>605</v>
      </c>
      <c r="I678" t="str">
        <f>VLOOKUP(H678,Localizacoes!$C$3:$D$100,2,FALSE)</f>
        <v>CFIN</v>
      </c>
      <c r="J678">
        <f>VLOOKUP(H678,ID!$C$3:$D$100,2,FALSE)</f>
        <v>21</v>
      </c>
      <c r="K678" t="s">
        <v>154</v>
      </c>
      <c r="M678" t="str">
        <f>VLOOKUP(K678,ID!$E$3:$F$100,2,FALSE)</f>
        <v>QEA</v>
      </c>
      <c r="N678" t="s">
        <v>286</v>
      </c>
      <c r="O678" t="str">
        <f>VLOOKUP(N678,Localizacoes!$G$3:$H$100,2,FALSE)</f>
        <v>QEL</v>
      </c>
      <c r="P678">
        <f>VLOOKUP(N678,ID!$G$3:$H$100,2,FALSE)</f>
        <v>152</v>
      </c>
      <c r="Q678" t="s">
        <v>154</v>
      </c>
      <c r="R678" t="str">
        <f>VLOOKUP(Q678,Localizacoes!$I$3:$J$100,2,FALSE)</f>
        <v>QEA</v>
      </c>
      <c r="S678" t="str">
        <f>VLOOKUP(Q678,ID!$I$3:$J$100,2,FALSE)</f>
        <v>QEA</v>
      </c>
      <c r="T678" s="4" t="s">
        <v>188</v>
      </c>
      <c r="U678" t="s">
        <v>265</v>
      </c>
      <c r="Y678" t="s">
        <v>270</v>
      </c>
      <c r="Z678" t="str">
        <f t="shared" si="135"/>
        <v>Quadros Eléctricos de Arranque 04</v>
      </c>
      <c r="AD678" s="9" t="s">
        <v>267</v>
      </c>
      <c r="AF678" t="str">
        <f t="shared" si="133"/>
        <v>Quadro EléctricoQuadros Eléctricos de Arranque</v>
      </c>
      <c r="AG678" s="28" t="str">
        <f>VLOOKUP(AF678,Imagens!$C$2:$D$42,2,FALSE)</f>
        <v>65e8d2fa35c12</v>
      </c>
      <c r="AH678" t="str">
        <f>_xlfn.CONCAT(Imagens!$H$2,'registo_ativo-CDs (1)'!AG678)</f>
        <v>assets/imagens/products/65e8d2fa35c12</v>
      </c>
      <c r="AI678" s="67">
        <v>45362</v>
      </c>
    </row>
    <row r="679" spans="1:35" ht="16.8" customHeight="1" x14ac:dyDescent="0.3">
      <c r="A679">
        <f t="shared" si="134"/>
        <v>15</v>
      </c>
      <c r="B679" t="str">
        <f t="shared" si="121"/>
        <v>PS21ILU164ILL04</v>
      </c>
      <c r="C679" t="str">
        <f t="shared" si="122"/>
        <v>PSAA-CFIN--SIL-ILL-04</v>
      </c>
      <c r="E679" t="s">
        <v>38</v>
      </c>
      <c r="F679" t="str">
        <f>VLOOKUP(E679,Localizacoes!$A$3:$B$100,2,FALSE)</f>
        <v>PSAA</v>
      </c>
      <c r="G679" t="str">
        <f>VLOOKUP(E679,ID!$A$3:$B$100,2,FALSE)</f>
        <v>PS</v>
      </c>
      <c r="H679" s="14" t="s">
        <v>605</v>
      </c>
      <c r="I679" t="str">
        <f>VLOOKUP(H679,Localizacoes!$C$3:$D$100,2,FALSE)</f>
        <v>CFIN</v>
      </c>
      <c r="J679">
        <f>VLOOKUP(H679,ID!$C$3:$D$100,2,FALSE)</f>
        <v>21</v>
      </c>
      <c r="K679" t="s">
        <v>141</v>
      </c>
      <c r="M679" t="str">
        <f>VLOOKUP(K679,ID!$E$3:$F$100,2,FALSE)</f>
        <v>ILU</v>
      </c>
      <c r="N679" t="s">
        <v>688</v>
      </c>
      <c r="O679" t="str">
        <f>VLOOKUP(N679,Localizacoes!$G$3:$H$100,2,FALSE)</f>
        <v>SIL</v>
      </c>
      <c r="P679">
        <f>VLOOKUP(N679,ID!$G$3:$H$100,2,FALSE)</f>
        <v>164</v>
      </c>
      <c r="Q679" t="s">
        <v>141</v>
      </c>
      <c r="R679" t="str">
        <f>VLOOKUP(Q679,Localizacoes!$I$3:$J$100,2,FALSE)</f>
        <v>ILL</v>
      </c>
      <c r="S679" t="str">
        <f>VLOOKUP(Q679,ID!$I$3:$J$100,2,FALSE)</f>
        <v>ILL</v>
      </c>
      <c r="T679" s="4" t="s">
        <v>188</v>
      </c>
      <c r="U679" t="s">
        <v>265</v>
      </c>
      <c r="Y679" t="s">
        <v>270</v>
      </c>
      <c r="Z679" t="str">
        <f t="shared" si="135"/>
        <v>Iluminação 04</v>
      </c>
      <c r="AD679" s="9" t="s">
        <v>267</v>
      </c>
      <c r="AF679" t="str">
        <f t="shared" si="133"/>
        <v>Sistema de IluminaçãoIluminação</v>
      </c>
      <c r="AG679" s="28" t="str">
        <f>VLOOKUP(AF679,Imagens!$C$2:$D$42,2,FALSE)</f>
        <v>65e8e579bfe6c</v>
      </c>
      <c r="AH679" t="str">
        <f>_xlfn.CONCAT(Imagens!$H$2,'registo_ativo-CDs (1)'!AG679)</f>
        <v>assets/imagens/products/65e8e579bfe6c</v>
      </c>
      <c r="AI679" s="67">
        <v>45306</v>
      </c>
    </row>
    <row r="680" spans="1:35" ht="16.8" customHeight="1" x14ac:dyDescent="0.3">
      <c r="A680">
        <f t="shared" si="134"/>
        <v>15</v>
      </c>
      <c r="B680" t="str">
        <f t="shared" si="121"/>
        <v>PS21CAN152CAN04</v>
      </c>
      <c r="C680" t="str">
        <f t="shared" si="122"/>
        <v>PSAA-CFIN--QEL-CAN-04</v>
      </c>
      <c r="E680" t="s">
        <v>38</v>
      </c>
      <c r="F680" t="str">
        <f>VLOOKUP(E680,Localizacoes!$A$3:$B$100,2,FALSE)</f>
        <v>PSAA</v>
      </c>
      <c r="G680" t="str">
        <f>VLOOKUP(E680,ID!$A$3:$B$100,2,FALSE)</f>
        <v>PS</v>
      </c>
      <c r="H680" s="14" t="s">
        <v>605</v>
      </c>
      <c r="I680" t="str">
        <f>VLOOKUP(H680,Localizacoes!$C$3:$D$100,2,FALSE)</f>
        <v>CFIN</v>
      </c>
      <c r="J680">
        <f>VLOOKUP(H680,ID!$C$3:$D$100,2,FALSE)</f>
        <v>21</v>
      </c>
      <c r="K680" t="s">
        <v>101</v>
      </c>
      <c r="M680" t="str">
        <f>VLOOKUP(K680,ID!$E$3:$F$100,2,FALSE)</f>
        <v>CAN</v>
      </c>
      <c r="N680" t="s">
        <v>286</v>
      </c>
      <c r="O680" t="str">
        <f>VLOOKUP(N680,Localizacoes!$G$3:$H$100,2,FALSE)</f>
        <v>QEL</v>
      </c>
      <c r="P680">
        <f>VLOOKUP(N680,ID!$G$3:$H$100,2,FALSE)</f>
        <v>152</v>
      </c>
      <c r="Q680" t="s">
        <v>101</v>
      </c>
      <c r="R680" t="str">
        <f>VLOOKUP(Q680,Localizacoes!$I$3:$J$100,2,FALSE)</f>
        <v>CAN</v>
      </c>
      <c r="S680" t="str">
        <f>VLOOKUP(Q680,ID!$I$3:$J$100,2,FALSE)</f>
        <v>CAN</v>
      </c>
      <c r="T680" s="4" t="s">
        <v>188</v>
      </c>
      <c r="U680" t="s">
        <v>265</v>
      </c>
      <c r="Y680" t="s">
        <v>270</v>
      </c>
      <c r="Z680" t="str">
        <f t="shared" si="135"/>
        <v>Canalização Eléctrica 04</v>
      </c>
      <c r="AD680" s="9" t="s">
        <v>266</v>
      </c>
      <c r="AF680" t="str">
        <f t="shared" si="133"/>
        <v>Quadro EléctricoCanalização Eléctrica</v>
      </c>
      <c r="AG680" s="28" t="str">
        <f>VLOOKUP(AF680,Imagens!$C$2:$D$42,2,FALSE)</f>
        <v>65e8e4bb71249</v>
      </c>
      <c r="AH680" t="str">
        <f>_xlfn.CONCAT(Imagens!$H$2,'registo_ativo-CDs (1)'!AG680)</f>
        <v>assets/imagens/products/65e8e4bb71249</v>
      </c>
      <c r="AI680" s="67">
        <v>45446</v>
      </c>
    </row>
    <row r="681" spans="1:35" ht="16.8" customHeight="1" x14ac:dyDescent="0.3">
      <c r="A681">
        <f t="shared" si="134"/>
        <v>15</v>
      </c>
      <c r="B681" t="str">
        <f t="shared" si="121"/>
        <v>PS21CAN152QEI04</v>
      </c>
      <c r="C681" t="str">
        <f t="shared" si="122"/>
        <v>PSAA-CFIN-CAN-QEL-QEI-04</v>
      </c>
      <c r="E681" t="s">
        <v>38</v>
      </c>
      <c r="F681" t="str">
        <f>VLOOKUP(E681,Localizacoes!$A$3:$B$100,2,FALSE)</f>
        <v>PSAA</v>
      </c>
      <c r="G681" t="str">
        <f>VLOOKUP(E681,ID!$A$3:$B$100,2,FALSE)</f>
        <v>PS</v>
      </c>
      <c r="H681" s="14" t="s">
        <v>605</v>
      </c>
      <c r="I681" t="str">
        <f>VLOOKUP(H681,Localizacoes!$C$3:$D$100,2,FALSE)</f>
        <v>CFIN</v>
      </c>
      <c r="J681">
        <f>VLOOKUP(H681,ID!$C$3:$D$100,2,FALSE)</f>
        <v>21</v>
      </c>
      <c r="K681" t="s">
        <v>101</v>
      </c>
      <c r="L681" t="str">
        <f>VLOOKUP(K681,Localizacoes!$E$3:$F$100,2,FALSE)</f>
        <v>CAN</v>
      </c>
      <c r="M681" t="str">
        <f>VLOOKUP(K681,ID!$E$3:$F$100,2,FALSE)</f>
        <v>CAN</v>
      </c>
      <c r="N681" t="s">
        <v>286</v>
      </c>
      <c r="O681" t="str">
        <f>VLOOKUP(N681,Localizacoes!$G$3:$H$100,2,FALSE)</f>
        <v>QEL</v>
      </c>
      <c r="P681">
        <f>VLOOKUP(N681,ID!$G$3:$H$100,2,FALSE)</f>
        <v>152</v>
      </c>
      <c r="Q681" t="s">
        <v>446</v>
      </c>
      <c r="R681" t="str">
        <f>VLOOKUP(Q681,Localizacoes!$I$3:$J$100,2,FALSE)</f>
        <v>QEI</v>
      </c>
      <c r="S681" t="str">
        <f>VLOOKUP(Q681,ID!$I$3:$J$100,2,FALSE)</f>
        <v>QEI</v>
      </c>
      <c r="T681" s="4" t="s">
        <v>188</v>
      </c>
      <c r="U681" t="s">
        <v>265</v>
      </c>
      <c r="Y681" t="s">
        <v>270</v>
      </c>
      <c r="Z681" t="str">
        <f t="shared" si="135"/>
        <v>Quadro Eléctrico de Instrumentação 04</v>
      </c>
      <c r="AD681" s="9" t="s">
        <v>267</v>
      </c>
      <c r="AF681" t="str">
        <f t="shared" si="133"/>
        <v>Quadro EléctricoQuadro Eléctrico de Instrumentação</v>
      </c>
      <c r="AG681" s="28" t="str">
        <f>VLOOKUP(AF681,Imagens!$C$2:$D$42,2,FALSE)</f>
        <v>65d1346bf3835</v>
      </c>
      <c r="AH681" t="str">
        <f>_xlfn.CONCAT(Imagens!$H$2,'registo_ativo-CDs (1)'!AG681)</f>
        <v>assets/imagens/products/65d1346bf3835</v>
      </c>
      <c r="AI681" s="67">
        <v>45362</v>
      </c>
    </row>
    <row r="682" spans="1:35" ht="16.8" customHeight="1" x14ac:dyDescent="0.3">
      <c r="A682">
        <f t="shared" si="134"/>
        <v>15</v>
      </c>
      <c r="B682" t="str">
        <f t="shared" si="121"/>
        <v>PS21BBG141CME05</v>
      </c>
      <c r="C682" t="str">
        <f t="shared" si="122"/>
        <v>PSAA-CFIN--FUR-CME-05</v>
      </c>
      <c r="E682" t="s">
        <v>38</v>
      </c>
      <c r="F682" t="str">
        <f>VLOOKUP(E682,Localizacoes!$A$3:$B$100,2,FALSE)</f>
        <v>PSAA</v>
      </c>
      <c r="G682" t="str">
        <f>VLOOKUP(E682,ID!$A$3:$B$100,2,FALSE)</f>
        <v>PS</v>
      </c>
      <c r="H682" s="14" t="s">
        <v>605</v>
      </c>
      <c r="I682" t="str">
        <f>VLOOKUP(H682,Localizacoes!$C$3:$D$100,2,FALSE)</f>
        <v>CFIN</v>
      </c>
      <c r="J682">
        <f>VLOOKUP(H682,ID!$C$3:$D$100,2,FALSE)</f>
        <v>21</v>
      </c>
      <c r="K682" t="s">
        <v>274</v>
      </c>
      <c r="M682" t="str">
        <f>VLOOKUP(K682,ID!$E$3:$F$100,2,FALSE)</f>
        <v>BBG</v>
      </c>
      <c r="N682" t="s">
        <v>603</v>
      </c>
      <c r="O682" t="str">
        <f>VLOOKUP(N682,Localizacoes!$G$3:$H$100,2,FALSE)</f>
        <v>FUR</v>
      </c>
      <c r="P682">
        <f>VLOOKUP(N682,ID!$G$3:$H$100,2,FALSE)</f>
        <v>141</v>
      </c>
      <c r="Q682" t="s">
        <v>642</v>
      </c>
      <c r="R682" t="str">
        <f>VLOOKUP(Q682,Localizacoes!$I$3:$J$100,2,FALSE)</f>
        <v>CME</v>
      </c>
      <c r="S682" t="str">
        <f>VLOOKUP(Q682,ID!$I$3:$J$100,2,FALSE)</f>
        <v>CME</v>
      </c>
      <c r="T682" s="4" t="s">
        <v>189</v>
      </c>
      <c r="U682" t="s">
        <v>264</v>
      </c>
      <c r="Y682" t="s">
        <v>270</v>
      </c>
      <c r="Z682" t="str">
        <f t="shared" si="135"/>
        <v>Componentes mecânicos 05</v>
      </c>
      <c r="AD682" s="9" t="s">
        <v>7</v>
      </c>
      <c r="AF682" t="str">
        <f t="shared" si="133"/>
        <v>FuroComponentes mecânicos</v>
      </c>
      <c r="AG682" s="28" t="str">
        <f>VLOOKUP(AF682,Imagens!$C$2:$D$42,2,FALSE)</f>
        <v>511e9f0a</v>
      </c>
      <c r="AH682" t="str">
        <f>_xlfn.CONCAT(Imagens!$H$2,'registo_ativo-CDs (1)'!AG682)</f>
        <v>assets/imagens/products/511e9f0a</v>
      </c>
      <c r="AI682" s="67">
        <v>45306</v>
      </c>
    </row>
    <row r="683" spans="1:35" ht="16.8" customHeight="1" x14ac:dyDescent="0.3">
      <c r="A683">
        <f t="shared" si="134"/>
        <v>15</v>
      </c>
      <c r="B683" t="str">
        <f t="shared" si="121"/>
        <v>PS21QEA152QEA05</v>
      </c>
      <c r="C683" t="str">
        <f t="shared" si="122"/>
        <v>PSAA-CFIN--QEL-QEA-05</v>
      </c>
      <c r="E683" t="s">
        <v>38</v>
      </c>
      <c r="F683" t="str">
        <f>VLOOKUP(E683,Localizacoes!$A$3:$B$100,2,FALSE)</f>
        <v>PSAA</v>
      </c>
      <c r="G683" t="str">
        <f>VLOOKUP(E683,ID!$A$3:$B$100,2,FALSE)</f>
        <v>PS</v>
      </c>
      <c r="H683" s="14" t="s">
        <v>605</v>
      </c>
      <c r="I683" t="str">
        <f>VLOOKUP(H683,Localizacoes!$C$3:$D$100,2,FALSE)</f>
        <v>CFIN</v>
      </c>
      <c r="J683">
        <f>VLOOKUP(H683,ID!$C$3:$D$100,2,FALSE)</f>
        <v>21</v>
      </c>
      <c r="K683" t="s">
        <v>154</v>
      </c>
      <c r="M683" t="str">
        <f>VLOOKUP(K683,ID!$E$3:$F$100,2,FALSE)</f>
        <v>QEA</v>
      </c>
      <c r="N683" t="s">
        <v>286</v>
      </c>
      <c r="O683" t="str">
        <f>VLOOKUP(N683,Localizacoes!$G$3:$H$100,2,FALSE)</f>
        <v>QEL</v>
      </c>
      <c r="P683">
        <f>VLOOKUP(N683,ID!$G$3:$H$100,2,FALSE)</f>
        <v>152</v>
      </c>
      <c r="Q683" t="s">
        <v>154</v>
      </c>
      <c r="R683" t="str">
        <f>VLOOKUP(Q683,Localizacoes!$I$3:$J$100,2,FALSE)</f>
        <v>QEA</v>
      </c>
      <c r="S683" t="str">
        <f>VLOOKUP(Q683,ID!$I$3:$J$100,2,FALSE)</f>
        <v>QEA</v>
      </c>
      <c r="T683" s="4" t="s">
        <v>189</v>
      </c>
      <c r="U683" t="s">
        <v>265</v>
      </c>
      <c r="Y683" t="s">
        <v>270</v>
      </c>
      <c r="Z683" t="str">
        <f t="shared" si="135"/>
        <v>Quadros Eléctricos de Arranque 05</v>
      </c>
      <c r="AD683" s="9" t="s">
        <v>267</v>
      </c>
      <c r="AF683" t="str">
        <f t="shared" si="133"/>
        <v>Quadro EléctricoQuadros Eléctricos de Arranque</v>
      </c>
      <c r="AG683" s="28" t="str">
        <f>VLOOKUP(AF683,Imagens!$C$2:$D$42,2,FALSE)</f>
        <v>65e8d2fa35c12</v>
      </c>
      <c r="AH683" t="str">
        <f>_xlfn.CONCAT(Imagens!$H$2,'registo_ativo-CDs (1)'!AG683)</f>
        <v>assets/imagens/products/65e8d2fa35c12</v>
      </c>
      <c r="AI683" s="67">
        <v>45362</v>
      </c>
    </row>
    <row r="684" spans="1:35" ht="16.8" customHeight="1" x14ac:dyDescent="0.3">
      <c r="A684">
        <f t="shared" si="134"/>
        <v>15</v>
      </c>
      <c r="B684" t="str">
        <f t="shared" si="121"/>
        <v>PS21ILU164ILL05</v>
      </c>
      <c r="C684" t="str">
        <f t="shared" si="122"/>
        <v>PSAA-CFIN--SIL-ILL-05</v>
      </c>
      <c r="E684" t="s">
        <v>38</v>
      </c>
      <c r="F684" t="str">
        <f>VLOOKUP(E684,Localizacoes!$A$3:$B$100,2,FALSE)</f>
        <v>PSAA</v>
      </c>
      <c r="G684" t="str">
        <f>VLOOKUP(E684,ID!$A$3:$B$100,2,FALSE)</f>
        <v>PS</v>
      </c>
      <c r="H684" s="14" t="s">
        <v>605</v>
      </c>
      <c r="I684" t="str">
        <f>VLOOKUP(H684,Localizacoes!$C$3:$D$100,2,FALSE)</f>
        <v>CFIN</v>
      </c>
      <c r="J684">
        <f>VLOOKUP(H684,ID!$C$3:$D$100,2,FALSE)</f>
        <v>21</v>
      </c>
      <c r="K684" t="s">
        <v>141</v>
      </c>
      <c r="M684" t="str">
        <f>VLOOKUP(K684,ID!$E$3:$F$100,2,FALSE)</f>
        <v>ILU</v>
      </c>
      <c r="N684" t="s">
        <v>688</v>
      </c>
      <c r="O684" t="str">
        <f>VLOOKUP(N684,Localizacoes!$G$3:$H$100,2,FALSE)</f>
        <v>SIL</v>
      </c>
      <c r="P684">
        <f>VLOOKUP(N684,ID!$G$3:$H$100,2,FALSE)</f>
        <v>164</v>
      </c>
      <c r="Q684" t="s">
        <v>141</v>
      </c>
      <c r="R684" t="str">
        <f>VLOOKUP(Q684,Localizacoes!$I$3:$J$100,2,FALSE)</f>
        <v>ILL</v>
      </c>
      <c r="S684" t="str">
        <f>VLOOKUP(Q684,ID!$I$3:$J$100,2,FALSE)</f>
        <v>ILL</v>
      </c>
      <c r="T684" s="4" t="s">
        <v>189</v>
      </c>
      <c r="U684" t="s">
        <v>265</v>
      </c>
      <c r="Y684" t="s">
        <v>270</v>
      </c>
      <c r="Z684" t="str">
        <f t="shared" si="135"/>
        <v>Iluminação 05</v>
      </c>
      <c r="AD684" s="9" t="s">
        <v>267</v>
      </c>
      <c r="AF684" t="str">
        <f t="shared" si="133"/>
        <v>Sistema de IluminaçãoIluminação</v>
      </c>
      <c r="AG684" s="28" t="str">
        <f>VLOOKUP(AF684,Imagens!$C$2:$D$42,2,FALSE)</f>
        <v>65e8e579bfe6c</v>
      </c>
      <c r="AH684" t="str">
        <f>_xlfn.CONCAT(Imagens!$H$2,'registo_ativo-CDs (1)'!AG684)</f>
        <v>assets/imagens/products/65e8e579bfe6c</v>
      </c>
      <c r="AI684" s="67">
        <v>45306</v>
      </c>
    </row>
    <row r="685" spans="1:35" ht="16.8" customHeight="1" x14ac:dyDescent="0.3">
      <c r="A685">
        <f t="shared" si="134"/>
        <v>15</v>
      </c>
      <c r="B685" t="str">
        <f t="shared" si="121"/>
        <v>PS21CAN152CAN05</v>
      </c>
      <c r="C685" t="str">
        <f t="shared" si="122"/>
        <v>PSAA-CFIN--QEL-CAN-05</v>
      </c>
      <c r="E685" t="s">
        <v>38</v>
      </c>
      <c r="F685" t="str">
        <f>VLOOKUP(E685,Localizacoes!$A$3:$B$100,2,FALSE)</f>
        <v>PSAA</v>
      </c>
      <c r="G685" t="str">
        <f>VLOOKUP(E685,ID!$A$3:$B$100,2,FALSE)</f>
        <v>PS</v>
      </c>
      <c r="H685" s="14" t="s">
        <v>605</v>
      </c>
      <c r="I685" t="str">
        <f>VLOOKUP(H685,Localizacoes!$C$3:$D$100,2,FALSE)</f>
        <v>CFIN</v>
      </c>
      <c r="J685">
        <f>VLOOKUP(H685,ID!$C$3:$D$100,2,FALSE)</f>
        <v>21</v>
      </c>
      <c r="K685" t="s">
        <v>101</v>
      </c>
      <c r="M685" t="str">
        <f>VLOOKUP(K685,ID!$E$3:$F$100,2,FALSE)</f>
        <v>CAN</v>
      </c>
      <c r="N685" t="s">
        <v>286</v>
      </c>
      <c r="O685" t="str">
        <f>VLOOKUP(N685,Localizacoes!$G$3:$H$100,2,FALSE)</f>
        <v>QEL</v>
      </c>
      <c r="P685">
        <f>VLOOKUP(N685,ID!$G$3:$H$100,2,FALSE)</f>
        <v>152</v>
      </c>
      <c r="Q685" t="s">
        <v>101</v>
      </c>
      <c r="R685" t="str">
        <f>VLOOKUP(Q685,Localizacoes!$I$3:$J$100,2,FALSE)</f>
        <v>CAN</v>
      </c>
      <c r="S685" t="str">
        <f>VLOOKUP(Q685,ID!$I$3:$J$100,2,FALSE)</f>
        <v>CAN</v>
      </c>
      <c r="T685" s="4" t="s">
        <v>189</v>
      </c>
      <c r="U685" t="s">
        <v>265</v>
      </c>
      <c r="Y685" t="s">
        <v>270</v>
      </c>
      <c r="Z685" t="str">
        <f t="shared" si="135"/>
        <v>Canalização Eléctrica 05</v>
      </c>
      <c r="AD685" s="9" t="s">
        <v>266</v>
      </c>
      <c r="AF685" t="str">
        <f t="shared" si="133"/>
        <v>Quadro EléctricoCanalização Eléctrica</v>
      </c>
      <c r="AG685" s="28" t="str">
        <f>VLOOKUP(AF685,Imagens!$C$2:$D$42,2,FALSE)</f>
        <v>65e8e4bb71249</v>
      </c>
      <c r="AH685" t="str">
        <f>_xlfn.CONCAT(Imagens!$H$2,'registo_ativo-CDs (1)'!AG685)</f>
        <v>assets/imagens/products/65e8e4bb71249</v>
      </c>
      <c r="AI685" s="67">
        <v>45446</v>
      </c>
    </row>
    <row r="686" spans="1:35" ht="16.8" customHeight="1" x14ac:dyDescent="0.3">
      <c r="A686">
        <f t="shared" si="134"/>
        <v>15</v>
      </c>
      <c r="B686" t="str">
        <f t="shared" si="121"/>
        <v>PS21CAN152QEI05</v>
      </c>
      <c r="C686" t="str">
        <f t="shared" si="122"/>
        <v>PSAA-CFIN-CAN-QEL-QEI-05</v>
      </c>
      <c r="E686" t="s">
        <v>38</v>
      </c>
      <c r="F686" t="str">
        <f>VLOOKUP(E686,Localizacoes!$A$3:$B$100,2,FALSE)</f>
        <v>PSAA</v>
      </c>
      <c r="G686" t="str">
        <f>VLOOKUP(E686,ID!$A$3:$B$100,2,FALSE)</f>
        <v>PS</v>
      </c>
      <c r="H686" s="14" t="s">
        <v>605</v>
      </c>
      <c r="I686" t="str">
        <f>VLOOKUP(H686,Localizacoes!$C$3:$D$100,2,FALSE)</f>
        <v>CFIN</v>
      </c>
      <c r="J686">
        <f>VLOOKUP(H686,ID!$C$3:$D$100,2,FALSE)</f>
        <v>21</v>
      </c>
      <c r="K686" t="s">
        <v>101</v>
      </c>
      <c r="L686" t="str">
        <f>VLOOKUP(K686,Localizacoes!$E$3:$F$100,2,FALSE)</f>
        <v>CAN</v>
      </c>
      <c r="M686" t="str">
        <f>VLOOKUP(K686,ID!$E$3:$F$100,2,FALSE)</f>
        <v>CAN</v>
      </c>
      <c r="N686" t="s">
        <v>286</v>
      </c>
      <c r="O686" t="str">
        <f>VLOOKUP(N686,Localizacoes!$G$3:$H$100,2,FALSE)</f>
        <v>QEL</v>
      </c>
      <c r="P686">
        <f>VLOOKUP(N686,ID!$G$3:$H$100,2,FALSE)</f>
        <v>152</v>
      </c>
      <c r="Q686" t="s">
        <v>446</v>
      </c>
      <c r="R686" t="str">
        <f>VLOOKUP(Q686,Localizacoes!$I$3:$J$100,2,FALSE)</f>
        <v>QEI</v>
      </c>
      <c r="S686" t="str">
        <f>VLOOKUP(Q686,ID!$I$3:$J$100,2,FALSE)</f>
        <v>QEI</v>
      </c>
      <c r="T686" s="4" t="s">
        <v>189</v>
      </c>
      <c r="U686" t="s">
        <v>265</v>
      </c>
      <c r="Y686" t="s">
        <v>270</v>
      </c>
      <c r="Z686" t="str">
        <f t="shared" si="135"/>
        <v>Quadro Eléctrico de Instrumentação 05</v>
      </c>
      <c r="AD686" s="9" t="s">
        <v>267</v>
      </c>
      <c r="AF686" t="str">
        <f t="shared" si="133"/>
        <v>Quadro EléctricoQuadro Eléctrico de Instrumentação</v>
      </c>
      <c r="AG686" s="28" t="str">
        <f>VLOOKUP(AF686,Imagens!$C$2:$D$42,2,FALSE)</f>
        <v>65d1346bf3835</v>
      </c>
      <c r="AH686" t="str">
        <f>_xlfn.CONCAT(Imagens!$H$2,'registo_ativo-CDs (1)'!AG686)</f>
        <v>assets/imagens/products/65d1346bf3835</v>
      </c>
      <c r="AI686" s="67">
        <v>45362</v>
      </c>
    </row>
    <row r="687" spans="1:35" ht="16.8" customHeight="1" x14ac:dyDescent="0.3">
      <c r="A687">
        <f t="shared" si="134"/>
        <v>15</v>
      </c>
      <c r="B687" t="str">
        <f t="shared" si="121"/>
        <v>PS21BBG141CME06</v>
      </c>
      <c r="C687" t="str">
        <f t="shared" si="122"/>
        <v>PSAA-CFIN--FUR-CME-06</v>
      </c>
      <c r="E687" t="s">
        <v>38</v>
      </c>
      <c r="F687" t="str">
        <f>VLOOKUP(E687,Localizacoes!$A$3:$B$100,2,FALSE)</f>
        <v>PSAA</v>
      </c>
      <c r="G687" t="str">
        <f>VLOOKUP(E687,ID!$A$3:$B$100,2,FALSE)</f>
        <v>PS</v>
      </c>
      <c r="H687" s="14" t="s">
        <v>605</v>
      </c>
      <c r="I687" t="str">
        <f>VLOOKUP(H687,Localizacoes!$C$3:$D$100,2,FALSE)</f>
        <v>CFIN</v>
      </c>
      <c r="J687">
        <f>VLOOKUP(H687,ID!$C$3:$D$100,2,FALSE)</f>
        <v>21</v>
      </c>
      <c r="K687" t="s">
        <v>274</v>
      </c>
      <c r="M687" t="str">
        <f>VLOOKUP(K687,ID!$E$3:$F$100,2,FALSE)</f>
        <v>BBG</v>
      </c>
      <c r="N687" t="s">
        <v>603</v>
      </c>
      <c r="O687" t="str">
        <f>VLOOKUP(N687,Localizacoes!$G$3:$H$100,2,FALSE)</f>
        <v>FUR</v>
      </c>
      <c r="P687">
        <f>VLOOKUP(N687,ID!$G$3:$H$100,2,FALSE)</f>
        <v>141</v>
      </c>
      <c r="Q687" t="s">
        <v>642</v>
      </c>
      <c r="R687" t="str">
        <f>VLOOKUP(Q687,Localizacoes!$I$3:$J$100,2,FALSE)</f>
        <v>CME</v>
      </c>
      <c r="S687" t="str">
        <f>VLOOKUP(Q687,ID!$I$3:$J$100,2,FALSE)</f>
        <v>CME</v>
      </c>
      <c r="T687" s="4" t="s">
        <v>190</v>
      </c>
      <c r="U687" t="s">
        <v>264</v>
      </c>
      <c r="Y687" t="s">
        <v>270</v>
      </c>
      <c r="Z687" t="str">
        <f t="shared" si="135"/>
        <v>Componentes mecânicos 06</v>
      </c>
      <c r="AD687" s="9" t="s">
        <v>7</v>
      </c>
      <c r="AF687" t="str">
        <f t="shared" si="133"/>
        <v>FuroComponentes mecânicos</v>
      </c>
      <c r="AG687" s="28" t="str">
        <f>VLOOKUP(AF687,Imagens!$C$2:$D$42,2,FALSE)</f>
        <v>511e9f0a</v>
      </c>
      <c r="AH687" t="str">
        <f>_xlfn.CONCAT(Imagens!$H$2,'registo_ativo-CDs (1)'!AG687)</f>
        <v>assets/imagens/products/511e9f0a</v>
      </c>
      <c r="AI687" s="67">
        <v>45306</v>
      </c>
    </row>
    <row r="688" spans="1:35" ht="16.8" customHeight="1" x14ac:dyDescent="0.3">
      <c r="A688">
        <f t="shared" si="134"/>
        <v>15</v>
      </c>
      <c r="B688" t="str">
        <f t="shared" si="121"/>
        <v>PS21QEA152QEA06</v>
      </c>
      <c r="C688" t="str">
        <f t="shared" si="122"/>
        <v>PSAA-CFIN--QEL-QEA-06</v>
      </c>
      <c r="E688" t="s">
        <v>38</v>
      </c>
      <c r="F688" t="str">
        <f>VLOOKUP(E688,Localizacoes!$A$3:$B$100,2,FALSE)</f>
        <v>PSAA</v>
      </c>
      <c r="G688" t="str">
        <f>VLOOKUP(E688,ID!$A$3:$B$100,2,FALSE)</f>
        <v>PS</v>
      </c>
      <c r="H688" s="14" t="s">
        <v>605</v>
      </c>
      <c r="I688" t="str">
        <f>VLOOKUP(H688,Localizacoes!$C$3:$D$100,2,FALSE)</f>
        <v>CFIN</v>
      </c>
      <c r="J688">
        <f>VLOOKUP(H688,ID!$C$3:$D$100,2,FALSE)</f>
        <v>21</v>
      </c>
      <c r="K688" t="s">
        <v>154</v>
      </c>
      <c r="M688" t="str">
        <f>VLOOKUP(K688,ID!$E$3:$F$100,2,FALSE)</f>
        <v>QEA</v>
      </c>
      <c r="N688" t="s">
        <v>286</v>
      </c>
      <c r="O688" t="str">
        <f>VLOOKUP(N688,Localizacoes!$G$3:$H$100,2,FALSE)</f>
        <v>QEL</v>
      </c>
      <c r="P688">
        <f>VLOOKUP(N688,ID!$G$3:$H$100,2,FALSE)</f>
        <v>152</v>
      </c>
      <c r="Q688" t="s">
        <v>154</v>
      </c>
      <c r="R688" t="str">
        <f>VLOOKUP(Q688,Localizacoes!$I$3:$J$100,2,FALSE)</f>
        <v>QEA</v>
      </c>
      <c r="S688" t="str">
        <f>VLOOKUP(Q688,ID!$I$3:$J$100,2,FALSE)</f>
        <v>QEA</v>
      </c>
      <c r="T688" s="4" t="s">
        <v>190</v>
      </c>
      <c r="U688" t="s">
        <v>265</v>
      </c>
      <c r="Y688" t="s">
        <v>270</v>
      </c>
      <c r="Z688" t="str">
        <f t="shared" si="135"/>
        <v>Quadros Eléctricos de Arranque 06</v>
      </c>
      <c r="AD688" s="9" t="s">
        <v>267</v>
      </c>
      <c r="AF688" t="str">
        <f t="shared" si="133"/>
        <v>Quadro EléctricoQuadros Eléctricos de Arranque</v>
      </c>
      <c r="AG688" s="28" t="str">
        <f>VLOOKUP(AF688,Imagens!$C$2:$D$42,2,FALSE)</f>
        <v>65e8d2fa35c12</v>
      </c>
      <c r="AH688" t="str">
        <f>_xlfn.CONCAT(Imagens!$H$2,'registo_ativo-CDs (1)'!AG688)</f>
        <v>assets/imagens/products/65e8d2fa35c12</v>
      </c>
      <c r="AI688" s="67">
        <v>45362</v>
      </c>
    </row>
    <row r="689" spans="1:35" ht="16.8" customHeight="1" x14ac:dyDescent="0.3">
      <c r="A689">
        <f t="shared" si="134"/>
        <v>15</v>
      </c>
      <c r="B689" t="str">
        <f t="shared" si="121"/>
        <v>PS21ILU164ILL06</v>
      </c>
      <c r="C689" t="str">
        <f t="shared" si="122"/>
        <v>PSAA-CFIN--SIL-ILL-06</v>
      </c>
      <c r="E689" t="s">
        <v>38</v>
      </c>
      <c r="F689" t="str">
        <f>VLOOKUP(E689,Localizacoes!$A$3:$B$100,2,FALSE)</f>
        <v>PSAA</v>
      </c>
      <c r="G689" t="str">
        <f>VLOOKUP(E689,ID!$A$3:$B$100,2,FALSE)</f>
        <v>PS</v>
      </c>
      <c r="H689" s="14" t="s">
        <v>605</v>
      </c>
      <c r="I689" t="str">
        <f>VLOOKUP(H689,Localizacoes!$C$3:$D$100,2,FALSE)</f>
        <v>CFIN</v>
      </c>
      <c r="J689">
        <f>VLOOKUP(H689,ID!$C$3:$D$100,2,FALSE)</f>
        <v>21</v>
      </c>
      <c r="K689" t="s">
        <v>141</v>
      </c>
      <c r="M689" t="str">
        <f>VLOOKUP(K689,ID!$E$3:$F$100,2,FALSE)</f>
        <v>ILU</v>
      </c>
      <c r="N689" t="s">
        <v>688</v>
      </c>
      <c r="O689" t="str">
        <f>VLOOKUP(N689,Localizacoes!$G$3:$H$100,2,FALSE)</f>
        <v>SIL</v>
      </c>
      <c r="P689">
        <f>VLOOKUP(N689,ID!$G$3:$H$100,2,FALSE)</f>
        <v>164</v>
      </c>
      <c r="Q689" t="s">
        <v>141</v>
      </c>
      <c r="R689" t="str">
        <f>VLOOKUP(Q689,Localizacoes!$I$3:$J$100,2,FALSE)</f>
        <v>ILL</v>
      </c>
      <c r="S689" t="str">
        <f>VLOOKUP(Q689,ID!$I$3:$J$100,2,FALSE)</f>
        <v>ILL</v>
      </c>
      <c r="T689" s="4" t="s">
        <v>190</v>
      </c>
      <c r="U689" t="s">
        <v>265</v>
      </c>
      <c r="Y689" t="s">
        <v>270</v>
      </c>
      <c r="Z689" t="str">
        <f t="shared" si="135"/>
        <v>Iluminação 06</v>
      </c>
      <c r="AD689" s="9" t="s">
        <v>267</v>
      </c>
      <c r="AF689" t="str">
        <f t="shared" si="133"/>
        <v>Sistema de IluminaçãoIluminação</v>
      </c>
      <c r="AG689" s="28" t="str">
        <f>VLOOKUP(AF689,Imagens!$C$2:$D$42,2,FALSE)</f>
        <v>65e8e579bfe6c</v>
      </c>
      <c r="AH689" t="str">
        <f>_xlfn.CONCAT(Imagens!$H$2,'registo_ativo-CDs (1)'!AG689)</f>
        <v>assets/imagens/products/65e8e579bfe6c</v>
      </c>
      <c r="AI689" s="67">
        <v>45306</v>
      </c>
    </row>
    <row r="690" spans="1:35" ht="16.8" customHeight="1" x14ac:dyDescent="0.3">
      <c r="A690">
        <f t="shared" si="134"/>
        <v>15</v>
      </c>
      <c r="B690" t="str">
        <f t="shared" si="121"/>
        <v>PS21CAN152CAN06</v>
      </c>
      <c r="C690" t="str">
        <f t="shared" si="122"/>
        <v>PSAA-CFIN--QEL-CAN-06</v>
      </c>
      <c r="E690" t="s">
        <v>38</v>
      </c>
      <c r="F690" t="str">
        <f>VLOOKUP(E690,Localizacoes!$A$3:$B$100,2,FALSE)</f>
        <v>PSAA</v>
      </c>
      <c r="G690" t="str">
        <f>VLOOKUP(E690,ID!$A$3:$B$100,2,FALSE)</f>
        <v>PS</v>
      </c>
      <c r="H690" s="14" t="s">
        <v>605</v>
      </c>
      <c r="I690" t="str">
        <f>VLOOKUP(H690,Localizacoes!$C$3:$D$100,2,FALSE)</f>
        <v>CFIN</v>
      </c>
      <c r="J690">
        <f>VLOOKUP(H690,ID!$C$3:$D$100,2,FALSE)</f>
        <v>21</v>
      </c>
      <c r="K690" t="s">
        <v>101</v>
      </c>
      <c r="M690" t="str">
        <f>VLOOKUP(K690,ID!$E$3:$F$100,2,FALSE)</f>
        <v>CAN</v>
      </c>
      <c r="N690" t="s">
        <v>286</v>
      </c>
      <c r="O690" t="str">
        <f>VLOOKUP(N690,Localizacoes!$G$3:$H$100,2,FALSE)</f>
        <v>QEL</v>
      </c>
      <c r="P690">
        <f>VLOOKUP(N690,ID!$G$3:$H$100,2,FALSE)</f>
        <v>152</v>
      </c>
      <c r="Q690" t="s">
        <v>101</v>
      </c>
      <c r="R690" t="str">
        <f>VLOOKUP(Q690,Localizacoes!$I$3:$J$100,2,FALSE)</f>
        <v>CAN</v>
      </c>
      <c r="S690" t="str">
        <f>VLOOKUP(Q690,ID!$I$3:$J$100,2,FALSE)</f>
        <v>CAN</v>
      </c>
      <c r="T690" s="4" t="s">
        <v>190</v>
      </c>
      <c r="U690" t="s">
        <v>265</v>
      </c>
      <c r="Y690" t="s">
        <v>270</v>
      </c>
      <c r="Z690" t="str">
        <f t="shared" si="135"/>
        <v>Canalização Eléctrica 06</v>
      </c>
      <c r="AD690" s="9" t="s">
        <v>266</v>
      </c>
      <c r="AF690" t="str">
        <f t="shared" si="133"/>
        <v>Quadro EléctricoCanalização Eléctrica</v>
      </c>
      <c r="AG690" s="28" t="str">
        <f>VLOOKUP(AF690,Imagens!$C$2:$D$42,2,FALSE)</f>
        <v>65e8e4bb71249</v>
      </c>
      <c r="AH690" t="str">
        <f>_xlfn.CONCAT(Imagens!$H$2,'registo_ativo-CDs (1)'!AG690)</f>
        <v>assets/imagens/products/65e8e4bb71249</v>
      </c>
      <c r="AI690" s="67">
        <v>45446</v>
      </c>
    </row>
    <row r="691" spans="1:35" ht="16.8" customHeight="1" x14ac:dyDescent="0.3">
      <c r="A691">
        <f t="shared" si="134"/>
        <v>15</v>
      </c>
      <c r="B691" t="str">
        <f t="shared" si="121"/>
        <v>PS21CAN152QEI01</v>
      </c>
      <c r="C691" t="str">
        <f t="shared" si="122"/>
        <v>PSAA-CFIN-CAN-QEL-QEI-01</v>
      </c>
      <c r="E691" t="s">
        <v>38</v>
      </c>
      <c r="F691" t="str">
        <f>VLOOKUP(E691,Localizacoes!$A$3:$B$100,2,FALSE)</f>
        <v>PSAA</v>
      </c>
      <c r="G691" t="str">
        <f>VLOOKUP(E691,ID!$A$3:$B$100,2,FALSE)</f>
        <v>PS</v>
      </c>
      <c r="H691" s="14" t="s">
        <v>605</v>
      </c>
      <c r="I691" t="str">
        <f>VLOOKUP(H691,Localizacoes!$C$3:$D$100,2,FALSE)</f>
        <v>CFIN</v>
      </c>
      <c r="J691">
        <f>VLOOKUP(H691,ID!$C$3:$D$100,2,FALSE)</f>
        <v>21</v>
      </c>
      <c r="K691" t="s">
        <v>101</v>
      </c>
      <c r="L691" t="str">
        <f>VLOOKUP(K691,Localizacoes!$E$3:$F$100,2,FALSE)</f>
        <v>CAN</v>
      </c>
      <c r="M691" t="str">
        <f>VLOOKUP(K691,ID!$E$3:$F$100,2,FALSE)</f>
        <v>CAN</v>
      </c>
      <c r="N691" t="s">
        <v>286</v>
      </c>
      <c r="O691" t="str">
        <f>VLOOKUP(N691,Localizacoes!$G$3:$H$100,2,FALSE)</f>
        <v>QEL</v>
      </c>
      <c r="P691">
        <f>VLOOKUP(N691,ID!$G$3:$H$100,2,FALSE)</f>
        <v>152</v>
      </c>
      <c r="Q691" t="s">
        <v>446</v>
      </c>
      <c r="R691" t="str">
        <f>VLOOKUP(Q691,Localizacoes!$I$3:$J$100,2,FALSE)</f>
        <v>QEI</v>
      </c>
      <c r="S691" t="str">
        <f>VLOOKUP(Q691,ID!$I$3:$J$100,2,FALSE)</f>
        <v>QEI</v>
      </c>
      <c r="T691" s="4" t="s">
        <v>182</v>
      </c>
      <c r="U691" t="s">
        <v>265</v>
      </c>
      <c r="Y691" t="s">
        <v>270</v>
      </c>
      <c r="Z691" t="str">
        <f t="shared" si="135"/>
        <v>Quadro Eléctrico de Instrumentação 01</v>
      </c>
      <c r="AD691" s="9" t="s">
        <v>267</v>
      </c>
      <c r="AF691" t="str">
        <f t="shared" si="133"/>
        <v>Quadro EléctricoQuadro Eléctrico de Instrumentação</v>
      </c>
      <c r="AG691" s="28" t="str">
        <f>VLOOKUP(AF691,Imagens!$C$2:$D$42,2,FALSE)</f>
        <v>65d1346bf3835</v>
      </c>
      <c r="AH691" t="str">
        <f>_xlfn.CONCAT(Imagens!$H$2,'registo_ativo-CDs (1)'!AG691)</f>
        <v>assets/imagens/products/65d1346bf3835</v>
      </c>
      <c r="AI691" s="67">
        <v>45362</v>
      </c>
    </row>
    <row r="692" spans="1:35" ht="16.8" customHeight="1" x14ac:dyDescent="0.3">
      <c r="A692">
        <f t="shared" si="134"/>
        <v>15</v>
      </c>
      <c r="B692" t="str">
        <f t="shared" ref="B692:B696" si="136">CONCATENATE(G692,J692,M692,P692,S692,T692)</f>
        <v>PS85BBG141CME01</v>
      </c>
      <c r="C692" t="str">
        <f t="shared" ref="C692:C696" si="137">CONCATENATE(F692, "-", I692, "-", L692, "-", O692, "-", R692, "-", T692)</f>
        <v>PSAA-3FV--FUR-CME-01</v>
      </c>
      <c r="E692" t="s">
        <v>38</v>
      </c>
      <c r="F692" t="str">
        <f>VLOOKUP(E692,Localizacoes!$A$3:$B$100,2,FALSE)</f>
        <v>PSAA</v>
      </c>
      <c r="G692" t="str">
        <f>VLOOKUP(E692,ID!$A$3:$B$100,2,FALSE)</f>
        <v>PS</v>
      </c>
      <c r="H692" s="36" t="s">
        <v>1085</v>
      </c>
      <c r="I692" t="str">
        <f>VLOOKUP(H692,Localizacoes!$C$3:$D$100,2,FALSE)</f>
        <v>3FV</v>
      </c>
      <c r="J692">
        <f>VLOOKUP(H692,ID!$C$3:$D$100,2,FALSE)</f>
        <v>85</v>
      </c>
      <c r="K692" t="s">
        <v>274</v>
      </c>
      <c r="M692" t="str">
        <f>VLOOKUP(K692,ID!$E$3:$F$100,2,FALSE)</f>
        <v>BBG</v>
      </c>
      <c r="N692" t="s">
        <v>603</v>
      </c>
      <c r="O692" t="str">
        <f>VLOOKUP(N692,Localizacoes!$G$3:$H$100,2,FALSE)</f>
        <v>FUR</v>
      </c>
      <c r="P692">
        <f>VLOOKUP(N692,ID!$G$3:$H$100,2,FALSE)</f>
        <v>141</v>
      </c>
      <c r="Q692" t="s">
        <v>642</v>
      </c>
      <c r="R692" t="str">
        <f>VLOOKUP(Q692,Localizacoes!$I$3:$J$100,2,FALSE)</f>
        <v>CME</v>
      </c>
      <c r="S692" t="str">
        <f>VLOOKUP(Q692,ID!$I$3:$J$100,2,FALSE)</f>
        <v>CME</v>
      </c>
      <c r="T692" s="4" t="s">
        <v>182</v>
      </c>
      <c r="U692" t="s">
        <v>264</v>
      </c>
      <c r="Y692" t="s">
        <v>270</v>
      </c>
      <c r="Z692" t="str">
        <f t="shared" si="135"/>
        <v>Componentes mecânicos 01</v>
      </c>
      <c r="AD692" s="9" t="s">
        <v>7</v>
      </c>
      <c r="AF692" t="str">
        <f t="shared" si="133"/>
        <v>FuroComponentes mecânicos</v>
      </c>
      <c r="AG692" s="28" t="str">
        <f>VLOOKUP(AF692,Imagens!$C$2:$D$42,2,FALSE)</f>
        <v>511e9f0a</v>
      </c>
      <c r="AH692" t="str">
        <f>_xlfn.CONCAT(Imagens!$H$2,'registo_ativo-CDs (1)'!AG692)</f>
        <v>assets/imagens/products/511e9f0a</v>
      </c>
      <c r="AI692" s="67">
        <v>45307</v>
      </c>
    </row>
    <row r="693" spans="1:35" ht="16.8" customHeight="1" x14ac:dyDescent="0.3">
      <c r="A693">
        <f t="shared" si="134"/>
        <v>15</v>
      </c>
      <c r="B693" t="str">
        <f t="shared" si="136"/>
        <v>PS85QEA152QEL01</v>
      </c>
      <c r="C693" t="str">
        <f t="shared" si="137"/>
        <v>PSAA-3FV--QEL-QEL-01</v>
      </c>
      <c r="E693" t="s">
        <v>38</v>
      </c>
      <c r="F693" t="str">
        <f>VLOOKUP(E693,Localizacoes!$A$3:$B$100,2,FALSE)</f>
        <v>PSAA</v>
      </c>
      <c r="G693" t="str">
        <f>VLOOKUP(E693,ID!$A$3:$B$100,2,FALSE)</f>
        <v>PS</v>
      </c>
      <c r="H693" s="36" t="s">
        <v>1085</v>
      </c>
      <c r="I693" t="str">
        <f>VLOOKUP(H693,Localizacoes!$C$3:$D$100,2,FALSE)</f>
        <v>3FV</v>
      </c>
      <c r="J693">
        <f>VLOOKUP(H693,ID!$C$3:$D$100,2,FALSE)</f>
        <v>85</v>
      </c>
      <c r="K693" t="s">
        <v>154</v>
      </c>
      <c r="M693" t="str">
        <f>VLOOKUP(K693,ID!$E$3:$F$100,2,FALSE)</f>
        <v>QEA</v>
      </c>
      <c r="N693" t="s">
        <v>286</v>
      </c>
      <c r="O693" t="str">
        <f>VLOOKUP(N693,Localizacoes!$G$3:$H$100,2,FALSE)</f>
        <v>QEL</v>
      </c>
      <c r="P693">
        <f>VLOOKUP(N693,ID!$G$3:$H$100,2,FALSE)</f>
        <v>152</v>
      </c>
      <c r="Q693" t="s">
        <v>286</v>
      </c>
      <c r="R693" t="str">
        <f>VLOOKUP(Q693,Localizacoes!$I$3:$J$100,2,FALSE)</f>
        <v>QEL</v>
      </c>
      <c r="S693" t="str">
        <f>VLOOKUP(Q693,ID!$I$3:$J$100,2,FALSE)</f>
        <v>QEL</v>
      </c>
      <c r="T693" s="4" t="s">
        <v>182</v>
      </c>
      <c r="U693" t="s">
        <v>265</v>
      </c>
      <c r="Y693" t="s">
        <v>270</v>
      </c>
      <c r="Z693" t="str">
        <f t="shared" si="135"/>
        <v>Quadro Eléctrico 01</v>
      </c>
      <c r="AD693" s="9" t="s">
        <v>267</v>
      </c>
      <c r="AF693" t="str">
        <f t="shared" si="133"/>
        <v>Quadro EléctricoQuadro Eléctrico</v>
      </c>
      <c r="AG693" s="28" t="str">
        <f>VLOOKUP(AF693,Imagens!$C$2:$D$42,2,FALSE)</f>
        <v>65d1346bf3835</v>
      </c>
      <c r="AH693" t="str">
        <f>_xlfn.CONCAT(Imagens!$H$2,'registo_ativo-CDs (1)'!AG693)</f>
        <v>assets/imagens/products/65d1346bf3835</v>
      </c>
      <c r="AI693" s="67">
        <v>45303</v>
      </c>
    </row>
    <row r="694" spans="1:35" ht="16.8" customHeight="1" x14ac:dyDescent="0.3">
      <c r="A694">
        <f t="shared" si="134"/>
        <v>15</v>
      </c>
      <c r="B694" t="str">
        <f t="shared" si="136"/>
        <v>PS85ILU152ILL01</v>
      </c>
      <c r="C694" t="str">
        <f t="shared" si="137"/>
        <v>PSAA-3FV--QEL-ILL-01</v>
      </c>
      <c r="E694" t="s">
        <v>38</v>
      </c>
      <c r="F694" t="str">
        <f>VLOOKUP(E694,Localizacoes!$A$3:$B$100,2,FALSE)</f>
        <v>PSAA</v>
      </c>
      <c r="G694" t="str">
        <f>VLOOKUP(E694,ID!$A$3:$B$100,2,FALSE)</f>
        <v>PS</v>
      </c>
      <c r="H694" s="36" t="s">
        <v>1085</v>
      </c>
      <c r="I694" t="str">
        <f>VLOOKUP(H694,Localizacoes!$C$3:$D$100,2,FALSE)</f>
        <v>3FV</v>
      </c>
      <c r="J694">
        <f>VLOOKUP(H694,ID!$C$3:$D$100,2,FALSE)</f>
        <v>85</v>
      </c>
      <c r="K694" t="s">
        <v>141</v>
      </c>
      <c r="M694" t="str">
        <f>VLOOKUP(K694,ID!$E$3:$F$100,2,FALSE)</f>
        <v>ILU</v>
      </c>
      <c r="N694" t="s">
        <v>286</v>
      </c>
      <c r="O694" t="str">
        <f>VLOOKUP(N694,Localizacoes!$G$3:$H$100,2,FALSE)</f>
        <v>QEL</v>
      </c>
      <c r="P694">
        <f>VLOOKUP(N694,ID!$G$3:$H$100,2,FALSE)</f>
        <v>152</v>
      </c>
      <c r="Q694" t="s">
        <v>141</v>
      </c>
      <c r="R694" t="str">
        <f>VLOOKUP(Q694,Localizacoes!$I$3:$J$100,2,FALSE)</f>
        <v>ILL</v>
      </c>
      <c r="S694" t="str">
        <f>VLOOKUP(Q694,ID!$I$3:$J$100,2,FALSE)</f>
        <v>ILL</v>
      </c>
      <c r="T694" s="4" t="s">
        <v>182</v>
      </c>
      <c r="U694" t="s">
        <v>265</v>
      </c>
      <c r="Y694" t="s">
        <v>270</v>
      </c>
      <c r="Z694" t="str">
        <f t="shared" si="135"/>
        <v>Iluminação 01</v>
      </c>
      <c r="AD694" s="9" t="s">
        <v>267</v>
      </c>
      <c r="AF694" t="str">
        <f t="shared" si="133"/>
        <v>Quadro EléctricoIluminação</v>
      </c>
      <c r="AG694" s="28" t="str">
        <f>VLOOKUP(AF694,Imagens!$C$2:$D$42,2,FALSE)</f>
        <v>65e8e579bfe6c</v>
      </c>
      <c r="AH694" t="str">
        <f>_xlfn.CONCAT(Imagens!$H$2,'registo_ativo-CDs (1)'!AG694)</f>
        <v>assets/imagens/products/65e8e579bfe6c</v>
      </c>
      <c r="AI694" s="67">
        <v>45307</v>
      </c>
    </row>
    <row r="695" spans="1:35" ht="16.8" customHeight="1" x14ac:dyDescent="0.3">
      <c r="A695">
        <f t="shared" si="134"/>
        <v>15</v>
      </c>
      <c r="B695" t="str">
        <f t="shared" si="136"/>
        <v>PS85BBG141CME02</v>
      </c>
      <c r="C695" t="str">
        <f t="shared" si="137"/>
        <v>PSAA-3FV--FUR-CME-02</v>
      </c>
      <c r="E695" t="s">
        <v>38</v>
      </c>
      <c r="F695" t="str">
        <f>VLOOKUP(E695,Localizacoes!$A$3:$B$100,2,FALSE)</f>
        <v>PSAA</v>
      </c>
      <c r="G695" t="str">
        <f>VLOOKUP(E695,ID!$A$3:$B$100,2,FALSE)</f>
        <v>PS</v>
      </c>
      <c r="H695" s="36" t="s">
        <v>1085</v>
      </c>
      <c r="I695" t="str">
        <f>VLOOKUP(H695,Localizacoes!$C$3:$D$100,2,FALSE)</f>
        <v>3FV</v>
      </c>
      <c r="J695">
        <f>VLOOKUP(H695,ID!$C$3:$D$100,2,FALSE)</f>
        <v>85</v>
      </c>
      <c r="K695" t="s">
        <v>274</v>
      </c>
      <c r="M695" t="str">
        <f>VLOOKUP(K695,ID!$E$3:$F$100,2,FALSE)</f>
        <v>BBG</v>
      </c>
      <c r="N695" t="s">
        <v>603</v>
      </c>
      <c r="O695" t="str">
        <f>VLOOKUP(N695,Localizacoes!$G$3:$H$100,2,FALSE)</f>
        <v>FUR</v>
      </c>
      <c r="P695">
        <f>VLOOKUP(N695,ID!$G$3:$H$100,2,FALSE)</f>
        <v>141</v>
      </c>
      <c r="Q695" t="s">
        <v>642</v>
      </c>
      <c r="R695" t="str">
        <f>VLOOKUP(Q695,Localizacoes!$I$3:$J$100,2,FALSE)</f>
        <v>CME</v>
      </c>
      <c r="S695" t="str">
        <f>VLOOKUP(Q695,ID!$I$3:$J$100,2,FALSE)</f>
        <v>CME</v>
      </c>
      <c r="T695" s="4" t="s">
        <v>186</v>
      </c>
      <c r="U695" t="s">
        <v>264</v>
      </c>
      <c r="Y695" t="s">
        <v>270</v>
      </c>
      <c r="Z695" t="str">
        <f t="shared" si="135"/>
        <v>Componentes mecânicos 02</v>
      </c>
      <c r="AD695" s="9" t="s">
        <v>7</v>
      </c>
      <c r="AF695" t="str">
        <f t="shared" si="133"/>
        <v>FuroComponentes mecânicos</v>
      </c>
      <c r="AG695" s="28" t="str">
        <f>VLOOKUP(AF695,Imagens!$C$2:$D$42,2,FALSE)</f>
        <v>511e9f0a</v>
      </c>
      <c r="AH695" t="str">
        <f>_xlfn.CONCAT(Imagens!$H$2,'registo_ativo-CDs (1)'!AG695)</f>
        <v>assets/imagens/products/511e9f0a</v>
      </c>
      <c r="AI695" s="67">
        <v>45307</v>
      </c>
    </row>
    <row r="696" spans="1:35" ht="16.8" customHeight="1" x14ac:dyDescent="0.3">
      <c r="A696">
        <f t="shared" si="134"/>
        <v>15</v>
      </c>
      <c r="B696" t="str">
        <f t="shared" si="136"/>
        <v>PS85QEA152QEL02</v>
      </c>
      <c r="C696" t="str">
        <f t="shared" si="137"/>
        <v>PSAA-3FV--QEL-QEL-02</v>
      </c>
      <c r="E696" t="s">
        <v>38</v>
      </c>
      <c r="F696" t="str">
        <f>VLOOKUP(E696,Localizacoes!$A$3:$B$100,2,FALSE)</f>
        <v>PSAA</v>
      </c>
      <c r="G696" t="str">
        <f>VLOOKUP(E696,ID!$A$3:$B$100,2,FALSE)</f>
        <v>PS</v>
      </c>
      <c r="H696" s="36" t="s">
        <v>1085</v>
      </c>
      <c r="I696" t="str">
        <f>VLOOKUP(H696,Localizacoes!$C$3:$D$100,2,FALSE)</f>
        <v>3FV</v>
      </c>
      <c r="J696">
        <f>VLOOKUP(H696,ID!$C$3:$D$100,2,FALSE)</f>
        <v>85</v>
      </c>
      <c r="K696" t="s">
        <v>154</v>
      </c>
      <c r="M696" t="str">
        <f>VLOOKUP(K696,ID!$E$3:$F$100,2,FALSE)</f>
        <v>QEA</v>
      </c>
      <c r="N696" t="s">
        <v>286</v>
      </c>
      <c r="O696" t="str">
        <f>VLOOKUP(N696,Localizacoes!$G$3:$H$100,2,FALSE)</f>
        <v>QEL</v>
      </c>
      <c r="P696">
        <f>VLOOKUP(N696,ID!$G$3:$H$100,2,FALSE)</f>
        <v>152</v>
      </c>
      <c r="Q696" t="s">
        <v>286</v>
      </c>
      <c r="R696" t="str">
        <f>VLOOKUP(Q696,Localizacoes!$I$3:$J$100,2,FALSE)</f>
        <v>QEL</v>
      </c>
      <c r="S696" t="str">
        <f>VLOOKUP(Q696,ID!$I$3:$J$100,2,FALSE)</f>
        <v>QEL</v>
      </c>
      <c r="T696" s="4" t="s">
        <v>186</v>
      </c>
      <c r="U696" t="s">
        <v>265</v>
      </c>
      <c r="Y696" t="s">
        <v>270</v>
      </c>
      <c r="Z696" t="str">
        <f t="shared" si="135"/>
        <v>Quadro Eléctrico 02</v>
      </c>
      <c r="AD696" s="9" t="s">
        <v>267</v>
      </c>
      <c r="AF696" t="str">
        <f>_xlfn.CONCAT(N696,Q696)</f>
        <v>Quadro EléctricoQuadro Eléctrico</v>
      </c>
      <c r="AG696" s="28" t="str">
        <f>VLOOKUP(AF696,Imagens!$C$2:$D$42,2,FALSE)</f>
        <v>65d1346bf3835</v>
      </c>
      <c r="AH696" t="str">
        <f>_xlfn.CONCAT(Imagens!$H$2,'registo_ativo-CDs (1)'!AG696)</f>
        <v>assets/imagens/products/65d1346bf3835</v>
      </c>
      <c r="AI696" s="67">
        <v>45303</v>
      </c>
    </row>
    <row r="697" spans="1:35" ht="16.8" customHeight="1" x14ac:dyDescent="0.3">
      <c r="A697">
        <f t="shared" si="134"/>
        <v>0</v>
      </c>
      <c r="E697" t="s">
        <v>38</v>
      </c>
      <c r="F697" t="str">
        <f>VLOOKUP(E697,Localizacoes!$A$3:$B$100,2,FALSE)</f>
        <v>PSAA</v>
      </c>
      <c r="G697" t="str">
        <f>VLOOKUP(E697,ID!$A$3:$B$100,2,FALSE)</f>
        <v>PS</v>
      </c>
      <c r="H697" s="36" t="s">
        <v>1085</v>
      </c>
      <c r="I697" t="str">
        <f>VLOOKUP(H697,Localizacoes!$C$3:$D$100,2,FALSE)</f>
        <v>3FV</v>
      </c>
      <c r="J697">
        <f>VLOOKUP(H697,ID!$C$3:$D$100,2,FALSE)</f>
        <v>85</v>
      </c>
      <c r="K697" t="s">
        <v>138</v>
      </c>
      <c r="M697" t="str">
        <f>VLOOKUP(K697,ID!$E$3:$F$100,2,FALSE)</f>
        <v>HTH</v>
      </c>
      <c r="N697" t="s">
        <v>662</v>
      </c>
      <c r="O697" t="str">
        <f>VLOOKUP(N697,Localizacoes!$G$3:$H$100,2,FALSE)</f>
        <v>EBD</v>
      </c>
      <c r="P697">
        <f>VLOOKUP(N697,ID!$G$3:$H$100,2,FALSE)</f>
        <v>133</v>
      </c>
      <c r="Q697" t="s">
        <v>150</v>
      </c>
      <c r="R697" t="str">
        <f>VLOOKUP(Q697,Localizacoes!$I$3:$J$100,2,FALSE)</f>
        <v>BOM</v>
      </c>
      <c r="S697" t="str">
        <f>VLOOKUP(Q697,ID!$I$3:$J$100,2,FALSE)</f>
        <v>BOM</v>
      </c>
      <c r="T697" s="4" t="s">
        <v>182</v>
      </c>
      <c r="U697" t="s">
        <v>264</v>
      </c>
      <c r="Y697" t="s">
        <v>270</v>
      </c>
      <c r="Z697" t="str">
        <f t="shared" si="135"/>
        <v>Bomba 01</v>
      </c>
      <c r="AD697" s="9" t="s">
        <v>7</v>
      </c>
      <c r="AF697" t="str">
        <f t="shared" si="133"/>
        <v>Electrobomba Doseadora de DiafragmaBomba</v>
      </c>
      <c r="AG697" s="28" t="str">
        <f>VLOOKUP(AF697,Imagens!$C$2:$D$42,2,FALSE)</f>
        <v>65e8d1ea50af1</v>
      </c>
      <c r="AH697" t="str">
        <f>_xlfn.CONCAT(Imagens!$H$2,'registo_ativo-CDs (1)'!AG697)</f>
        <v>assets/imagens/products/65e8d1ea50af1</v>
      </c>
      <c r="AI697" s="67">
        <v>45307</v>
      </c>
    </row>
    <row r="698" spans="1:35" ht="16.8" customHeight="1" x14ac:dyDescent="0.3">
      <c r="A698">
        <f t="shared" si="134"/>
        <v>0</v>
      </c>
      <c r="H698" s="36"/>
      <c r="I698" t="e">
        <f>VLOOKUP(H698,Localizacoes!$C$3:$D$100,2,FALSE)</f>
        <v>#N/A</v>
      </c>
      <c r="J698" t="e">
        <f>VLOOKUP(H698,ID!$C$3:$D$100,2,FALSE)</f>
        <v>#N/A</v>
      </c>
      <c r="M698" t="e">
        <f>VLOOKUP(K698,ID!$E$3:$F$100,2,FALSE)</f>
        <v>#N/A</v>
      </c>
      <c r="O698" t="e">
        <f>VLOOKUP(N698,Localizacoes!$G$3:$H$100,2,FALSE)</f>
        <v>#N/A</v>
      </c>
      <c r="P698" t="e">
        <f>VLOOKUP(N698,ID!$G$3:$H$100,2,FALSE)</f>
        <v>#N/A</v>
      </c>
      <c r="AD698" s="9"/>
      <c r="AH698" t="str">
        <f>_xlfn.CONCAT(Imagens!$H$2,'registo_ativo-CDs (1)'!AG698)</f>
        <v>assets/imagens/products/</v>
      </c>
    </row>
    <row r="699" spans="1:35" ht="16.8" customHeight="1" x14ac:dyDescent="0.3">
      <c r="A699">
        <f t="shared" si="134"/>
        <v>0</v>
      </c>
      <c r="H699" s="36"/>
      <c r="I699" t="e">
        <f>VLOOKUP(H699,Localizacoes!$C$3:$D$100,2,FALSE)</f>
        <v>#N/A</v>
      </c>
      <c r="J699" t="e">
        <f>VLOOKUP(H699,ID!$C$3:$D$100,2,FALSE)</f>
        <v>#N/A</v>
      </c>
      <c r="M699" t="e">
        <f>VLOOKUP(K699,ID!$E$3:$F$100,2,FALSE)</f>
        <v>#N/A</v>
      </c>
      <c r="O699" t="e">
        <f>VLOOKUP(N699,Localizacoes!$G$3:$H$100,2,FALSE)</f>
        <v>#N/A</v>
      </c>
      <c r="P699" t="e">
        <f>VLOOKUP(N699,ID!$G$3:$H$100,2,FALSE)</f>
        <v>#N/A</v>
      </c>
      <c r="AD699" s="13"/>
      <c r="AH699" t="str">
        <f>_xlfn.CONCAT(Imagens!$H$2,'registo_ativo-CDs (1)'!AG699)</f>
        <v>assets/imagens/products/</v>
      </c>
    </row>
    <row r="700" spans="1:35" ht="16.8" customHeight="1" x14ac:dyDescent="0.3">
      <c r="A700">
        <f t="shared" si="134"/>
        <v>0</v>
      </c>
      <c r="H700" s="36"/>
      <c r="I700" t="e">
        <f>VLOOKUP(H700,Localizacoes!$C$3:$D$100,2,FALSE)</f>
        <v>#N/A</v>
      </c>
      <c r="J700" t="e">
        <f>VLOOKUP(H700,ID!$C$3:$D$100,2,FALSE)</f>
        <v>#N/A</v>
      </c>
      <c r="M700" t="e">
        <f>VLOOKUP(K700,ID!$E$3:$F$100,2,FALSE)</f>
        <v>#N/A</v>
      </c>
      <c r="O700" t="e">
        <f>VLOOKUP(N700,Localizacoes!$G$3:$H$100,2,FALSE)</f>
        <v>#N/A</v>
      </c>
      <c r="P700" t="e">
        <f>VLOOKUP(N700,ID!$G$3:$H$100,2,FALSE)</f>
        <v>#N/A</v>
      </c>
      <c r="AD700" s="13"/>
      <c r="AH700" t="str">
        <f>_xlfn.CONCAT(Imagens!$H$2,'registo_ativo-CDs (1)'!AG700)</f>
        <v>assets/imagens/products/</v>
      </c>
    </row>
    <row r="701" spans="1:35" ht="16.8" customHeight="1" x14ac:dyDescent="0.3">
      <c r="A701">
        <f t="shared" si="134"/>
        <v>0</v>
      </c>
      <c r="H701" s="36"/>
      <c r="I701" t="e">
        <f>VLOOKUP(H701,Localizacoes!$C$3:$D$100,2,FALSE)</f>
        <v>#N/A</v>
      </c>
      <c r="J701" t="e">
        <f>VLOOKUP(H701,ID!$C$3:$D$100,2,FALSE)</f>
        <v>#N/A</v>
      </c>
      <c r="M701" t="e">
        <f>VLOOKUP(K701,ID!$E$3:$F$100,2,FALSE)</f>
        <v>#N/A</v>
      </c>
      <c r="O701" t="e">
        <f>VLOOKUP(N701,Localizacoes!$G$3:$H$100,2,FALSE)</f>
        <v>#N/A</v>
      </c>
      <c r="P701" t="e">
        <f>VLOOKUP(N701,ID!$G$3:$H$100,2,FALSE)</f>
        <v>#N/A</v>
      </c>
      <c r="AD701" s="13"/>
      <c r="AH701" t="str">
        <f>_xlfn.CONCAT(Imagens!$H$2,'registo_ativo-CDs (1)'!AG701)</f>
        <v>assets/imagens/products/</v>
      </c>
    </row>
    <row r="702" spans="1:35" ht="16.8" customHeight="1" x14ac:dyDescent="0.3">
      <c r="A702">
        <f t="shared" si="134"/>
        <v>0</v>
      </c>
      <c r="H702" s="18"/>
      <c r="I702" t="e">
        <f>VLOOKUP(H702,Localizacoes!$C$3:$D$100,2,FALSE)</f>
        <v>#N/A</v>
      </c>
      <c r="J702" t="e">
        <f>VLOOKUP(H702,ID!$C$3:$D$100,2,FALSE)</f>
        <v>#N/A</v>
      </c>
      <c r="M702" t="e">
        <f>VLOOKUP(K702,ID!$E$3:$F$100,2,FALSE)</f>
        <v>#N/A</v>
      </c>
      <c r="O702" t="e">
        <f>VLOOKUP(N702,Localizacoes!$G$3:$H$100,2,FALSE)</f>
        <v>#N/A</v>
      </c>
      <c r="P702" t="e">
        <f>VLOOKUP(N702,ID!$G$3:$H$100,2,FALSE)</f>
        <v>#N/A</v>
      </c>
      <c r="AD702" s="13"/>
      <c r="AH702" t="str">
        <f>_xlfn.CONCAT(Imagens!$H$2,'registo_ativo-CDs (1)'!AG702)</f>
        <v>assets/imagens/products/</v>
      </c>
    </row>
    <row r="703" spans="1:35" ht="16.8" customHeight="1" x14ac:dyDescent="0.3">
      <c r="A703">
        <f t="shared" si="134"/>
        <v>0</v>
      </c>
      <c r="H703" s="18"/>
      <c r="I703" t="e">
        <f>VLOOKUP(H703,Localizacoes!$C$3:$D$100,2,FALSE)</f>
        <v>#N/A</v>
      </c>
      <c r="J703" t="e">
        <f>VLOOKUP(H703,ID!$C$3:$D$100,2,FALSE)</f>
        <v>#N/A</v>
      </c>
      <c r="M703" t="e">
        <f>VLOOKUP(K703,ID!$E$3:$F$100,2,FALSE)</f>
        <v>#N/A</v>
      </c>
      <c r="O703" t="e">
        <f>VLOOKUP(N703,Localizacoes!$G$3:$H$100,2,FALSE)</f>
        <v>#N/A</v>
      </c>
      <c r="P703" t="e">
        <f>VLOOKUP(N703,ID!$G$3:$H$100,2,FALSE)</f>
        <v>#N/A</v>
      </c>
      <c r="AD703" s="13"/>
      <c r="AH703" t="str">
        <f>_xlfn.CONCAT(Imagens!$H$2,'registo_ativo-CDs (1)'!AG703)</f>
        <v>assets/imagens/products/</v>
      </c>
    </row>
    <row r="704" spans="1:35" ht="16.8" customHeight="1" x14ac:dyDescent="0.3">
      <c r="A704">
        <f t="shared" si="134"/>
        <v>0</v>
      </c>
      <c r="H704" s="18"/>
      <c r="I704" t="e">
        <f>VLOOKUP(H704,Localizacoes!$C$3:$D$100,2,FALSE)</f>
        <v>#N/A</v>
      </c>
      <c r="J704" t="e">
        <f>VLOOKUP(H704,ID!$C$3:$D$100,2,FALSE)</f>
        <v>#N/A</v>
      </c>
      <c r="M704" t="e">
        <f>VLOOKUP(K704,ID!$E$3:$F$100,2,FALSE)</f>
        <v>#N/A</v>
      </c>
      <c r="O704" t="e">
        <f>VLOOKUP(N704,Localizacoes!$G$3:$H$100,2,FALSE)</f>
        <v>#N/A</v>
      </c>
      <c r="P704" t="e">
        <f>VLOOKUP(N704,ID!$G$3:$H$100,2,FALSE)</f>
        <v>#N/A</v>
      </c>
      <c r="AD704" s="13"/>
      <c r="AH704" t="str">
        <f>_xlfn.CONCAT(Imagens!$H$2,'registo_ativo-CDs (1)'!AG704)</f>
        <v>assets/imagens/products/</v>
      </c>
    </row>
    <row r="705" spans="1:34" ht="16.8" customHeight="1" x14ac:dyDescent="0.3">
      <c r="A705">
        <f t="shared" si="134"/>
        <v>0</v>
      </c>
      <c r="H705" s="18"/>
      <c r="I705" t="e">
        <f>VLOOKUP(H705,Localizacoes!$C$3:$D$100,2,FALSE)</f>
        <v>#N/A</v>
      </c>
      <c r="J705" t="e">
        <f>VLOOKUP(H705,ID!$C$3:$D$100,2,FALSE)</f>
        <v>#N/A</v>
      </c>
      <c r="M705" t="e">
        <f>VLOOKUP(K705,ID!$E$3:$F$100,2,FALSE)</f>
        <v>#N/A</v>
      </c>
      <c r="O705" t="e">
        <f>VLOOKUP(N705,Localizacoes!$G$3:$H$100,2,FALSE)</f>
        <v>#N/A</v>
      </c>
      <c r="P705" t="e">
        <f>VLOOKUP(N705,ID!$G$3:$H$100,2,FALSE)</f>
        <v>#N/A</v>
      </c>
      <c r="AD705" s="13"/>
      <c r="AH705" t="str">
        <f>_xlfn.CONCAT(Imagens!$H$2,'registo_ativo-CDs (1)'!AG705)</f>
        <v>assets/imagens/products/</v>
      </c>
    </row>
    <row r="706" spans="1:34" ht="16.8" customHeight="1" x14ac:dyDescent="0.3">
      <c r="A706">
        <f t="shared" si="134"/>
        <v>0</v>
      </c>
      <c r="H706" s="18"/>
      <c r="I706" t="e">
        <f>VLOOKUP(H706,Localizacoes!$C$3:$D$100,2,FALSE)</f>
        <v>#N/A</v>
      </c>
      <c r="J706" t="e">
        <f>VLOOKUP(H706,ID!$C$3:$D$100,2,FALSE)</f>
        <v>#N/A</v>
      </c>
      <c r="M706" t="e">
        <f>VLOOKUP(K706,ID!$E$3:$F$100,2,FALSE)</f>
        <v>#N/A</v>
      </c>
      <c r="O706" t="e">
        <f>VLOOKUP(N706,Localizacoes!$G$3:$H$100,2,FALSE)</f>
        <v>#N/A</v>
      </c>
      <c r="P706" t="e">
        <f>VLOOKUP(N706,ID!$G$3:$H$100,2,FALSE)</f>
        <v>#N/A</v>
      </c>
      <c r="AD706" s="13"/>
      <c r="AH706" t="str">
        <f>_xlfn.CONCAT(Imagens!$H$2,'registo_ativo-CDs (1)'!AG706)</f>
        <v>assets/imagens/products/</v>
      </c>
    </row>
    <row r="707" spans="1:34" ht="16.8" customHeight="1" x14ac:dyDescent="0.3">
      <c r="A707">
        <f t="shared" si="134"/>
        <v>0</v>
      </c>
      <c r="H707" s="18"/>
      <c r="I707" t="e">
        <f>VLOOKUP(H707,Localizacoes!$C$3:$D$100,2,FALSE)</f>
        <v>#N/A</v>
      </c>
      <c r="J707" t="e">
        <f>VLOOKUP(H707,ID!$C$3:$D$100,2,FALSE)</f>
        <v>#N/A</v>
      </c>
      <c r="M707" t="e">
        <f>VLOOKUP(K707,ID!$E$3:$F$100,2,FALSE)</f>
        <v>#N/A</v>
      </c>
      <c r="O707" t="e">
        <f>VLOOKUP(N707,Localizacoes!$G$3:$H$100,2,FALSE)</f>
        <v>#N/A</v>
      </c>
      <c r="P707" t="e">
        <f>VLOOKUP(N707,ID!$G$3:$H$100,2,FALSE)</f>
        <v>#N/A</v>
      </c>
      <c r="AD707" s="13"/>
      <c r="AH707" t="str">
        <f>_xlfn.CONCAT(Imagens!$H$2,'registo_ativo-CDs (1)'!AG707)</f>
        <v>assets/imagens/products/</v>
      </c>
    </row>
    <row r="708" spans="1:34" ht="16.8" customHeight="1" x14ac:dyDescent="0.3">
      <c r="A708">
        <f t="shared" si="134"/>
        <v>0</v>
      </c>
      <c r="H708" s="18"/>
      <c r="I708" t="e">
        <f>VLOOKUP(H708,Localizacoes!$C$3:$D$100,2,FALSE)</f>
        <v>#N/A</v>
      </c>
      <c r="J708" t="e">
        <f>VLOOKUP(H708,ID!$C$3:$D$100,2,FALSE)</f>
        <v>#N/A</v>
      </c>
      <c r="M708" t="e">
        <f>VLOOKUP(K708,ID!$E$3:$F$100,2,FALSE)</f>
        <v>#N/A</v>
      </c>
      <c r="O708" t="e">
        <f>VLOOKUP(N708,Localizacoes!$G$3:$H$100,2,FALSE)</f>
        <v>#N/A</v>
      </c>
      <c r="P708" t="e">
        <f>VLOOKUP(N708,ID!$G$3:$H$100,2,FALSE)</f>
        <v>#N/A</v>
      </c>
      <c r="AD708" s="13"/>
      <c r="AH708" t="str">
        <f>_xlfn.CONCAT(Imagens!$H$2,'registo_ativo-CDs (1)'!AG708)</f>
        <v>assets/imagens/products/</v>
      </c>
    </row>
    <row r="709" spans="1:34" ht="16.8" customHeight="1" x14ac:dyDescent="0.3">
      <c r="A709">
        <f t="shared" si="134"/>
        <v>0</v>
      </c>
      <c r="H709" s="18"/>
      <c r="I709" t="e">
        <f>VLOOKUP(H709,Localizacoes!$C$3:$D$100,2,FALSE)</f>
        <v>#N/A</v>
      </c>
      <c r="J709" t="e">
        <f>VLOOKUP(H709,ID!$C$3:$D$100,2,FALSE)</f>
        <v>#N/A</v>
      </c>
      <c r="M709" t="e">
        <f>VLOOKUP(K709,ID!$E$3:$F$100,2,FALSE)</f>
        <v>#N/A</v>
      </c>
      <c r="O709" t="e">
        <f>VLOOKUP(N709,Localizacoes!$G$3:$H$100,2,FALSE)</f>
        <v>#N/A</v>
      </c>
      <c r="P709" t="e">
        <f>VLOOKUP(N709,ID!$G$3:$H$100,2,FALSE)</f>
        <v>#N/A</v>
      </c>
      <c r="AD709" s="13"/>
      <c r="AH709" t="str">
        <f>_xlfn.CONCAT(Imagens!$H$2,'registo_ativo-CDs (1)'!AG709)</f>
        <v>assets/imagens/products/</v>
      </c>
    </row>
    <row r="710" spans="1:34" ht="16.8" customHeight="1" x14ac:dyDescent="0.3">
      <c r="A710">
        <f t="shared" si="134"/>
        <v>0</v>
      </c>
      <c r="H710" s="18"/>
      <c r="I710" t="e">
        <f>VLOOKUP(H710,Localizacoes!$C$3:$D$100,2,FALSE)</f>
        <v>#N/A</v>
      </c>
      <c r="J710" t="e">
        <f>VLOOKUP(H710,ID!$C$3:$D$100,2,FALSE)</f>
        <v>#N/A</v>
      </c>
      <c r="M710" t="e">
        <f>VLOOKUP(K710,ID!$E$3:$F$100,2,FALSE)</f>
        <v>#N/A</v>
      </c>
      <c r="O710" t="e">
        <f>VLOOKUP(N710,Localizacoes!$G$3:$H$100,2,FALSE)</f>
        <v>#N/A</v>
      </c>
      <c r="P710" t="e">
        <f>VLOOKUP(N710,ID!$G$3:$H$100,2,FALSE)</f>
        <v>#N/A</v>
      </c>
      <c r="AD710" s="13"/>
      <c r="AH710" t="str">
        <f>_xlfn.CONCAT(Imagens!$H$2,'registo_ativo-CDs (1)'!AG710)</f>
        <v>assets/imagens/products/</v>
      </c>
    </row>
    <row r="711" spans="1:34" ht="16.8" customHeight="1" x14ac:dyDescent="0.3">
      <c r="A711">
        <f t="shared" si="134"/>
        <v>0</v>
      </c>
      <c r="H711" s="18"/>
      <c r="I711" t="e">
        <f>VLOOKUP(H711,Localizacoes!$C$3:$D$100,2,FALSE)</f>
        <v>#N/A</v>
      </c>
      <c r="J711" t="e">
        <f>VLOOKUP(H711,ID!$C$3:$D$100,2,FALSE)</f>
        <v>#N/A</v>
      </c>
      <c r="M711" t="e">
        <f>VLOOKUP(K711,ID!$E$3:$F$100,2,FALSE)</f>
        <v>#N/A</v>
      </c>
      <c r="O711" t="e">
        <f>VLOOKUP(N711,Localizacoes!$G$3:$H$100,2,FALSE)</f>
        <v>#N/A</v>
      </c>
      <c r="P711" t="e">
        <f>VLOOKUP(N711,ID!$G$3:$H$100,2,FALSE)</f>
        <v>#N/A</v>
      </c>
      <c r="AD711" s="13"/>
      <c r="AH711" t="str">
        <f>_xlfn.CONCAT(Imagens!$H$2,'registo_ativo-CDs (1)'!AG711)</f>
        <v>assets/imagens/products/</v>
      </c>
    </row>
    <row r="712" spans="1:34" ht="16.8" customHeight="1" x14ac:dyDescent="0.3">
      <c r="A712">
        <f t="shared" si="134"/>
        <v>0</v>
      </c>
      <c r="H712" s="18"/>
      <c r="I712" t="e">
        <f>VLOOKUP(H712,Localizacoes!$C$3:$D$100,2,FALSE)</f>
        <v>#N/A</v>
      </c>
      <c r="J712" t="e">
        <f>VLOOKUP(H712,ID!$C$3:$D$100,2,FALSE)</f>
        <v>#N/A</v>
      </c>
      <c r="M712" t="e">
        <f>VLOOKUP(K712,ID!$E$3:$F$100,2,FALSE)</f>
        <v>#N/A</v>
      </c>
      <c r="O712" t="e">
        <f>VLOOKUP(N712,Localizacoes!$G$3:$H$100,2,FALSE)</f>
        <v>#N/A</v>
      </c>
      <c r="P712" t="e">
        <f>VLOOKUP(N712,ID!$G$3:$H$100,2,FALSE)</f>
        <v>#N/A</v>
      </c>
      <c r="AD712" s="13"/>
      <c r="AH712" t="str">
        <f>_xlfn.CONCAT(Imagens!$H$2,'registo_ativo-CDs (1)'!AG712)</f>
        <v>assets/imagens/products/</v>
      </c>
    </row>
    <row r="713" spans="1:34" ht="16.8" customHeight="1" x14ac:dyDescent="0.3">
      <c r="A713">
        <f t="shared" si="134"/>
        <v>0</v>
      </c>
      <c r="H713" s="18"/>
      <c r="I713" t="e">
        <f>VLOOKUP(H713,Localizacoes!$C$3:$D$100,2,FALSE)</f>
        <v>#N/A</v>
      </c>
      <c r="J713" t="e">
        <f>VLOOKUP(H713,ID!$C$3:$D$100,2,FALSE)</f>
        <v>#N/A</v>
      </c>
      <c r="M713" t="e">
        <f>VLOOKUP(K713,ID!$E$3:$F$100,2,FALSE)</f>
        <v>#N/A</v>
      </c>
      <c r="O713" t="e">
        <f>VLOOKUP(N713,Localizacoes!$G$3:$H$100,2,FALSE)</f>
        <v>#N/A</v>
      </c>
      <c r="P713" t="e">
        <f>VLOOKUP(N713,ID!$G$3:$H$100,2,FALSE)</f>
        <v>#N/A</v>
      </c>
      <c r="AD713" s="13"/>
      <c r="AH713" t="str">
        <f>_xlfn.CONCAT(Imagens!$H$2,'registo_ativo-CDs (1)'!AG713)</f>
        <v>assets/imagens/products/</v>
      </c>
    </row>
    <row r="714" spans="1:34" ht="16.8" customHeight="1" x14ac:dyDescent="0.3">
      <c r="A714">
        <f t="shared" si="134"/>
        <v>0</v>
      </c>
      <c r="H714" s="18"/>
      <c r="I714" t="e">
        <f>VLOOKUP(H714,Localizacoes!$C$3:$D$100,2,FALSE)</f>
        <v>#N/A</v>
      </c>
      <c r="J714" t="e">
        <f>VLOOKUP(H714,ID!$C$3:$D$100,2,FALSE)</f>
        <v>#N/A</v>
      </c>
      <c r="M714" t="e">
        <f>VLOOKUP(K714,ID!$E$3:$F$100,2,FALSE)</f>
        <v>#N/A</v>
      </c>
      <c r="O714" t="e">
        <f>VLOOKUP(N714,Localizacoes!$G$3:$H$100,2,FALSE)</f>
        <v>#N/A</v>
      </c>
      <c r="P714" t="e">
        <f>VLOOKUP(N714,ID!$G$3:$H$100,2,FALSE)</f>
        <v>#N/A</v>
      </c>
      <c r="AD714" s="13"/>
      <c r="AH714" t="str">
        <f>_xlfn.CONCAT(Imagens!$H$2,'registo_ativo-CDs (1)'!AG714)</f>
        <v>assets/imagens/products/</v>
      </c>
    </row>
    <row r="715" spans="1:34" ht="16.8" customHeight="1" x14ac:dyDescent="0.3">
      <c r="A715">
        <f t="shared" si="134"/>
        <v>0</v>
      </c>
      <c r="H715" s="18"/>
      <c r="I715" t="e">
        <f>VLOOKUP(H715,Localizacoes!$C$3:$D$100,2,FALSE)</f>
        <v>#N/A</v>
      </c>
      <c r="J715" t="e">
        <f>VLOOKUP(H715,ID!$C$3:$D$100,2,FALSE)</f>
        <v>#N/A</v>
      </c>
      <c r="M715" t="e">
        <f>VLOOKUP(K715,ID!$E$3:$F$100,2,FALSE)</f>
        <v>#N/A</v>
      </c>
      <c r="O715" t="e">
        <f>VLOOKUP(N715,Localizacoes!$G$3:$H$100,2,FALSE)</f>
        <v>#N/A</v>
      </c>
      <c r="P715" t="e">
        <f>VLOOKUP(N715,ID!$G$3:$H$100,2,FALSE)</f>
        <v>#N/A</v>
      </c>
      <c r="AD715" s="13"/>
      <c r="AH715" t="str">
        <f>_xlfn.CONCAT(Imagens!$H$2,'registo_ativo-CDs (1)'!AG715)</f>
        <v>assets/imagens/products/</v>
      </c>
    </row>
    <row r="716" spans="1:34" ht="16.8" customHeight="1" x14ac:dyDescent="0.3">
      <c r="A716">
        <f t="shared" si="134"/>
        <v>0</v>
      </c>
      <c r="H716" s="18"/>
      <c r="I716" t="e">
        <f>VLOOKUP(H716,Localizacoes!$C$3:$D$100,2,FALSE)</f>
        <v>#N/A</v>
      </c>
      <c r="J716" t="e">
        <f>VLOOKUP(H716,ID!$C$3:$D$100,2,FALSE)</f>
        <v>#N/A</v>
      </c>
      <c r="M716" t="e">
        <f>VLOOKUP(K716,ID!$E$3:$F$100,2,FALSE)</f>
        <v>#N/A</v>
      </c>
      <c r="O716" t="e">
        <f>VLOOKUP(N716,Localizacoes!$G$3:$H$100,2,FALSE)</f>
        <v>#N/A</v>
      </c>
      <c r="P716" t="e">
        <f>VLOOKUP(N716,ID!$G$3:$H$100,2,FALSE)</f>
        <v>#N/A</v>
      </c>
      <c r="AD716" s="13"/>
      <c r="AH716" t="str">
        <f>_xlfn.CONCAT(Imagens!$H$2,'registo_ativo-CDs (1)'!AG716)</f>
        <v>assets/imagens/products/</v>
      </c>
    </row>
    <row r="717" spans="1:34" ht="16.8" customHeight="1" x14ac:dyDescent="0.3">
      <c r="A717">
        <f t="shared" ref="A717:A781" si="138">LEN(B717)</f>
        <v>0</v>
      </c>
      <c r="H717" s="18"/>
      <c r="I717" t="e">
        <f>VLOOKUP(H717,Localizacoes!$C$3:$D$100,2,FALSE)</f>
        <v>#N/A</v>
      </c>
      <c r="J717" t="e">
        <f>VLOOKUP(H717,ID!$C$3:$D$100,2,FALSE)</f>
        <v>#N/A</v>
      </c>
      <c r="M717" t="e">
        <f>VLOOKUP(K717,ID!$E$3:$F$100,2,FALSE)</f>
        <v>#N/A</v>
      </c>
      <c r="O717" t="e">
        <f>VLOOKUP(N717,Localizacoes!$G$3:$H$100,2,FALSE)</f>
        <v>#N/A</v>
      </c>
      <c r="P717" t="e">
        <f>VLOOKUP(N717,ID!$G$3:$H$100,2,FALSE)</f>
        <v>#N/A</v>
      </c>
      <c r="AD717" s="13"/>
      <c r="AH717" t="str">
        <f>_xlfn.CONCAT(Imagens!$H$2,'registo_ativo-CDs (1)'!AG717)</f>
        <v>assets/imagens/products/</v>
      </c>
    </row>
    <row r="718" spans="1:34" ht="16.8" customHeight="1" x14ac:dyDescent="0.3">
      <c r="A718">
        <f t="shared" si="138"/>
        <v>0</v>
      </c>
      <c r="H718" s="18"/>
      <c r="I718" t="e">
        <f>VLOOKUP(H718,Localizacoes!$C$3:$D$100,2,FALSE)</f>
        <v>#N/A</v>
      </c>
      <c r="J718" t="e">
        <f>VLOOKUP(H718,ID!$C$3:$D$100,2,FALSE)</f>
        <v>#N/A</v>
      </c>
      <c r="M718" t="e">
        <f>VLOOKUP(K718,ID!$E$3:$F$100,2,FALSE)</f>
        <v>#N/A</v>
      </c>
      <c r="O718" t="e">
        <f>VLOOKUP(N718,Localizacoes!$G$3:$H$100,2,FALSE)</f>
        <v>#N/A</v>
      </c>
      <c r="P718" t="e">
        <f>VLOOKUP(N718,ID!$G$3:$H$100,2,FALSE)</f>
        <v>#N/A</v>
      </c>
      <c r="AD718" s="13"/>
      <c r="AH718" t="str">
        <f>_xlfn.CONCAT(Imagens!$H$2,'registo_ativo-CDs (1)'!AG718)</f>
        <v>assets/imagens/products/</v>
      </c>
    </row>
    <row r="719" spans="1:34" ht="16.8" customHeight="1" x14ac:dyDescent="0.3">
      <c r="A719">
        <f t="shared" si="138"/>
        <v>0</v>
      </c>
      <c r="H719" s="18"/>
      <c r="I719" t="e">
        <f>VLOOKUP(H719,Localizacoes!$C$3:$D$100,2,FALSE)</f>
        <v>#N/A</v>
      </c>
      <c r="J719" t="e">
        <f>VLOOKUP(H719,ID!$C$3:$D$100,2,FALSE)</f>
        <v>#N/A</v>
      </c>
      <c r="M719" t="e">
        <f>VLOOKUP(K719,ID!$E$3:$F$100,2,FALSE)</f>
        <v>#N/A</v>
      </c>
      <c r="O719" t="e">
        <f>VLOOKUP(N719,Localizacoes!$G$3:$H$100,2,FALSE)</f>
        <v>#N/A</v>
      </c>
      <c r="P719" t="e">
        <f>VLOOKUP(N719,ID!$G$3:$H$100,2,FALSE)</f>
        <v>#N/A</v>
      </c>
      <c r="AD719" s="13"/>
      <c r="AH719" t="str">
        <f>_xlfn.CONCAT(Imagens!$H$2,'registo_ativo-CDs (1)'!AG719)</f>
        <v>assets/imagens/products/</v>
      </c>
    </row>
    <row r="720" spans="1:34" ht="16.8" customHeight="1" x14ac:dyDescent="0.3">
      <c r="A720">
        <f t="shared" si="138"/>
        <v>0</v>
      </c>
      <c r="H720" s="18"/>
      <c r="I720" t="e">
        <f>VLOOKUP(H720,Localizacoes!$C$3:$D$100,2,FALSE)</f>
        <v>#N/A</v>
      </c>
      <c r="J720" t="e">
        <f>VLOOKUP(H720,ID!$C$3:$D$100,2,FALSE)</f>
        <v>#N/A</v>
      </c>
      <c r="M720" t="e">
        <f>VLOOKUP(K720,ID!$E$3:$F$100,2,FALSE)</f>
        <v>#N/A</v>
      </c>
      <c r="O720" t="e">
        <f>VLOOKUP(N720,Localizacoes!$G$3:$H$100,2,FALSE)</f>
        <v>#N/A</v>
      </c>
      <c r="P720" t="e">
        <f>VLOOKUP(N720,ID!$G$3:$H$100,2,FALSE)</f>
        <v>#N/A</v>
      </c>
      <c r="AD720" s="13"/>
      <c r="AH720" t="str">
        <f>_xlfn.CONCAT(Imagens!$H$2,'registo_ativo-CDs (1)'!AG720)</f>
        <v>assets/imagens/products/</v>
      </c>
    </row>
    <row r="721" spans="1:34" ht="16.8" customHeight="1" x14ac:dyDescent="0.3">
      <c r="A721">
        <f t="shared" si="138"/>
        <v>0</v>
      </c>
      <c r="H721" s="18"/>
      <c r="I721" t="e">
        <f>VLOOKUP(H721,Localizacoes!$C$3:$D$100,2,FALSE)</f>
        <v>#N/A</v>
      </c>
      <c r="J721" t="e">
        <f>VLOOKUP(H721,ID!$C$3:$D$100,2,FALSE)</f>
        <v>#N/A</v>
      </c>
      <c r="M721" t="e">
        <f>VLOOKUP(K721,ID!$E$3:$F$100,2,FALSE)</f>
        <v>#N/A</v>
      </c>
      <c r="O721" t="e">
        <f>VLOOKUP(N721,Localizacoes!$G$3:$H$100,2,FALSE)</f>
        <v>#N/A</v>
      </c>
      <c r="P721" t="e">
        <f>VLOOKUP(N721,ID!$G$3:$H$100,2,FALSE)</f>
        <v>#N/A</v>
      </c>
      <c r="AD721" s="13"/>
      <c r="AH721" t="str">
        <f>_xlfn.CONCAT(Imagens!$H$2,'registo_ativo-CDs (1)'!AG721)</f>
        <v>assets/imagens/products/</v>
      </c>
    </row>
    <row r="722" spans="1:34" ht="16.8" customHeight="1" x14ac:dyDescent="0.3">
      <c r="A722">
        <f t="shared" si="138"/>
        <v>0</v>
      </c>
      <c r="H722" s="18"/>
      <c r="I722" t="e">
        <f>VLOOKUP(H722,Localizacoes!$C$3:$D$100,2,FALSE)</f>
        <v>#N/A</v>
      </c>
      <c r="J722" t="e">
        <f>VLOOKUP(H722,ID!$C$3:$D$100,2,FALSE)</f>
        <v>#N/A</v>
      </c>
      <c r="M722" t="e">
        <f>VLOOKUP(K722,ID!$E$3:$F$100,2,FALSE)</f>
        <v>#N/A</v>
      </c>
      <c r="O722" t="e">
        <f>VLOOKUP(N722,Localizacoes!$G$3:$H$100,2,FALSE)</f>
        <v>#N/A</v>
      </c>
      <c r="P722" t="e">
        <f>VLOOKUP(N722,ID!$G$3:$H$100,2,FALSE)</f>
        <v>#N/A</v>
      </c>
      <c r="AD722" s="13"/>
      <c r="AH722" t="str">
        <f>_xlfn.CONCAT(Imagens!$H$2,'registo_ativo-CDs (1)'!AG722)</f>
        <v>assets/imagens/products/</v>
      </c>
    </row>
    <row r="723" spans="1:34" ht="16.8" customHeight="1" x14ac:dyDescent="0.3">
      <c r="A723">
        <f t="shared" si="138"/>
        <v>0</v>
      </c>
      <c r="H723" s="18"/>
      <c r="I723" t="e">
        <f>VLOOKUP(H723,Localizacoes!$C$3:$D$100,2,FALSE)</f>
        <v>#N/A</v>
      </c>
      <c r="J723" t="e">
        <f>VLOOKUP(H723,ID!$C$3:$D$100,2,FALSE)</f>
        <v>#N/A</v>
      </c>
      <c r="M723" t="e">
        <f>VLOOKUP(K723,ID!$E$3:$F$100,2,FALSE)</f>
        <v>#N/A</v>
      </c>
      <c r="O723" t="e">
        <f>VLOOKUP(N723,Localizacoes!$G$3:$H$100,2,FALSE)</f>
        <v>#N/A</v>
      </c>
      <c r="P723" t="e">
        <f>VLOOKUP(N723,ID!$G$3:$H$100,2,FALSE)</f>
        <v>#N/A</v>
      </c>
      <c r="AD723" s="13"/>
      <c r="AH723" t="str">
        <f>_xlfn.CONCAT(Imagens!$H$2,'registo_ativo-CDs (1)'!AG723)</f>
        <v>assets/imagens/products/</v>
      </c>
    </row>
    <row r="724" spans="1:34" ht="16.8" customHeight="1" x14ac:dyDescent="0.3">
      <c r="A724">
        <f t="shared" si="138"/>
        <v>0</v>
      </c>
      <c r="H724" s="18"/>
      <c r="I724" t="e">
        <f>VLOOKUP(H724,Localizacoes!$C$3:$D$100,2,FALSE)</f>
        <v>#N/A</v>
      </c>
      <c r="J724" t="e">
        <f>VLOOKUP(H724,ID!$C$3:$D$100,2,FALSE)</f>
        <v>#N/A</v>
      </c>
      <c r="M724" t="e">
        <f>VLOOKUP(K724,ID!$E$3:$F$100,2,FALSE)</f>
        <v>#N/A</v>
      </c>
      <c r="O724" t="e">
        <f>VLOOKUP(N724,Localizacoes!$G$3:$H$100,2,FALSE)</f>
        <v>#N/A</v>
      </c>
      <c r="P724" t="e">
        <f>VLOOKUP(N724,ID!$G$3:$H$100,2,FALSE)</f>
        <v>#N/A</v>
      </c>
      <c r="AD724" s="13"/>
      <c r="AH724" t="str">
        <f>_xlfn.CONCAT(Imagens!$H$2,'registo_ativo-CDs (1)'!AG724)</f>
        <v>assets/imagens/products/</v>
      </c>
    </row>
    <row r="725" spans="1:34" ht="16.8" customHeight="1" x14ac:dyDescent="0.3">
      <c r="A725">
        <f t="shared" si="138"/>
        <v>0</v>
      </c>
      <c r="H725" s="18"/>
      <c r="I725" t="e">
        <f>VLOOKUP(H725,Localizacoes!$C$3:$D$100,2,FALSE)</f>
        <v>#N/A</v>
      </c>
      <c r="J725" t="e">
        <f>VLOOKUP(H725,ID!$C$3:$D$100,2,FALSE)</f>
        <v>#N/A</v>
      </c>
      <c r="M725" t="e">
        <f>VLOOKUP(K725,ID!$E$3:$F$100,2,FALSE)</f>
        <v>#N/A</v>
      </c>
      <c r="O725" t="e">
        <f>VLOOKUP(N725,Localizacoes!$G$3:$H$100,2,FALSE)</f>
        <v>#N/A</v>
      </c>
      <c r="P725" t="e">
        <f>VLOOKUP(N725,ID!$G$3:$H$100,2,FALSE)</f>
        <v>#N/A</v>
      </c>
      <c r="AD725" s="13"/>
      <c r="AH725" t="str">
        <f>_xlfn.CONCAT(Imagens!$H$2,'registo_ativo-CDs (1)'!AG725)</f>
        <v>assets/imagens/products/</v>
      </c>
    </row>
    <row r="726" spans="1:34" ht="16.8" customHeight="1" x14ac:dyDescent="0.3">
      <c r="A726">
        <f t="shared" si="138"/>
        <v>0</v>
      </c>
      <c r="H726" s="18"/>
      <c r="I726" t="e">
        <f>VLOOKUP(H726,Localizacoes!$C$3:$D$100,2,FALSE)</f>
        <v>#N/A</v>
      </c>
      <c r="J726" t="e">
        <f>VLOOKUP(H726,ID!$C$3:$D$100,2,FALSE)</f>
        <v>#N/A</v>
      </c>
      <c r="M726" t="e">
        <f>VLOOKUP(K726,ID!$E$3:$F$100,2,FALSE)</f>
        <v>#N/A</v>
      </c>
      <c r="O726" t="e">
        <f>VLOOKUP(N726,Localizacoes!$G$3:$H$100,2,FALSE)</f>
        <v>#N/A</v>
      </c>
      <c r="P726" t="e">
        <f>VLOOKUP(N726,ID!$G$3:$H$100,2,FALSE)</f>
        <v>#N/A</v>
      </c>
      <c r="AD726" s="13"/>
      <c r="AH726" t="str">
        <f>_xlfn.CONCAT(Imagens!$H$2,'registo_ativo-CDs (1)'!AG726)</f>
        <v>assets/imagens/products/</v>
      </c>
    </row>
    <row r="727" spans="1:34" ht="16.8" customHeight="1" x14ac:dyDescent="0.3">
      <c r="A727">
        <f t="shared" si="138"/>
        <v>0</v>
      </c>
      <c r="H727" s="18"/>
      <c r="I727" t="e">
        <f>VLOOKUP(H727,Localizacoes!$C$3:$D$100,2,FALSE)</f>
        <v>#N/A</v>
      </c>
      <c r="J727" t="e">
        <f>VLOOKUP(H727,ID!$C$3:$D$100,2,FALSE)</f>
        <v>#N/A</v>
      </c>
      <c r="M727" t="e">
        <f>VLOOKUP(K727,ID!$E$3:$F$100,2,FALSE)</f>
        <v>#N/A</v>
      </c>
      <c r="O727" t="e">
        <f>VLOOKUP(N727,Localizacoes!$G$3:$H$100,2,FALSE)</f>
        <v>#N/A</v>
      </c>
      <c r="P727" t="e">
        <f>VLOOKUP(N727,ID!$G$3:$H$100,2,FALSE)</f>
        <v>#N/A</v>
      </c>
      <c r="AD727" s="13"/>
      <c r="AH727" t="str">
        <f>_xlfn.CONCAT(Imagens!$H$2,'registo_ativo-CDs (1)'!AG727)</f>
        <v>assets/imagens/products/</v>
      </c>
    </row>
    <row r="728" spans="1:34" ht="16.8" customHeight="1" x14ac:dyDescent="0.3">
      <c r="A728">
        <f t="shared" si="138"/>
        <v>0</v>
      </c>
      <c r="H728" s="18"/>
      <c r="I728" t="e">
        <f>VLOOKUP(H728,Localizacoes!$C$3:$D$100,2,FALSE)</f>
        <v>#N/A</v>
      </c>
      <c r="J728" t="e">
        <f>VLOOKUP(H728,ID!$C$3:$D$100,2,FALSE)</f>
        <v>#N/A</v>
      </c>
      <c r="M728" t="e">
        <f>VLOOKUP(K728,ID!$E$3:$F$100,2,FALSE)</f>
        <v>#N/A</v>
      </c>
      <c r="O728" t="e">
        <f>VLOOKUP(N728,Localizacoes!$G$3:$H$100,2,FALSE)</f>
        <v>#N/A</v>
      </c>
      <c r="P728" t="e">
        <f>VLOOKUP(N728,ID!$G$3:$H$100,2,FALSE)</f>
        <v>#N/A</v>
      </c>
      <c r="AD728" s="13"/>
      <c r="AH728" t="str">
        <f>_xlfn.CONCAT(Imagens!$H$2,'registo_ativo-CDs (1)'!AG728)</f>
        <v>assets/imagens/products/</v>
      </c>
    </row>
    <row r="729" spans="1:34" ht="16.8" customHeight="1" x14ac:dyDescent="0.3">
      <c r="A729">
        <f t="shared" si="138"/>
        <v>0</v>
      </c>
      <c r="H729" s="18"/>
      <c r="I729" t="e">
        <f>VLOOKUP(H729,Localizacoes!$C$3:$D$100,2,FALSE)</f>
        <v>#N/A</v>
      </c>
      <c r="J729" t="e">
        <f>VLOOKUP(H729,ID!$C$3:$D$100,2,FALSE)</f>
        <v>#N/A</v>
      </c>
      <c r="M729" t="e">
        <f>VLOOKUP(K729,ID!$E$3:$F$100,2,FALSE)</f>
        <v>#N/A</v>
      </c>
      <c r="O729" t="e">
        <f>VLOOKUP(N729,Localizacoes!$G$3:$H$100,2,FALSE)</f>
        <v>#N/A</v>
      </c>
      <c r="P729" t="e">
        <f>VLOOKUP(N729,ID!$G$3:$H$100,2,FALSE)</f>
        <v>#N/A</v>
      </c>
      <c r="AD729" s="13"/>
      <c r="AH729" t="str">
        <f>_xlfn.CONCAT(Imagens!$H$2,'registo_ativo-CDs (1)'!AG729)</f>
        <v>assets/imagens/products/</v>
      </c>
    </row>
    <row r="730" spans="1:34" ht="16.8" customHeight="1" x14ac:dyDescent="0.3">
      <c r="A730">
        <f t="shared" si="138"/>
        <v>0</v>
      </c>
      <c r="H730" s="18"/>
      <c r="I730" t="e">
        <f>VLOOKUP(H730,Localizacoes!$C$3:$D$100,2,FALSE)</f>
        <v>#N/A</v>
      </c>
      <c r="J730" t="e">
        <f>VLOOKUP(H730,ID!$C$3:$D$100,2,FALSE)</f>
        <v>#N/A</v>
      </c>
      <c r="M730" t="e">
        <f>VLOOKUP(K730,ID!$E$3:$F$100,2,FALSE)</f>
        <v>#N/A</v>
      </c>
      <c r="O730" t="e">
        <f>VLOOKUP(N730,Localizacoes!$G$3:$H$100,2,FALSE)</f>
        <v>#N/A</v>
      </c>
      <c r="P730" t="e">
        <f>VLOOKUP(N730,ID!$G$3:$H$100,2,FALSE)</f>
        <v>#N/A</v>
      </c>
      <c r="AD730" s="13"/>
      <c r="AH730" t="str">
        <f>_xlfn.CONCAT(Imagens!$H$2,'registo_ativo-CDs (1)'!AG730)</f>
        <v>assets/imagens/products/</v>
      </c>
    </row>
    <row r="731" spans="1:34" ht="16.8" customHeight="1" x14ac:dyDescent="0.3">
      <c r="A731">
        <f t="shared" si="138"/>
        <v>0</v>
      </c>
      <c r="H731" s="18"/>
      <c r="I731" t="e">
        <f>VLOOKUP(H731,Localizacoes!$C$3:$D$100,2,FALSE)</f>
        <v>#N/A</v>
      </c>
      <c r="J731" t="e">
        <f>VLOOKUP(H731,ID!$C$3:$D$100,2,FALSE)</f>
        <v>#N/A</v>
      </c>
      <c r="M731" t="e">
        <f>VLOOKUP(K731,ID!$E$3:$F$100,2,FALSE)</f>
        <v>#N/A</v>
      </c>
      <c r="O731" t="e">
        <f>VLOOKUP(N731,Localizacoes!$G$3:$H$100,2,FALSE)</f>
        <v>#N/A</v>
      </c>
      <c r="P731" t="e">
        <f>VLOOKUP(N731,ID!$G$3:$H$100,2,FALSE)</f>
        <v>#N/A</v>
      </c>
      <c r="AD731" s="13"/>
      <c r="AH731" t="str">
        <f>_xlfn.CONCAT(Imagens!$H$2,'registo_ativo-CDs (1)'!AG731)</f>
        <v>assets/imagens/products/</v>
      </c>
    </row>
    <row r="732" spans="1:34" ht="16.8" customHeight="1" x14ac:dyDescent="0.3">
      <c r="A732">
        <f t="shared" si="138"/>
        <v>0</v>
      </c>
      <c r="H732" s="18"/>
      <c r="I732" t="e">
        <f>VLOOKUP(H732,Localizacoes!$C$3:$D$100,2,FALSE)</f>
        <v>#N/A</v>
      </c>
      <c r="J732" t="e">
        <f>VLOOKUP(H732,ID!$C$3:$D$100,2,FALSE)</f>
        <v>#N/A</v>
      </c>
      <c r="M732" t="e">
        <f>VLOOKUP(K732,ID!$E$3:$F$100,2,FALSE)</f>
        <v>#N/A</v>
      </c>
      <c r="O732" t="e">
        <f>VLOOKUP(N732,Localizacoes!$G$3:$H$100,2,FALSE)</f>
        <v>#N/A</v>
      </c>
      <c r="P732" t="e">
        <f>VLOOKUP(N732,ID!$G$3:$H$100,2,FALSE)</f>
        <v>#N/A</v>
      </c>
      <c r="AD732" s="13"/>
      <c r="AH732" t="str">
        <f>_xlfn.CONCAT(Imagens!$H$2,'registo_ativo-CDs (1)'!AG732)</f>
        <v>assets/imagens/products/</v>
      </c>
    </row>
    <row r="733" spans="1:34" ht="16.8" customHeight="1" x14ac:dyDescent="0.3">
      <c r="A733">
        <f t="shared" si="138"/>
        <v>0</v>
      </c>
      <c r="H733" s="18"/>
      <c r="I733" t="e">
        <f>VLOOKUP(H733,Localizacoes!$C$3:$D$100,2,FALSE)</f>
        <v>#N/A</v>
      </c>
      <c r="J733" t="e">
        <f>VLOOKUP(H733,ID!$C$3:$D$100,2,FALSE)</f>
        <v>#N/A</v>
      </c>
      <c r="M733" t="e">
        <f>VLOOKUP(K733,ID!$E$3:$F$100,2,FALSE)</f>
        <v>#N/A</v>
      </c>
      <c r="O733" t="e">
        <f>VLOOKUP(N733,Localizacoes!$G$3:$H$100,2,FALSE)</f>
        <v>#N/A</v>
      </c>
      <c r="P733" t="e">
        <f>VLOOKUP(N733,ID!$G$3:$H$100,2,FALSE)</f>
        <v>#N/A</v>
      </c>
      <c r="AD733" s="13"/>
      <c r="AH733" t="str">
        <f>_xlfn.CONCAT(Imagens!$H$2,'registo_ativo-CDs (1)'!AG733)</f>
        <v>assets/imagens/products/</v>
      </c>
    </row>
    <row r="734" spans="1:34" ht="16.8" customHeight="1" x14ac:dyDescent="0.3">
      <c r="A734">
        <f t="shared" si="138"/>
        <v>0</v>
      </c>
      <c r="H734" s="18"/>
      <c r="I734" t="e">
        <f>VLOOKUP(H734,Localizacoes!$C$3:$D$100,2,FALSE)</f>
        <v>#N/A</v>
      </c>
      <c r="J734" t="e">
        <f>VLOOKUP(H734,ID!$C$3:$D$100,2,FALSE)</f>
        <v>#N/A</v>
      </c>
      <c r="M734" t="e">
        <f>VLOOKUP(K734,ID!$E$3:$F$100,2,FALSE)</f>
        <v>#N/A</v>
      </c>
      <c r="O734" t="e">
        <f>VLOOKUP(N734,Localizacoes!$G$3:$H$100,2,FALSE)</f>
        <v>#N/A</v>
      </c>
      <c r="P734" t="e">
        <f>VLOOKUP(N734,ID!$G$3:$H$100,2,FALSE)</f>
        <v>#N/A</v>
      </c>
      <c r="AD734" s="13"/>
      <c r="AH734" t="str">
        <f>_xlfn.CONCAT(Imagens!$H$2,'registo_ativo-CDs (1)'!AG734)</f>
        <v>assets/imagens/products/</v>
      </c>
    </row>
    <row r="735" spans="1:34" ht="16.8" customHeight="1" x14ac:dyDescent="0.3">
      <c r="A735">
        <f t="shared" si="138"/>
        <v>0</v>
      </c>
      <c r="H735" s="18"/>
      <c r="I735" t="e">
        <f>VLOOKUP(H735,Localizacoes!$C$3:$D$100,2,FALSE)</f>
        <v>#N/A</v>
      </c>
      <c r="J735" t="e">
        <f>VLOOKUP(H735,ID!$C$3:$D$100,2,FALSE)</f>
        <v>#N/A</v>
      </c>
      <c r="M735" t="e">
        <f>VLOOKUP(K735,ID!$E$3:$F$100,2,FALSE)</f>
        <v>#N/A</v>
      </c>
      <c r="O735" t="e">
        <f>VLOOKUP(N735,Localizacoes!$G$3:$H$100,2,FALSE)</f>
        <v>#N/A</v>
      </c>
      <c r="P735" t="e">
        <f>VLOOKUP(N735,ID!$G$3:$H$100,2,FALSE)</f>
        <v>#N/A</v>
      </c>
      <c r="AD735" s="13"/>
      <c r="AH735" t="str">
        <f>_xlfn.CONCAT(Imagens!$H$2,'registo_ativo-CDs (1)'!AG735)</f>
        <v>assets/imagens/products/</v>
      </c>
    </row>
    <row r="736" spans="1:34" ht="16.8" customHeight="1" x14ac:dyDescent="0.3">
      <c r="A736">
        <f t="shared" si="138"/>
        <v>0</v>
      </c>
      <c r="H736" s="18"/>
      <c r="I736" t="e">
        <f>VLOOKUP(H736,Localizacoes!$C$3:$D$100,2,FALSE)</f>
        <v>#N/A</v>
      </c>
      <c r="J736" t="e">
        <f>VLOOKUP(H736,ID!$C$3:$D$100,2,FALSE)</f>
        <v>#N/A</v>
      </c>
      <c r="M736" t="e">
        <f>VLOOKUP(K736,ID!$E$3:$F$100,2,FALSE)</f>
        <v>#N/A</v>
      </c>
      <c r="O736" t="e">
        <f>VLOOKUP(N736,Localizacoes!$G$3:$H$100,2,FALSE)</f>
        <v>#N/A</v>
      </c>
      <c r="P736" t="e">
        <f>VLOOKUP(N736,ID!$G$3:$H$100,2,FALSE)</f>
        <v>#N/A</v>
      </c>
      <c r="AD736" s="13"/>
      <c r="AH736" t="str">
        <f>_xlfn.CONCAT(Imagens!$H$2,'registo_ativo-CDs (1)'!AG736)</f>
        <v>assets/imagens/products/</v>
      </c>
    </row>
    <row r="737" spans="1:34" ht="16.8" customHeight="1" x14ac:dyDescent="0.3">
      <c r="A737">
        <f t="shared" si="138"/>
        <v>0</v>
      </c>
      <c r="H737" s="18"/>
      <c r="I737" t="e">
        <f>VLOOKUP(H737,Localizacoes!$C$3:$D$100,2,FALSE)</f>
        <v>#N/A</v>
      </c>
      <c r="J737" t="e">
        <f>VLOOKUP(H737,ID!$C$3:$D$100,2,FALSE)</f>
        <v>#N/A</v>
      </c>
      <c r="M737" t="e">
        <f>VLOOKUP(K737,ID!$E$3:$F$100,2,FALSE)</f>
        <v>#N/A</v>
      </c>
      <c r="O737" t="e">
        <f>VLOOKUP(N737,Localizacoes!$G$3:$H$100,2,FALSE)</f>
        <v>#N/A</v>
      </c>
      <c r="P737" t="e">
        <f>VLOOKUP(N737,ID!$G$3:$H$100,2,FALSE)</f>
        <v>#N/A</v>
      </c>
      <c r="AD737" s="13"/>
      <c r="AH737" t="str">
        <f>_xlfn.CONCAT(Imagens!$H$2,'registo_ativo-CDs (1)'!AG737)</f>
        <v>assets/imagens/products/</v>
      </c>
    </row>
    <row r="738" spans="1:34" ht="16.8" customHeight="1" x14ac:dyDescent="0.3">
      <c r="A738">
        <f t="shared" si="138"/>
        <v>0</v>
      </c>
      <c r="H738" s="18"/>
      <c r="I738" t="e">
        <f>VLOOKUP(H738,Localizacoes!$C$3:$D$100,2,FALSE)</f>
        <v>#N/A</v>
      </c>
      <c r="J738" t="e">
        <f>VLOOKUP(H738,ID!$C$3:$D$100,2,FALSE)</f>
        <v>#N/A</v>
      </c>
      <c r="M738" t="e">
        <f>VLOOKUP(K738,ID!$E$3:$F$100,2,FALSE)</f>
        <v>#N/A</v>
      </c>
      <c r="O738" t="e">
        <f>VLOOKUP(N738,Localizacoes!$G$3:$H$100,2,FALSE)</f>
        <v>#N/A</v>
      </c>
      <c r="P738" t="e">
        <f>VLOOKUP(N738,ID!$G$3:$H$100,2,FALSE)</f>
        <v>#N/A</v>
      </c>
      <c r="AD738" s="13"/>
      <c r="AH738" t="str">
        <f>_xlfn.CONCAT(Imagens!$H$2,'registo_ativo-CDs (1)'!AG738)</f>
        <v>assets/imagens/products/</v>
      </c>
    </row>
    <row r="739" spans="1:34" ht="16.8" customHeight="1" x14ac:dyDescent="0.3">
      <c r="A739">
        <f t="shared" si="138"/>
        <v>0</v>
      </c>
      <c r="H739" s="18"/>
      <c r="I739" t="e">
        <f>VLOOKUP(H739,Localizacoes!$C$3:$D$100,2,FALSE)</f>
        <v>#N/A</v>
      </c>
      <c r="J739" t="e">
        <f>VLOOKUP(H739,ID!$C$3:$D$100,2,FALSE)</f>
        <v>#N/A</v>
      </c>
      <c r="M739" t="e">
        <f>VLOOKUP(K739,ID!$E$3:$F$100,2,FALSE)</f>
        <v>#N/A</v>
      </c>
      <c r="O739" t="e">
        <f>VLOOKUP(N739,Localizacoes!$G$3:$H$100,2,FALSE)</f>
        <v>#N/A</v>
      </c>
      <c r="P739" t="e">
        <f>VLOOKUP(N739,ID!$G$3:$H$100,2,FALSE)</f>
        <v>#N/A</v>
      </c>
      <c r="AD739" s="13"/>
      <c r="AH739" t="str">
        <f>_xlfn.CONCAT(Imagens!$H$2,'registo_ativo-CDs (1)'!AG739)</f>
        <v>assets/imagens/products/</v>
      </c>
    </row>
    <row r="740" spans="1:34" ht="16.8" customHeight="1" x14ac:dyDescent="0.3">
      <c r="A740">
        <f t="shared" si="138"/>
        <v>0</v>
      </c>
      <c r="H740" s="18"/>
      <c r="I740" t="e">
        <f>VLOOKUP(H740,Localizacoes!$C$3:$D$100,2,FALSE)</f>
        <v>#N/A</v>
      </c>
      <c r="J740" t="e">
        <f>VLOOKUP(H740,ID!$C$3:$D$100,2,FALSE)</f>
        <v>#N/A</v>
      </c>
      <c r="M740" t="e">
        <f>VLOOKUP(K740,ID!$E$3:$F$100,2,FALSE)</f>
        <v>#N/A</v>
      </c>
      <c r="O740" t="e">
        <f>VLOOKUP(N740,Localizacoes!$G$3:$H$100,2,FALSE)</f>
        <v>#N/A</v>
      </c>
      <c r="P740" t="e">
        <f>VLOOKUP(N740,ID!$G$3:$H$100,2,FALSE)</f>
        <v>#N/A</v>
      </c>
      <c r="AD740" s="13"/>
      <c r="AH740" t="str">
        <f>_xlfn.CONCAT(Imagens!$H$2,'registo_ativo-CDs (1)'!AG740)</f>
        <v>assets/imagens/products/</v>
      </c>
    </row>
    <row r="741" spans="1:34" ht="16.8" customHeight="1" x14ac:dyDescent="0.3">
      <c r="A741">
        <f t="shared" si="138"/>
        <v>0</v>
      </c>
      <c r="H741" s="18"/>
      <c r="I741" t="e">
        <f>VLOOKUP(H741,Localizacoes!$C$3:$D$100,2,FALSE)</f>
        <v>#N/A</v>
      </c>
      <c r="J741" t="e">
        <f>VLOOKUP(H741,ID!$C$3:$D$100,2,FALSE)</f>
        <v>#N/A</v>
      </c>
      <c r="M741" t="e">
        <f>VLOOKUP(K741,ID!$E$3:$F$100,2,FALSE)</f>
        <v>#N/A</v>
      </c>
      <c r="O741" t="e">
        <f>VLOOKUP(N741,Localizacoes!$G$3:$H$100,2,FALSE)</f>
        <v>#N/A</v>
      </c>
      <c r="P741" t="e">
        <f>VLOOKUP(N741,ID!$G$3:$H$100,2,FALSE)</f>
        <v>#N/A</v>
      </c>
      <c r="AD741" s="13"/>
      <c r="AH741" t="str">
        <f>_xlfn.CONCAT(Imagens!$H$2,'registo_ativo-CDs (1)'!AG741)</f>
        <v>assets/imagens/products/</v>
      </c>
    </row>
    <row r="742" spans="1:34" ht="16.8" customHeight="1" x14ac:dyDescent="0.3">
      <c r="A742">
        <f t="shared" si="138"/>
        <v>0</v>
      </c>
      <c r="H742" s="18"/>
      <c r="I742" t="e">
        <f>VLOOKUP(H742,Localizacoes!$C$3:$D$100,2,FALSE)</f>
        <v>#N/A</v>
      </c>
      <c r="J742" t="e">
        <f>VLOOKUP(H742,ID!$C$3:$D$100,2,FALSE)</f>
        <v>#N/A</v>
      </c>
      <c r="M742" t="e">
        <f>VLOOKUP(K742,ID!$E$3:$F$100,2,FALSE)</f>
        <v>#N/A</v>
      </c>
      <c r="O742" t="e">
        <f>VLOOKUP(N742,Localizacoes!$G$3:$H$100,2,FALSE)</f>
        <v>#N/A</v>
      </c>
      <c r="P742" t="e">
        <f>VLOOKUP(N742,ID!$G$3:$H$100,2,FALSE)</f>
        <v>#N/A</v>
      </c>
      <c r="AD742" s="13"/>
      <c r="AH742" t="str">
        <f>_xlfn.CONCAT(Imagens!$H$2,'registo_ativo-CDs (1)'!AG742)</f>
        <v>assets/imagens/products/</v>
      </c>
    </row>
    <row r="743" spans="1:34" ht="16.8" customHeight="1" x14ac:dyDescent="0.3">
      <c r="A743">
        <f t="shared" si="138"/>
        <v>0</v>
      </c>
      <c r="H743" s="18"/>
      <c r="I743" t="e">
        <f>VLOOKUP(H743,Localizacoes!$C$3:$D$100,2,FALSE)</f>
        <v>#N/A</v>
      </c>
      <c r="J743" t="e">
        <f>VLOOKUP(H743,ID!$C$3:$D$100,2,FALSE)</f>
        <v>#N/A</v>
      </c>
      <c r="M743" t="e">
        <f>VLOOKUP(K743,ID!$E$3:$F$100,2,FALSE)</f>
        <v>#N/A</v>
      </c>
      <c r="O743" t="e">
        <f>VLOOKUP(N743,Localizacoes!$G$3:$H$100,2,FALSE)</f>
        <v>#N/A</v>
      </c>
      <c r="P743" t="e">
        <f>VLOOKUP(N743,ID!$G$3:$H$100,2,FALSE)</f>
        <v>#N/A</v>
      </c>
      <c r="AD743" s="13"/>
      <c r="AH743" t="str">
        <f>_xlfn.CONCAT(Imagens!$H$2,'registo_ativo-CDs (1)'!AG743)</f>
        <v>assets/imagens/products/</v>
      </c>
    </row>
    <row r="744" spans="1:34" ht="16.8" customHeight="1" x14ac:dyDescent="0.3">
      <c r="A744">
        <f t="shared" si="138"/>
        <v>0</v>
      </c>
      <c r="H744" s="18"/>
      <c r="I744" t="e">
        <f>VLOOKUP(H744,Localizacoes!$C$3:$D$100,2,FALSE)</f>
        <v>#N/A</v>
      </c>
      <c r="J744" t="e">
        <f>VLOOKUP(H744,ID!$C$3:$D$100,2,FALSE)</f>
        <v>#N/A</v>
      </c>
      <c r="M744" t="e">
        <f>VLOOKUP(K744,ID!$E$3:$F$100,2,FALSE)</f>
        <v>#N/A</v>
      </c>
      <c r="O744" t="e">
        <f>VLOOKUP(N744,Localizacoes!$G$3:$H$100,2,FALSE)</f>
        <v>#N/A</v>
      </c>
      <c r="P744" t="e">
        <f>VLOOKUP(N744,ID!$G$3:$H$100,2,FALSE)</f>
        <v>#N/A</v>
      </c>
      <c r="AD744" s="13"/>
      <c r="AH744" t="str">
        <f>_xlfn.CONCAT(Imagens!$H$2,'registo_ativo-CDs (1)'!AG744)</f>
        <v>assets/imagens/products/</v>
      </c>
    </row>
    <row r="745" spans="1:34" ht="16.8" customHeight="1" x14ac:dyDescent="0.3">
      <c r="A745">
        <f t="shared" ref="A745" si="139">LEN(B745)</f>
        <v>0</v>
      </c>
      <c r="H745" s="18"/>
      <c r="I745" t="e">
        <f>VLOOKUP(H745,Localizacoes!$C$3:$D$100,2,FALSE)</f>
        <v>#N/A</v>
      </c>
      <c r="J745" t="e">
        <f>VLOOKUP(H745,ID!$C$3:$D$100,2,FALSE)</f>
        <v>#N/A</v>
      </c>
      <c r="M745" t="e">
        <f>VLOOKUP(K745,ID!$E$3:$F$100,2,FALSE)</f>
        <v>#N/A</v>
      </c>
      <c r="O745" t="e">
        <f>VLOOKUP(N745,Localizacoes!$G$3:$H$100,2,FALSE)</f>
        <v>#N/A</v>
      </c>
      <c r="P745" t="e">
        <f>VLOOKUP(N745,ID!$G$3:$H$100,2,FALSE)</f>
        <v>#N/A</v>
      </c>
      <c r="AD745" s="13"/>
      <c r="AH745" t="str">
        <f>_xlfn.CONCAT(Imagens!$H$2,'registo_ativo-CDs (1)'!AG745)</f>
        <v>assets/imagens/products/</v>
      </c>
    </row>
    <row r="746" spans="1:34" ht="16.8" customHeight="1" x14ac:dyDescent="0.3">
      <c r="A746">
        <f t="shared" si="138"/>
        <v>0</v>
      </c>
      <c r="H746" s="18"/>
      <c r="I746" t="e">
        <f>VLOOKUP(H746,Localizacoes!$C$3:$D$100,2,FALSE)</f>
        <v>#N/A</v>
      </c>
      <c r="J746" t="e">
        <f>VLOOKUP(H746,ID!$C$3:$D$100,2,FALSE)</f>
        <v>#N/A</v>
      </c>
      <c r="M746" t="e">
        <f>VLOOKUP(K746,ID!$E$3:$F$100,2,FALSE)</f>
        <v>#N/A</v>
      </c>
      <c r="O746" t="e">
        <f>VLOOKUP(N746,Localizacoes!$G$3:$H$100,2,FALSE)</f>
        <v>#N/A</v>
      </c>
      <c r="P746" t="e">
        <f>VLOOKUP(N746,ID!$G$3:$H$100,2,FALSE)</f>
        <v>#N/A</v>
      </c>
      <c r="AD746" s="13"/>
      <c r="AH746" t="str">
        <f>_xlfn.CONCAT(Imagens!$H$2,'registo_ativo-CDs (1)'!AG746)</f>
        <v>assets/imagens/products/</v>
      </c>
    </row>
    <row r="747" spans="1:34" ht="16.8" customHeight="1" x14ac:dyDescent="0.3">
      <c r="A747">
        <f t="shared" si="138"/>
        <v>0</v>
      </c>
      <c r="H747" s="18"/>
      <c r="I747" t="e">
        <f>VLOOKUP(H747,Localizacoes!$C$3:$D$100,2,FALSE)</f>
        <v>#N/A</v>
      </c>
      <c r="J747" t="e">
        <f>VLOOKUP(H747,ID!$C$3:$D$100,2,FALSE)</f>
        <v>#N/A</v>
      </c>
      <c r="M747" t="e">
        <f>VLOOKUP(K747,ID!$E$3:$F$100,2,FALSE)</f>
        <v>#N/A</v>
      </c>
      <c r="O747" t="e">
        <f>VLOOKUP(N747,Localizacoes!$G$3:$H$100,2,FALSE)</f>
        <v>#N/A</v>
      </c>
      <c r="P747" t="e">
        <f>VLOOKUP(N747,ID!$G$3:$H$100,2,FALSE)</f>
        <v>#N/A</v>
      </c>
      <c r="AD747" s="13"/>
      <c r="AH747" t="str">
        <f>_xlfn.CONCAT(Imagens!$H$2,'registo_ativo-CDs (1)'!AG747)</f>
        <v>assets/imagens/products/</v>
      </c>
    </row>
    <row r="748" spans="1:34" ht="16.8" customHeight="1" x14ac:dyDescent="0.3">
      <c r="A748">
        <f t="shared" si="138"/>
        <v>0</v>
      </c>
      <c r="H748" s="18"/>
      <c r="I748" t="e">
        <f>VLOOKUP(H748,Localizacoes!$C$3:$D$100,2,FALSE)</f>
        <v>#N/A</v>
      </c>
      <c r="J748" t="e">
        <f>VLOOKUP(H748,ID!$C$3:$D$100,2,FALSE)</f>
        <v>#N/A</v>
      </c>
      <c r="M748" t="e">
        <f>VLOOKUP(K748,ID!$E$3:$F$100,2,FALSE)</f>
        <v>#N/A</v>
      </c>
      <c r="O748" t="e">
        <f>VLOOKUP(N748,Localizacoes!$G$3:$H$100,2,FALSE)</f>
        <v>#N/A</v>
      </c>
      <c r="P748" t="e">
        <f>VLOOKUP(N748,ID!$G$3:$H$100,2,FALSE)</f>
        <v>#N/A</v>
      </c>
      <c r="AD748" s="13"/>
      <c r="AH748" t="str">
        <f>_xlfn.CONCAT(Imagens!$H$2,'registo_ativo-CDs (1)'!AG748)</f>
        <v>assets/imagens/products/</v>
      </c>
    </row>
    <row r="749" spans="1:34" ht="16.8" customHeight="1" x14ac:dyDescent="0.3">
      <c r="A749">
        <f t="shared" ref="A749" si="140">LEN(B749)</f>
        <v>0</v>
      </c>
      <c r="H749" s="18"/>
      <c r="I749" t="e">
        <f>VLOOKUP(H749,Localizacoes!$C$3:$D$100,2,FALSE)</f>
        <v>#N/A</v>
      </c>
      <c r="J749" t="e">
        <f>VLOOKUP(H749,ID!$C$3:$D$100,2,FALSE)</f>
        <v>#N/A</v>
      </c>
      <c r="M749" t="e">
        <f>VLOOKUP(K749,ID!$E$3:$F$100,2,FALSE)</f>
        <v>#N/A</v>
      </c>
      <c r="O749" t="e">
        <f>VLOOKUP(N749,Localizacoes!$G$3:$H$100,2,FALSE)</f>
        <v>#N/A</v>
      </c>
      <c r="P749" t="e">
        <f>VLOOKUP(N749,ID!$G$3:$H$100,2,FALSE)</f>
        <v>#N/A</v>
      </c>
      <c r="AD749" s="13"/>
      <c r="AH749" t="str">
        <f>_xlfn.CONCAT(Imagens!$H$2,'registo_ativo-CDs (1)'!AG749)</f>
        <v>assets/imagens/products/</v>
      </c>
    </row>
    <row r="750" spans="1:34" ht="16.8" customHeight="1" x14ac:dyDescent="0.3">
      <c r="A750">
        <f t="shared" si="138"/>
        <v>0</v>
      </c>
      <c r="H750" s="18"/>
      <c r="I750" t="e">
        <f>VLOOKUP(H750,Localizacoes!$C$3:$D$100,2,FALSE)</f>
        <v>#N/A</v>
      </c>
      <c r="J750" t="e">
        <f>VLOOKUP(H750,ID!$C$3:$D$100,2,FALSE)</f>
        <v>#N/A</v>
      </c>
      <c r="M750" t="e">
        <f>VLOOKUP(K750,ID!$E$3:$F$100,2,FALSE)</f>
        <v>#N/A</v>
      </c>
      <c r="O750" t="e">
        <f>VLOOKUP(N750,Localizacoes!$G$3:$H$100,2,FALSE)</f>
        <v>#N/A</v>
      </c>
      <c r="P750" t="e">
        <f>VLOOKUP(N750,ID!$G$3:$H$100,2,FALSE)</f>
        <v>#N/A</v>
      </c>
      <c r="AD750" s="13"/>
      <c r="AH750" t="str">
        <f>_xlfn.CONCAT(Imagens!$H$2,'registo_ativo-CDs (1)'!AG750)</f>
        <v>assets/imagens/products/</v>
      </c>
    </row>
    <row r="751" spans="1:34" ht="16.8" customHeight="1" x14ac:dyDescent="0.3">
      <c r="A751">
        <f t="shared" si="138"/>
        <v>0</v>
      </c>
      <c r="H751" s="18"/>
      <c r="I751" t="e">
        <f>VLOOKUP(H751,Localizacoes!$C$3:$D$100,2,FALSE)</f>
        <v>#N/A</v>
      </c>
      <c r="J751" t="e">
        <f>VLOOKUP(H751,ID!$C$3:$D$100,2,FALSE)</f>
        <v>#N/A</v>
      </c>
      <c r="M751" t="e">
        <f>VLOOKUP(K751,ID!$E$3:$F$100,2,FALSE)</f>
        <v>#N/A</v>
      </c>
      <c r="O751" t="e">
        <f>VLOOKUP(N751,Localizacoes!$G$3:$H$100,2,FALSE)</f>
        <v>#N/A</v>
      </c>
      <c r="P751" t="e">
        <f>VLOOKUP(N751,ID!$G$3:$H$100,2,FALSE)</f>
        <v>#N/A</v>
      </c>
      <c r="AD751" s="13"/>
      <c r="AH751" t="str">
        <f>_xlfn.CONCAT(Imagens!$H$2,'registo_ativo-CDs (1)'!AG751)</f>
        <v>assets/imagens/products/</v>
      </c>
    </row>
    <row r="752" spans="1:34" ht="16.8" customHeight="1" x14ac:dyDescent="0.3">
      <c r="A752">
        <f t="shared" si="138"/>
        <v>0</v>
      </c>
      <c r="H752" s="18"/>
      <c r="I752" t="e">
        <f>VLOOKUP(H752,Localizacoes!$C$3:$D$100,2,FALSE)</f>
        <v>#N/A</v>
      </c>
      <c r="J752" t="e">
        <f>VLOOKUP(H752,ID!$C$3:$D$100,2,FALSE)</f>
        <v>#N/A</v>
      </c>
      <c r="M752" t="e">
        <f>VLOOKUP(K752,ID!$E$3:$F$100,2,FALSE)</f>
        <v>#N/A</v>
      </c>
      <c r="O752" t="e">
        <f>VLOOKUP(N752,Localizacoes!$G$3:$H$100,2,FALSE)</f>
        <v>#N/A</v>
      </c>
      <c r="P752" t="e">
        <f>VLOOKUP(N752,ID!$G$3:$H$100,2,FALSE)</f>
        <v>#N/A</v>
      </c>
      <c r="AD752" s="13"/>
      <c r="AH752" t="str">
        <f>_xlfn.CONCAT(Imagens!$H$2,'registo_ativo-CDs (1)'!AG752)</f>
        <v>assets/imagens/products/</v>
      </c>
    </row>
    <row r="753" spans="1:34" ht="16.8" customHeight="1" x14ac:dyDescent="0.3">
      <c r="A753">
        <f t="shared" si="138"/>
        <v>0</v>
      </c>
      <c r="H753" s="18"/>
      <c r="I753" t="e">
        <f>VLOOKUP(H753,Localizacoes!$C$3:$D$100,2,FALSE)</f>
        <v>#N/A</v>
      </c>
      <c r="J753" t="e">
        <f>VLOOKUP(H753,ID!$C$3:$D$100,2,FALSE)</f>
        <v>#N/A</v>
      </c>
      <c r="M753" t="e">
        <f>VLOOKUP(K753,ID!$E$3:$F$100,2,FALSE)</f>
        <v>#N/A</v>
      </c>
      <c r="O753" t="e">
        <f>VLOOKUP(N753,Localizacoes!$G$3:$H$100,2,FALSE)</f>
        <v>#N/A</v>
      </c>
      <c r="P753" t="e">
        <f>VLOOKUP(N753,ID!$G$3:$H$100,2,FALSE)</f>
        <v>#N/A</v>
      </c>
      <c r="AD753" s="13"/>
      <c r="AH753" t="str">
        <f>_xlfn.CONCAT(Imagens!$H$2,'registo_ativo-CDs (1)'!AG753)</f>
        <v>assets/imagens/products/</v>
      </c>
    </row>
    <row r="754" spans="1:34" ht="16.8" customHeight="1" x14ac:dyDescent="0.3">
      <c r="A754">
        <f t="shared" si="138"/>
        <v>0</v>
      </c>
      <c r="H754" s="18"/>
      <c r="I754" t="e">
        <f>VLOOKUP(H754,Localizacoes!$C$3:$D$100,2,FALSE)</f>
        <v>#N/A</v>
      </c>
      <c r="J754" t="e">
        <f>VLOOKUP(H754,ID!$C$3:$D$100,2,FALSE)</f>
        <v>#N/A</v>
      </c>
      <c r="M754" t="e">
        <f>VLOOKUP(K754,ID!$E$3:$F$100,2,FALSE)</f>
        <v>#N/A</v>
      </c>
      <c r="O754" t="e">
        <f>VLOOKUP(N754,Localizacoes!$G$3:$H$100,2,FALSE)</f>
        <v>#N/A</v>
      </c>
      <c r="P754" t="e">
        <f>VLOOKUP(N754,ID!$G$3:$H$100,2,FALSE)</f>
        <v>#N/A</v>
      </c>
      <c r="AD754" s="13"/>
      <c r="AH754" t="str">
        <f>_xlfn.CONCAT(Imagens!$H$2,'registo_ativo-CDs (1)'!AG754)</f>
        <v>assets/imagens/products/</v>
      </c>
    </row>
    <row r="755" spans="1:34" ht="16.8" customHeight="1" x14ac:dyDescent="0.3">
      <c r="A755">
        <f t="shared" si="138"/>
        <v>0</v>
      </c>
      <c r="H755" s="18"/>
      <c r="I755" t="e">
        <f>VLOOKUP(H755,Localizacoes!$C$3:$D$100,2,FALSE)</f>
        <v>#N/A</v>
      </c>
      <c r="J755" t="e">
        <f>VLOOKUP(H755,ID!$C$3:$D$100,2,FALSE)</f>
        <v>#N/A</v>
      </c>
      <c r="M755" t="e">
        <f>VLOOKUP(K755,ID!$E$3:$F$100,2,FALSE)</f>
        <v>#N/A</v>
      </c>
      <c r="O755" t="e">
        <f>VLOOKUP(N755,Localizacoes!$G$3:$H$100,2,FALSE)</f>
        <v>#N/A</v>
      </c>
      <c r="P755" t="e">
        <f>VLOOKUP(N755,ID!$G$3:$H$100,2,FALSE)</f>
        <v>#N/A</v>
      </c>
      <c r="AD755" s="13"/>
      <c r="AH755" t="str">
        <f>_xlfn.CONCAT(Imagens!$H$2,'registo_ativo-CDs (1)'!AG755)</f>
        <v>assets/imagens/products/</v>
      </c>
    </row>
    <row r="756" spans="1:34" ht="16.8" customHeight="1" x14ac:dyDescent="0.3">
      <c r="A756">
        <f t="shared" si="138"/>
        <v>0</v>
      </c>
      <c r="H756" s="18"/>
      <c r="I756" t="e">
        <f>VLOOKUP(H756,Localizacoes!$C$3:$D$100,2,FALSE)</f>
        <v>#N/A</v>
      </c>
      <c r="J756" t="e">
        <f>VLOOKUP(H756,ID!$C$3:$D$100,2,FALSE)</f>
        <v>#N/A</v>
      </c>
      <c r="M756" t="e">
        <f>VLOOKUP(K756,ID!$E$3:$F$100,2,FALSE)</f>
        <v>#N/A</v>
      </c>
      <c r="O756" t="e">
        <f>VLOOKUP(N756,Localizacoes!$G$3:$H$100,2,FALSE)</f>
        <v>#N/A</v>
      </c>
      <c r="P756" t="e">
        <f>VLOOKUP(N756,ID!$G$3:$H$100,2,FALSE)</f>
        <v>#N/A</v>
      </c>
      <c r="AD756" s="13"/>
      <c r="AH756" t="str">
        <f>_xlfn.CONCAT(Imagens!$H$2,'registo_ativo-CDs (1)'!AG756)</f>
        <v>assets/imagens/products/</v>
      </c>
    </row>
    <row r="757" spans="1:34" ht="16.8" customHeight="1" x14ac:dyDescent="0.3">
      <c r="A757">
        <f t="shared" si="138"/>
        <v>0</v>
      </c>
      <c r="H757" s="18"/>
      <c r="I757" t="e">
        <f>VLOOKUP(H757,Localizacoes!$C$3:$D$100,2,FALSE)</f>
        <v>#N/A</v>
      </c>
      <c r="J757" t="e">
        <f>VLOOKUP(H757,ID!$C$3:$D$100,2,FALSE)</f>
        <v>#N/A</v>
      </c>
      <c r="M757" t="e">
        <f>VLOOKUP(K757,ID!$E$3:$F$100,2,FALSE)</f>
        <v>#N/A</v>
      </c>
      <c r="O757" t="e">
        <f>VLOOKUP(N757,Localizacoes!$G$3:$H$100,2,FALSE)</f>
        <v>#N/A</v>
      </c>
      <c r="P757" t="e">
        <f>VLOOKUP(N757,ID!$G$3:$H$100,2,FALSE)</f>
        <v>#N/A</v>
      </c>
      <c r="AD757" s="13"/>
      <c r="AH757" t="str">
        <f>_xlfn.CONCAT(Imagens!$H$2,'registo_ativo-CDs (1)'!AG757)</f>
        <v>assets/imagens/products/</v>
      </c>
    </row>
    <row r="758" spans="1:34" ht="16.8" customHeight="1" x14ac:dyDescent="0.3">
      <c r="A758">
        <f t="shared" si="138"/>
        <v>0</v>
      </c>
      <c r="H758" s="18"/>
      <c r="I758" t="e">
        <f>VLOOKUP(H758,Localizacoes!$C$3:$D$100,2,FALSE)</f>
        <v>#N/A</v>
      </c>
      <c r="J758" t="e">
        <f>VLOOKUP(H758,ID!$C$3:$D$100,2,FALSE)</f>
        <v>#N/A</v>
      </c>
      <c r="M758" t="e">
        <f>VLOOKUP(K758,ID!$E$3:$F$100,2,FALSE)</f>
        <v>#N/A</v>
      </c>
      <c r="O758" t="e">
        <f>VLOOKUP(N758,Localizacoes!$G$3:$H$100,2,FALSE)</f>
        <v>#N/A</v>
      </c>
      <c r="P758" t="e">
        <f>VLOOKUP(N758,ID!$G$3:$H$100,2,FALSE)</f>
        <v>#N/A</v>
      </c>
      <c r="AD758" s="13"/>
      <c r="AH758" t="str">
        <f>_xlfn.CONCAT(Imagens!$H$2,'registo_ativo-CDs (1)'!AG758)</f>
        <v>assets/imagens/products/</v>
      </c>
    </row>
    <row r="759" spans="1:34" ht="16.8" customHeight="1" x14ac:dyDescent="0.3">
      <c r="A759">
        <f t="shared" si="138"/>
        <v>0</v>
      </c>
      <c r="H759" s="18"/>
      <c r="I759" t="e">
        <f>VLOOKUP(H759,Localizacoes!$C$3:$D$100,2,FALSE)</f>
        <v>#N/A</v>
      </c>
      <c r="J759" t="e">
        <f>VLOOKUP(H759,ID!$C$3:$D$100,2,FALSE)</f>
        <v>#N/A</v>
      </c>
      <c r="M759" t="e">
        <f>VLOOKUP(K759,ID!$E$3:$F$100,2,FALSE)</f>
        <v>#N/A</v>
      </c>
      <c r="O759" t="e">
        <f>VLOOKUP(N759,Localizacoes!$G$3:$H$100,2,FALSE)</f>
        <v>#N/A</v>
      </c>
      <c r="P759" t="e">
        <f>VLOOKUP(N759,ID!$G$3:$H$100,2,FALSE)</f>
        <v>#N/A</v>
      </c>
      <c r="AD759" s="13"/>
      <c r="AH759" t="str">
        <f>_xlfn.CONCAT(Imagens!$H$2,'registo_ativo-CDs (1)'!AG759)</f>
        <v>assets/imagens/products/</v>
      </c>
    </row>
    <row r="760" spans="1:34" ht="16.8" customHeight="1" x14ac:dyDescent="0.3">
      <c r="A760">
        <f t="shared" si="138"/>
        <v>0</v>
      </c>
      <c r="H760" s="18"/>
      <c r="I760" t="e">
        <f>VLOOKUP(H760,Localizacoes!$C$3:$D$100,2,FALSE)</f>
        <v>#N/A</v>
      </c>
      <c r="J760" t="e">
        <f>VLOOKUP(H760,ID!$C$3:$D$100,2,FALSE)</f>
        <v>#N/A</v>
      </c>
      <c r="M760" t="e">
        <f>VLOOKUP(K760,ID!$E$3:$F$100,2,FALSE)</f>
        <v>#N/A</v>
      </c>
      <c r="O760" t="e">
        <f>VLOOKUP(N760,Localizacoes!$G$3:$H$100,2,FALSE)</f>
        <v>#N/A</v>
      </c>
      <c r="P760" t="e">
        <f>VLOOKUP(N760,ID!$G$3:$H$100,2,FALSE)</f>
        <v>#N/A</v>
      </c>
      <c r="AD760" s="13"/>
      <c r="AH760" t="str">
        <f>_xlfn.CONCAT(Imagens!$H$2,'registo_ativo-CDs (1)'!AG760)</f>
        <v>assets/imagens/products/</v>
      </c>
    </row>
    <row r="761" spans="1:34" ht="16.8" customHeight="1" x14ac:dyDescent="0.3">
      <c r="A761">
        <f t="shared" si="138"/>
        <v>0</v>
      </c>
      <c r="H761" s="18"/>
      <c r="I761" t="e">
        <f>VLOOKUP(H761,Localizacoes!$C$3:$D$100,2,FALSE)</f>
        <v>#N/A</v>
      </c>
      <c r="J761" t="e">
        <f>VLOOKUP(H761,ID!$C$3:$D$100,2,FALSE)</f>
        <v>#N/A</v>
      </c>
      <c r="M761" t="e">
        <f>VLOOKUP(K761,ID!$E$3:$F$100,2,FALSE)</f>
        <v>#N/A</v>
      </c>
      <c r="O761" t="e">
        <f>VLOOKUP(N761,Localizacoes!$G$3:$H$100,2,FALSE)</f>
        <v>#N/A</v>
      </c>
      <c r="P761" t="e">
        <f>VLOOKUP(N761,ID!$G$3:$H$100,2,FALSE)</f>
        <v>#N/A</v>
      </c>
      <c r="AD761" s="13"/>
      <c r="AH761" t="str">
        <f>_xlfn.CONCAT(Imagens!$H$2,'registo_ativo-CDs (1)'!AG761)</f>
        <v>assets/imagens/products/</v>
      </c>
    </row>
    <row r="762" spans="1:34" ht="16.8" customHeight="1" x14ac:dyDescent="0.3">
      <c r="A762">
        <f t="shared" si="138"/>
        <v>0</v>
      </c>
      <c r="H762" s="18"/>
      <c r="I762" t="e">
        <f>VLOOKUP(H762,Localizacoes!$C$3:$D$100,2,FALSE)</f>
        <v>#N/A</v>
      </c>
      <c r="J762" t="e">
        <f>VLOOKUP(H762,ID!$C$3:$D$100,2,FALSE)</f>
        <v>#N/A</v>
      </c>
      <c r="M762" t="e">
        <f>VLOOKUP(K762,ID!$E$3:$F$100,2,FALSE)</f>
        <v>#N/A</v>
      </c>
      <c r="O762" t="e">
        <f>VLOOKUP(N762,Localizacoes!$G$3:$H$100,2,FALSE)</f>
        <v>#N/A</v>
      </c>
      <c r="P762" t="e">
        <f>VLOOKUP(N762,ID!$G$3:$H$100,2,FALSE)</f>
        <v>#N/A</v>
      </c>
      <c r="AD762" s="13"/>
      <c r="AH762" t="str">
        <f>_xlfn.CONCAT(Imagens!$H$2,'registo_ativo-CDs (1)'!AG762)</f>
        <v>assets/imagens/products/</v>
      </c>
    </row>
    <row r="763" spans="1:34" ht="16.8" customHeight="1" x14ac:dyDescent="0.3">
      <c r="A763">
        <f t="shared" si="138"/>
        <v>0</v>
      </c>
      <c r="H763" s="18"/>
      <c r="I763" t="e">
        <f>VLOOKUP(H763,Localizacoes!$C$3:$D$100,2,FALSE)</f>
        <v>#N/A</v>
      </c>
      <c r="J763" t="e">
        <f>VLOOKUP(H763,ID!$C$3:$D$100,2,FALSE)</f>
        <v>#N/A</v>
      </c>
      <c r="M763" t="e">
        <f>VLOOKUP(K763,ID!$E$3:$F$100,2,FALSE)</f>
        <v>#N/A</v>
      </c>
      <c r="O763" t="e">
        <f>VLOOKUP(N763,Localizacoes!$G$3:$H$100,2,FALSE)</f>
        <v>#N/A</v>
      </c>
      <c r="P763" t="e">
        <f>VLOOKUP(N763,ID!$G$3:$H$100,2,FALSE)</f>
        <v>#N/A</v>
      </c>
      <c r="AD763" s="13"/>
      <c r="AH763" t="str">
        <f>_xlfn.CONCAT(Imagens!$H$2,'registo_ativo-CDs (1)'!AG763)</f>
        <v>assets/imagens/products/</v>
      </c>
    </row>
    <row r="764" spans="1:34" ht="16.8" customHeight="1" x14ac:dyDescent="0.3">
      <c r="A764">
        <f t="shared" si="138"/>
        <v>0</v>
      </c>
      <c r="H764" s="18"/>
      <c r="I764" t="e">
        <f>VLOOKUP(H764,Localizacoes!$C$3:$D$100,2,FALSE)</f>
        <v>#N/A</v>
      </c>
      <c r="J764" t="e">
        <f>VLOOKUP(H764,ID!$C$3:$D$100,2,FALSE)</f>
        <v>#N/A</v>
      </c>
      <c r="M764" t="e">
        <f>VLOOKUP(K764,ID!$E$3:$F$100,2,FALSE)</f>
        <v>#N/A</v>
      </c>
      <c r="O764" t="e">
        <f>VLOOKUP(N764,Localizacoes!$G$3:$H$100,2,FALSE)</f>
        <v>#N/A</v>
      </c>
      <c r="P764" t="e">
        <f>VLOOKUP(N764,ID!$G$3:$H$100,2,FALSE)</f>
        <v>#N/A</v>
      </c>
      <c r="AD764" s="13"/>
      <c r="AH764" t="str">
        <f>_xlfn.CONCAT(Imagens!$H$2,'registo_ativo-CDs (1)'!AG764)</f>
        <v>assets/imagens/products/</v>
      </c>
    </row>
    <row r="765" spans="1:34" ht="16.8" customHeight="1" x14ac:dyDescent="0.3">
      <c r="A765">
        <f t="shared" si="138"/>
        <v>0</v>
      </c>
      <c r="H765" s="18"/>
      <c r="I765" t="e">
        <f>VLOOKUP(H765,Localizacoes!$C$3:$D$100,2,FALSE)</f>
        <v>#N/A</v>
      </c>
      <c r="J765" t="e">
        <f>VLOOKUP(H765,ID!$C$3:$D$100,2,FALSE)</f>
        <v>#N/A</v>
      </c>
      <c r="M765" t="e">
        <f>VLOOKUP(K765,ID!$E$3:$F$100,2,FALSE)</f>
        <v>#N/A</v>
      </c>
      <c r="O765" t="e">
        <f>VLOOKUP(N765,Localizacoes!$G$3:$H$100,2,FALSE)</f>
        <v>#N/A</v>
      </c>
      <c r="P765" t="e">
        <f>VLOOKUP(N765,ID!$G$3:$H$100,2,FALSE)</f>
        <v>#N/A</v>
      </c>
      <c r="AD765" s="13"/>
      <c r="AH765" t="str">
        <f>_xlfn.CONCAT(Imagens!$H$2,'registo_ativo-CDs (1)'!AG765)</f>
        <v>assets/imagens/products/</v>
      </c>
    </row>
    <row r="766" spans="1:34" ht="16.8" customHeight="1" x14ac:dyDescent="0.3">
      <c r="A766">
        <f t="shared" si="138"/>
        <v>0</v>
      </c>
      <c r="H766" s="18"/>
      <c r="I766" t="e">
        <f>VLOOKUP(H766,Localizacoes!$C$3:$D$100,2,FALSE)</f>
        <v>#N/A</v>
      </c>
      <c r="J766" t="e">
        <f>VLOOKUP(H766,ID!$C$3:$D$100,2,FALSE)</f>
        <v>#N/A</v>
      </c>
      <c r="M766" t="e">
        <f>VLOOKUP(K766,ID!$E$3:$F$100,2,FALSE)</f>
        <v>#N/A</v>
      </c>
      <c r="O766" t="e">
        <f>VLOOKUP(N766,Localizacoes!$G$3:$H$100,2,FALSE)</f>
        <v>#N/A</v>
      </c>
      <c r="P766" t="e">
        <f>VLOOKUP(N766,ID!$G$3:$H$100,2,FALSE)</f>
        <v>#N/A</v>
      </c>
      <c r="AD766" s="13"/>
      <c r="AH766" t="str">
        <f>_xlfn.CONCAT(Imagens!$H$2,'registo_ativo-CDs (1)'!AG766)</f>
        <v>assets/imagens/products/</v>
      </c>
    </row>
    <row r="767" spans="1:34" ht="16.8" customHeight="1" x14ac:dyDescent="0.3">
      <c r="A767">
        <f t="shared" si="138"/>
        <v>0</v>
      </c>
      <c r="H767" s="18"/>
      <c r="I767" t="e">
        <f>VLOOKUP(H767,Localizacoes!$C$3:$D$100,2,FALSE)</f>
        <v>#N/A</v>
      </c>
      <c r="J767" t="e">
        <f>VLOOKUP(H767,ID!$C$3:$D$100,2,FALSE)</f>
        <v>#N/A</v>
      </c>
      <c r="M767" t="e">
        <f>VLOOKUP(K767,ID!$E$3:$F$100,2,FALSE)</f>
        <v>#N/A</v>
      </c>
      <c r="O767" t="e">
        <f>VLOOKUP(N767,Localizacoes!$G$3:$H$100,2,FALSE)</f>
        <v>#N/A</v>
      </c>
      <c r="P767" t="e">
        <f>VLOOKUP(N767,ID!$G$3:$H$100,2,FALSE)</f>
        <v>#N/A</v>
      </c>
      <c r="AD767" s="13"/>
      <c r="AH767" t="str">
        <f>_xlfn.CONCAT(Imagens!$H$2,'registo_ativo-CDs (1)'!AG767)</f>
        <v>assets/imagens/products/</v>
      </c>
    </row>
    <row r="768" spans="1:34" ht="16.8" customHeight="1" x14ac:dyDescent="0.3">
      <c r="A768">
        <f t="shared" si="138"/>
        <v>0</v>
      </c>
      <c r="H768" s="18"/>
      <c r="I768" t="e">
        <f>VLOOKUP(H768,Localizacoes!$C$3:$D$100,2,FALSE)</f>
        <v>#N/A</v>
      </c>
      <c r="J768" t="e">
        <f>VLOOKUP(H768,ID!$C$3:$D$100,2,FALSE)</f>
        <v>#N/A</v>
      </c>
      <c r="M768" t="e">
        <f>VLOOKUP(K768,ID!$E$3:$F$100,2,FALSE)</f>
        <v>#N/A</v>
      </c>
      <c r="O768" t="e">
        <f>VLOOKUP(N768,Localizacoes!$G$3:$H$100,2,FALSE)</f>
        <v>#N/A</v>
      </c>
      <c r="P768" t="e">
        <f>VLOOKUP(N768,ID!$G$3:$H$100,2,FALSE)</f>
        <v>#N/A</v>
      </c>
      <c r="AD768" s="13"/>
      <c r="AH768" t="str">
        <f>_xlfn.CONCAT(Imagens!$H$2,'registo_ativo-CDs (1)'!AG768)</f>
        <v>assets/imagens/products/</v>
      </c>
    </row>
    <row r="769" spans="1:34" ht="16.8" customHeight="1" x14ac:dyDescent="0.3">
      <c r="A769">
        <f t="shared" si="138"/>
        <v>0</v>
      </c>
      <c r="H769" s="18"/>
      <c r="I769" t="e">
        <f>VLOOKUP(H769,Localizacoes!$C$3:$D$100,2,FALSE)</f>
        <v>#N/A</v>
      </c>
      <c r="J769" t="e">
        <f>VLOOKUP(H769,ID!$C$3:$D$100,2,FALSE)</f>
        <v>#N/A</v>
      </c>
      <c r="M769" t="e">
        <f>VLOOKUP(K769,ID!$E$3:$F$100,2,FALSE)</f>
        <v>#N/A</v>
      </c>
      <c r="O769" t="e">
        <f>VLOOKUP(N769,Localizacoes!$G$3:$H$100,2,FALSE)</f>
        <v>#N/A</v>
      </c>
      <c r="P769" t="e">
        <f>VLOOKUP(N769,ID!$G$3:$H$100,2,FALSE)</f>
        <v>#N/A</v>
      </c>
      <c r="AD769" s="13"/>
      <c r="AH769" t="str">
        <f>_xlfn.CONCAT(Imagens!$H$2,'registo_ativo-CDs (1)'!AG769)</f>
        <v>assets/imagens/products/</v>
      </c>
    </row>
    <row r="770" spans="1:34" ht="16.8" customHeight="1" x14ac:dyDescent="0.3">
      <c r="A770">
        <f t="shared" si="138"/>
        <v>0</v>
      </c>
      <c r="H770" s="18"/>
      <c r="I770" t="e">
        <f>VLOOKUP(H770,Localizacoes!$C$3:$D$100,2,FALSE)</f>
        <v>#N/A</v>
      </c>
      <c r="J770" t="e">
        <f>VLOOKUP(H770,ID!$C$3:$D$100,2,FALSE)</f>
        <v>#N/A</v>
      </c>
      <c r="M770" t="e">
        <f>VLOOKUP(K770,ID!$E$3:$F$100,2,FALSE)</f>
        <v>#N/A</v>
      </c>
      <c r="O770" t="e">
        <f>VLOOKUP(N770,Localizacoes!$G$3:$H$100,2,FALSE)</f>
        <v>#N/A</v>
      </c>
      <c r="P770" t="e">
        <f>VLOOKUP(N770,ID!$G$3:$H$100,2,FALSE)</f>
        <v>#N/A</v>
      </c>
      <c r="AD770" s="13"/>
      <c r="AH770" t="str">
        <f>_xlfn.CONCAT(Imagens!$H$2,'registo_ativo-CDs (1)'!AG770)</f>
        <v>assets/imagens/products/</v>
      </c>
    </row>
    <row r="771" spans="1:34" ht="16.8" customHeight="1" x14ac:dyDescent="0.3">
      <c r="A771">
        <f t="shared" si="138"/>
        <v>0</v>
      </c>
      <c r="H771" s="18"/>
      <c r="I771" t="e">
        <f>VLOOKUP(H771,Localizacoes!$C$3:$D$100,2,FALSE)</f>
        <v>#N/A</v>
      </c>
      <c r="J771" t="e">
        <f>VLOOKUP(H771,ID!$C$3:$D$100,2,FALSE)</f>
        <v>#N/A</v>
      </c>
      <c r="M771" t="e">
        <f>VLOOKUP(K771,ID!$E$3:$F$100,2,FALSE)</f>
        <v>#N/A</v>
      </c>
      <c r="O771" t="e">
        <f>VLOOKUP(N771,Localizacoes!$G$3:$H$100,2,FALSE)</f>
        <v>#N/A</v>
      </c>
      <c r="P771" t="e">
        <f>VLOOKUP(N771,ID!$G$3:$H$100,2,FALSE)</f>
        <v>#N/A</v>
      </c>
      <c r="AD771" s="13"/>
      <c r="AH771" t="str">
        <f>_xlfn.CONCAT(Imagens!$H$2,'registo_ativo-CDs (1)'!AG771)</f>
        <v>assets/imagens/products/</v>
      </c>
    </row>
    <row r="772" spans="1:34" ht="16.8" customHeight="1" x14ac:dyDescent="0.3">
      <c r="A772">
        <f t="shared" si="138"/>
        <v>0</v>
      </c>
      <c r="H772" s="18"/>
      <c r="I772" t="e">
        <f>VLOOKUP(H772,Localizacoes!$C$3:$D$100,2,FALSE)</f>
        <v>#N/A</v>
      </c>
      <c r="J772" t="e">
        <f>VLOOKUP(H772,ID!$C$3:$D$100,2,FALSE)</f>
        <v>#N/A</v>
      </c>
      <c r="M772" t="e">
        <f>VLOOKUP(K772,ID!$E$3:$F$100,2,FALSE)</f>
        <v>#N/A</v>
      </c>
      <c r="O772" t="e">
        <f>VLOOKUP(N772,Localizacoes!$G$3:$H$100,2,FALSE)</f>
        <v>#N/A</v>
      </c>
      <c r="P772" t="e">
        <f>VLOOKUP(N772,ID!$G$3:$H$100,2,FALSE)</f>
        <v>#N/A</v>
      </c>
      <c r="AD772" s="13"/>
      <c r="AH772" t="str">
        <f>_xlfn.CONCAT(Imagens!$H$2,'registo_ativo-CDs (1)'!AG772)</f>
        <v>assets/imagens/products/</v>
      </c>
    </row>
    <row r="773" spans="1:34" ht="16.8" customHeight="1" x14ac:dyDescent="0.3">
      <c r="A773">
        <f t="shared" si="138"/>
        <v>0</v>
      </c>
      <c r="H773" s="18"/>
      <c r="I773" t="e">
        <f>VLOOKUP(H773,Localizacoes!$C$3:$D$100,2,FALSE)</f>
        <v>#N/A</v>
      </c>
      <c r="J773" t="e">
        <f>VLOOKUP(H773,ID!$C$3:$D$100,2,FALSE)</f>
        <v>#N/A</v>
      </c>
      <c r="M773" t="e">
        <f>VLOOKUP(K773,ID!$E$3:$F$100,2,FALSE)</f>
        <v>#N/A</v>
      </c>
      <c r="O773" t="e">
        <f>VLOOKUP(N773,Localizacoes!$G$3:$H$100,2,FALSE)</f>
        <v>#N/A</v>
      </c>
      <c r="P773" t="e">
        <f>VLOOKUP(N773,ID!$G$3:$H$100,2,FALSE)</f>
        <v>#N/A</v>
      </c>
      <c r="AD773" s="13"/>
      <c r="AH773" t="str">
        <f>_xlfn.CONCAT(Imagens!$H$2,'registo_ativo-CDs (1)'!AG773)</f>
        <v>assets/imagens/products/</v>
      </c>
    </row>
    <row r="774" spans="1:34" ht="16.8" customHeight="1" x14ac:dyDescent="0.3">
      <c r="A774">
        <f t="shared" si="138"/>
        <v>0</v>
      </c>
      <c r="H774" s="18"/>
      <c r="I774" t="e">
        <f>VLOOKUP(H774,Localizacoes!$C$3:$D$100,2,FALSE)</f>
        <v>#N/A</v>
      </c>
      <c r="J774" t="e">
        <f>VLOOKUP(H774,ID!$C$3:$D$100,2,FALSE)</f>
        <v>#N/A</v>
      </c>
      <c r="M774" t="e">
        <f>VLOOKUP(K774,ID!$E$3:$F$100,2,FALSE)</f>
        <v>#N/A</v>
      </c>
      <c r="O774" t="e">
        <f>VLOOKUP(N774,Localizacoes!$G$3:$H$100,2,FALSE)</f>
        <v>#N/A</v>
      </c>
      <c r="P774" t="e">
        <f>VLOOKUP(N774,ID!$G$3:$H$100,2,FALSE)</f>
        <v>#N/A</v>
      </c>
      <c r="AD774" s="13"/>
      <c r="AH774" t="str">
        <f>_xlfn.CONCAT(Imagens!$H$2,'registo_ativo-CDs (1)'!AG774)</f>
        <v>assets/imagens/products/</v>
      </c>
    </row>
    <row r="775" spans="1:34" ht="16.8" customHeight="1" x14ac:dyDescent="0.3">
      <c r="A775">
        <f t="shared" si="138"/>
        <v>0</v>
      </c>
      <c r="H775" s="18"/>
      <c r="I775" t="e">
        <f>VLOOKUP(H775,Localizacoes!$C$3:$D$100,2,FALSE)</f>
        <v>#N/A</v>
      </c>
      <c r="J775" t="e">
        <f>VLOOKUP(H775,ID!$C$3:$D$100,2,FALSE)</f>
        <v>#N/A</v>
      </c>
      <c r="M775" t="e">
        <f>VLOOKUP(K775,ID!$E$3:$F$100,2,FALSE)</f>
        <v>#N/A</v>
      </c>
      <c r="O775" t="e">
        <f>VLOOKUP(N775,Localizacoes!$G$3:$H$100,2,FALSE)</f>
        <v>#N/A</v>
      </c>
      <c r="P775" t="e">
        <f>VLOOKUP(N775,ID!$G$3:$H$100,2,FALSE)</f>
        <v>#N/A</v>
      </c>
      <c r="AD775" s="13"/>
      <c r="AH775" t="str">
        <f>_xlfn.CONCAT(Imagens!$H$2,'registo_ativo-CDs (1)'!AG775)</f>
        <v>assets/imagens/products/</v>
      </c>
    </row>
    <row r="776" spans="1:34" ht="16.8" customHeight="1" x14ac:dyDescent="0.3">
      <c r="A776">
        <f t="shared" si="138"/>
        <v>0</v>
      </c>
      <c r="H776" s="18"/>
      <c r="I776" t="e">
        <f>VLOOKUP(H776,Localizacoes!$C$3:$D$100,2,FALSE)</f>
        <v>#N/A</v>
      </c>
      <c r="J776" t="e">
        <f>VLOOKUP(H776,ID!$C$3:$D$100,2,FALSE)</f>
        <v>#N/A</v>
      </c>
      <c r="M776" t="e">
        <f>VLOOKUP(K776,ID!$E$3:$F$100,2,FALSE)</f>
        <v>#N/A</v>
      </c>
      <c r="O776" t="e">
        <f>VLOOKUP(N776,Localizacoes!$G$3:$H$100,2,FALSE)</f>
        <v>#N/A</v>
      </c>
      <c r="P776" t="e">
        <f>VLOOKUP(N776,ID!$G$3:$H$100,2,FALSE)</f>
        <v>#N/A</v>
      </c>
      <c r="AD776" s="13"/>
      <c r="AH776" t="str">
        <f>_xlfn.CONCAT(Imagens!$H$2,'registo_ativo-CDs (1)'!AG776)</f>
        <v>assets/imagens/products/</v>
      </c>
    </row>
    <row r="777" spans="1:34" ht="16.8" customHeight="1" x14ac:dyDescent="0.3">
      <c r="A777">
        <f t="shared" si="138"/>
        <v>0</v>
      </c>
      <c r="H777" s="18"/>
      <c r="I777" t="e">
        <f>VLOOKUP(H777,Localizacoes!$C$3:$D$100,2,FALSE)</f>
        <v>#N/A</v>
      </c>
      <c r="J777" t="e">
        <f>VLOOKUP(H777,ID!$C$3:$D$100,2,FALSE)</f>
        <v>#N/A</v>
      </c>
      <c r="M777" t="e">
        <f>VLOOKUP(K777,ID!$E$3:$F$100,2,FALSE)</f>
        <v>#N/A</v>
      </c>
      <c r="O777" t="e">
        <f>VLOOKUP(N777,Localizacoes!$G$3:$H$100,2,FALSE)</f>
        <v>#N/A</v>
      </c>
      <c r="P777" t="e">
        <f>VLOOKUP(N777,ID!$G$3:$H$100,2,FALSE)</f>
        <v>#N/A</v>
      </c>
      <c r="AD777" s="13"/>
      <c r="AH777" t="str">
        <f>_xlfn.CONCAT(Imagens!$H$2,'registo_ativo-CDs (1)'!AG777)</f>
        <v>assets/imagens/products/</v>
      </c>
    </row>
    <row r="778" spans="1:34" ht="16.8" customHeight="1" x14ac:dyDescent="0.3">
      <c r="A778">
        <f t="shared" si="138"/>
        <v>0</v>
      </c>
      <c r="H778" s="18"/>
      <c r="I778" t="e">
        <f>VLOOKUP(H778,Localizacoes!$C$3:$D$100,2,FALSE)</f>
        <v>#N/A</v>
      </c>
      <c r="J778" t="e">
        <f>VLOOKUP(H778,ID!$C$3:$D$100,2,FALSE)</f>
        <v>#N/A</v>
      </c>
      <c r="M778" t="e">
        <f>VLOOKUP(K778,ID!$E$3:$F$100,2,FALSE)</f>
        <v>#N/A</v>
      </c>
      <c r="O778" t="e">
        <f>VLOOKUP(N778,Localizacoes!$G$3:$H$100,2,FALSE)</f>
        <v>#N/A</v>
      </c>
      <c r="P778" t="e">
        <f>VLOOKUP(N778,ID!$G$3:$H$100,2,FALSE)</f>
        <v>#N/A</v>
      </c>
      <c r="AD778" s="13"/>
      <c r="AH778" t="str">
        <f>_xlfn.CONCAT(Imagens!$H$2,'registo_ativo-CDs (1)'!AG778)</f>
        <v>assets/imagens/products/</v>
      </c>
    </row>
    <row r="779" spans="1:34" ht="16.8" customHeight="1" x14ac:dyDescent="0.3">
      <c r="A779">
        <f t="shared" si="138"/>
        <v>0</v>
      </c>
      <c r="H779" s="18"/>
      <c r="I779" t="e">
        <f>VLOOKUP(H779,Localizacoes!$C$3:$D$100,2,FALSE)</f>
        <v>#N/A</v>
      </c>
      <c r="J779" t="e">
        <f>VLOOKUP(H779,ID!$C$3:$D$100,2,FALSE)</f>
        <v>#N/A</v>
      </c>
      <c r="M779" t="e">
        <f>VLOOKUP(K779,ID!$E$3:$F$100,2,FALSE)</f>
        <v>#N/A</v>
      </c>
      <c r="O779" t="e">
        <f>VLOOKUP(N779,Localizacoes!$G$3:$H$100,2,FALSE)</f>
        <v>#N/A</v>
      </c>
      <c r="P779" t="e">
        <f>VLOOKUP(N779,ID!$G$3:$H$100,2,FALSE)</f>
        <v>#N/A</v>
      </c>
      <c r="AD779" s="13"/>
      <c r="AH779" t="str">
        <f>_xlfn.CONCAT(Imagens!$H$2,'registo_ativo-CDs (1)'!AG779)</f>
        <v>assets/imagens/products/</v>
      </c>
    </row>
    <row r="780" spans="1:34" ht="16.8" customHeight="1" x14ac:dyDescent="0.3">
      <c r="A780">
        <f t="shared" si="138"/>
        <v>0</v>
      </c>
      <c r="H780" s="18"/>
      <c r="I780" t="e">
        <f>VLOOKUP(H780,Localizacoes!$C$3:$D$100,2,FALSE)</f>
        <v>#N/A</v>
      </c>
      <c r="J780" t="e">
        <f>VLOOKUP(H780,ID!$C$3:$D$100,2,FALSE)</f>
        <v>#N/A</v>
      </c>
      <c r="M780" t="e">
        <f>VLOOKUP(K780,ID!$E$3:$F$100,2,FALSE)</f>
        <v>#N/A</v>
      </c>
      <c r="O780" t="e">
        <f>VLOOKUP(N780,Localizacoes!$G$3:$H$100,2,FALSE)</f>
        <v>#N/A</v>
      </c>
      <c r="P780" t="e">
        <f>VLOOKUP(N780,ID!$G$3:$H$100,2,FALSE)</f>
        <v>#N/A</v>
      </c>
      <c r="AD780" s="13"/>
      <c r="AH780" t="str">
        <f>_xlfn.CONCAT(Imagens!$H$2,'registo_ativo-CDs (1)'!AG780)</f>
        <v>assets/imagens/products/</v>
      </c>
    </row>
    <row r="781" spans="1:34" ht="16.8" customHeight="1" x14ac:dyDescent="0.3">
      <c r="A781">
        <f t="shared" si="138"/>
        <v>0</v>
      </c>
      <c r="H781" s="18"/>
      <c r="I781" t="e">
        <f>VLOOKUP(H781,Localizacoes!$C$3:$D$100,2,FALSE)</f>
        <v>#N/A</v>
      </c>
      <c r="J781" t="e">
        <f>VLOOKUP(H781,ID!$C$3:$D$100,2,FALSE)</f>
        <v>#N/A</v>
      </c>
      <c r="M781" t="e">
        <f>VLOOKUP(K781,ID!$E$3:$F$100,2,FALSE)</f>
        <v>#N/A</v>
      </c>
      <c r="O781" t="e">
        <f>VLOOKUP(N781,Localizacoes!$G$3:$H$100,2,FALSE)</f>
        <v>#N/A</v>
      </c>
      <c r="P781" t="e">
        <f>VLOOKUP(N781,ID!$G$3:$H$100,2,FALSE)</f>
        <v>#N/A</v>
      </c>
      <c r="AD781" s="13"/>
      <c r="AH781" t="str">
        <f>_xlfn.CONCAT(Imagens!$H$2,'registo_ativo-CDs (1)'!AG781)</f>
        <v>assets/imagens/products/</v>
      </c>
    </row>
    <row r="782" spans="1:34" ht="16.8" customHeight="1" x14ac:dyDescent="0.3">
      <c r="A782">
        <f t="shared" ref="A782:A799" si="141">LEN(B782)</f>
        <v>0</v>
      </c>
      <c r="H782" s="18"/>
      <c r="I782" t="e">
        <f>VLOOKUP(H782,Localizacoes!$C$3:$D$100,2,FALSE)</f>
        <v>#N/A</v>
      </c>
      <c r="J782" t="e">
        <f>VLOOKUP(H782,ID!$C$3:$D$100,2,FALSE)</f>
        <v>#N/A</v>
      </c>
      <c r="M782" t="e">
        <f>VLOOKUP(K782,ID!$E$3:$F$100,2,FALSE)</f>
        <v>#N/A</v>
      </c>
      <c r="O782" t="e">
        <f>VLOOKUP(N782,Localizacoes!$G$3:$H$100,2,FALSE)</f>
        <v>#N/A</v>
      </c>
      <c r="P782" t="e">
        <f>VLOOKUP(N782,ID!$G$3:$H$100,2,FALSE)</f>
        <v>#N/A</v>
      </c>
      <c r="AD782" s="13"/>
      <c r="AH782" t="str">
        <f>_xlfn.CONCAT(Imagens!$H$2,'registo_ativo-CDs (1)'!AG782)</f>
        <v>assets/imagens/products/</v>
      </c>
    </row>
    <row r="783" spans="1:34" ht="16.8" customHeight="1" x14ac:dyDescent="0.3">
      <c r="A783">
        <f t="shared" si="141"/>
        <v>0</v>
      </c>
      <c r="H783" s="18"/>
      <c r="I783" t="e">
        <f>VLOOKUP(H783,Localizacoes!$C$3:$D$100,2,FALSE)</f>
        <v>#N/A</v>
      </c>
      <c r="J783" t="e">
        <f>VLOOKUP(H783,ID!$C$3:$D$100,2,FALSE)</f>
        <v>#N/A</v>
      </c>
      <c r="M783" t="e">
        <f>VLOOKUP(K783,ID!$E$3:$F$100,2,FALSE)</f>
        <v>#N/A</v>
      </c>
      <c r="O783" t="e">
        <f>VLOOKUP(N783,Localizacoes!$G$3:$H$100,2,FALSE)</f>
        <v>#N/A</v>
      </c>
      <c r="P783" t="e">
        <f>VLOOKUP(N783,ID!$G$3:$H$100,2,FALSE)</f>
        <v>#N/A</v>
      </c>
      <c r="AD783" s="13"/>
      <c r="AH783" t="str">
        <f>_xlfn.CONCAT(Imagens!$H$2,'registo_ativo-CDs (1)'!AG783)</f>
        <v>assets/imagens/products/</v>
      </c>
    </row>
    <row r="784" spans="1:34" ht="16.8" customHeight="1" x14ac:dyDescent="0.3">
      <c r="A784">
        <f t="shared" si="141"/>
        <v>0</v>
      </c>
      <c r="H784" s="18"/>
      <c r="I784" t="e">
        <f>VLOOKUP(H784,Localizacoes!$C$3:$D$100,2,FALSE)</f>
        <v>#N/A</v>
      </c>
      <c r="J784" t="e">
        <f>VLOOKUP(H784,ID!$C$3:$D$100,2,FALSE)</f>
        <v>#N/A</v>
      </c>
      <c r="M784" t="e">
        <f>VLOOKUP(K784,ID!$E$3:$F$100,2,FALSE)</f>
        <v>#N/A</v>
      </c>
      <c r="O784" t="e">
        <f>VLOOKUP(N784,Localizacoes!$G$3:$H$100,2,FALSE)</f>
        <v>#N/A</v>
      </c>
      <c r="P784" t="e">
        <f>VLOOKUP(N784,ID!$G$3:$H$100,2,FALSE)</f>
        <v>#N/A</v>
      </c>
      <c r="AD784" s="13"/>
      <c r="AH784" t="str">
        <f>_xlfn.CONCAT(Imagens!$H$2,'registo_ativo-CDs (1)'!AG784)</f>
        <v>assets/imagens/products/</v>
      </c>
    </row>
    <row r="785" spans="1:34" ht="16.8" customHeight="1" x14ac:dyDescent="0.3">
      <c r="A785">
        <f t="shared" si="141"/>
        <v>0</v>
      </c>
      <c r="I785" t="e">
        <f>VLOOKUP(H785,Localizacoes!$C$3:$D$100,2,FALSE)</f>
        <v>#N/A</v>
      </c>
      <c r="J785" t="e">
        <f>VLOOKUP(H785,ID!$C$3:$D$100,2,FALSE)</f>
        <v>#N/A</v>
      </c>
      <c r="M785" t="e">
        <f>VLOOKUP(K785,ID!$E$3:$F$100,2,FALSE)</f>
        <v>#N/A</v>
      </c>
      <c r="O785" t="e">
        <f>VLOOKUP(N785,Localizacoes!$G$3:$H$100,2,FALSE)</f>
        <v>#N/A</v>
      </c>
      <c r="P785" t="e">
        <f>VLOOKUP(N785,ID!$G$3:$H$100,2,FALSE)</f>
        <v>#N/A</v>
      </c>
      <c r="AD785" s="13"/>
      <c r="AH785" t="str">
        <f>_xlfn.CONCAT(Imagens!$H$2,'registo_ativo-CDs (1)'!AG785)</f>
        <v>assets/imagens/products/</v>
      </c>
    </row>
    <row r="786" spans="1:34" ht="16.8" customHeight="1" x14ac:dyDescent="0.3">
      <c r="A786">
        <f t="shared" si="141"/>
        <v>0</v>
      </c>
      <c r="I786" t="e">
        <f>VLOOKUP(H786,Localizacoes!$C$3:$D$100,2,FALSE)</f>
        <v>#N/A</v>
      </c>
      <c r="J786" t="e">
        <f>VLOOKUP(H786,ID!$C$3:$D$100,2,FALSE)</f>
        <v>#N/A</v>
      </c>
      <c r="M786" t="e">
        <f>VLOOKUP(K786,ID!$E$3:$F$100,2,FALSE)</f>
        <v>#N/A</v>
      </c>
      <c r="O786" t="e">
        <f>VLOOKUP(N786,Localizacoes!$G$3:$H$100,2,FALSE)</f>
        <v>#N/A</v>
      </c>
      <c r="P786" t="e">
        <f>VLOOKUP(N786,ID!$G$3:$H$100,2,FALSE)</f>
        <v>#N/A</v>
      </c>
      <c r="AD786" s="13"/>
      <c r="AH786" t="str">
        <f>_xlfn.CONCAT(Imagens!$H$2,'registo_ativo-CDs (1)'!AG786)</f>
        <v>assets/imagens/products/</v>
      </c>
    </row>
    <row r="787" spans="1:34" ht="16.8" customHeight="1" x14ac:dyDescent="0.3">
      <c r="A787">
        <f t="shared" si="141"/>
        <v>0</v>
      </c>
      <c r="I787" t="e">
        <f>VLOOKUP(H787,Localizacoes!$C$3:$D$100,2,FALSE)</f>
        <v>#N/A</v>
      </c>
      <c r="J787" t="e">
        <f>VLOOKUP(H787,ID!$C$3:$D$100,2,FALSE)</f>
        <v>#N/A</v>
      </c>
      <c r="M787" t="e">
        <f>VLOOKUP(K787,ID!$E$3:$F$100,2,FALSE)</f>
        <v>#N/A</v>
      </c>
      <c r="O787" t="e">
        <f>VLOOKUP(N787,Localizacoes!$G$3:$H$100,2,FALSE)</f>
        <v>#N/A</v>
      </c>
      <c r="P787" t="e">
        <f>VLOOKUP(N787,ID!$G$3:$H$100,2,FALSE)</f>
        <v>#N/A</v>
      </c>
      <c r="AD787" s="13"/>
      <c r="AH787" t="str">
        <f>_xlfn.CONCAT(Imagens!$H$2,'registo_ativo-CDs (1)'!AG787)</f>
        <v>assets/imagens/products/</v>
      </c>
    </row>
    <row r="788" spans="1:34" ht="16.8" customHeight="1" x14ac:dyDescent="0.3">
      <c r="A788">
        <f t="shared" si="141"/>
        <v>0</v>
      </c>
      <c r="I788" t="e">
        <f>VLOOKUP(H788,Localizacoes!$C$3:$D$100,2,FALSE)</f>
        <v>#N/A</v>
      </c>
      <c r="J788" t="e">
        <f>VLOOKUP(H788,ID!$C$3:$D$100,2,FALSE)</f>
        <v>#N/A</v>
      </c>
      <c r="M788" t="e">
        <f>VLOOKUP(K788,ID!$E$3:$F$100,2,FALSE)</f>
        <v>#N/A</v>
      </c>
      <c r="O788" t="e">
        <f>VLOOKUP(N788,Localizacoes!$G$3:$H$100,2,FALSE)</f>
        <v>#N/A</v>
      </c>
      <c r="P788" t="e">
        <f>VLOOKUP(N788,ID!$G$3:$H$100,2,FALSE)</f>
        <v>#N/A</v>
      </c>
      <c r="AD788" s="13"/>
      <c r="AH788" t="str">
        <f>_xlfn.CONCAT(Imagens!$H$2,'registo_ativo-CDs (1)'!AG788)</f>
        <v>assets/imagens/products/</v>
      </c>
    </row>
    <row r="789" spans="1:34" ht="16.8" customHeight="1" x14ac:dyDescent="0.3">
      <c r="A789">
        <f t="shared" si="141"/>
        <v>0</v>
      </c>
      <c r="I789" t="e">
        <f>VLOOKUP(H789,Localizacoes!$C$3:$D$100,2,FALSE)</f>
        <v>#N/A</v>
      </c>
      <c r="J789" t="e">
        <f>VLOOKUP(H789,ID!$C$3:$D$100,2,FALSE)</f>
        <v>#N/A</v>
      </c>
      <c r="M789" t="e">
        <f>VLOOKUP(K789,ID!$E$3:$F$100,2,FALSE)</f>
        <v>#N/A</v>
      </c>
      <c r="O789" t="e">
        <f>VLOOKUP(N789,Localizacoes!$G$3:$H$100,2,FALSE)</f>
        <v>#N/A</v>
      </c>
      <c r="P789" t="e">
        <f>VLOOKUP(N789,ID!$G$3:$H$100,2,FALSE)</f>
        <v>#N/A</v>
      </c>
      <c r="AD789" s="13"/>
      <c r="AH789" t="str">
        <f>_xlfn.CONCAT(Imagens!$H$2,'registo_ativo-CDs (1)'!AG789)</f>
        <v>assets/imagens/products/</v>
      </c>
    </row>
    <row r="790" spans="1:34" ht="16.8" customHeight="1" x14ac:dyDescent="0.3">
      <c r="A790">
        <f t="shared" si="141"/>
        <v>0</v>
      </c>
      <c r="I790" t="e">
        <f>VLOOKUP(H790,Localizacoes!$C$3:$D$100,2,FALSE)</f>
        <v>#N/A</v>
      </c>
      <c r="J790" t="e">
        <f>VLOOKUP(H790,ID!$C$3:$D$100,2,FALSE)</f>
        <v>#N/A</v>
      </c>
      <c r="M790" t="e">
        <f>VLOOKUP(K790,ID!$E$3:$F$100,2,FALSE)</f>
        <v>#N/A</v>
      </c>
      <c r="O790" t="e">
        <f>VLOOKUP(N790,Localizacoes!$G$3:$H$100,2,FALSE)</f>
        <v>#N/A</v>
      </c>
      <c r="P790" t="e">
        <f>VLOOKUP(N790,ID!$G$3:$H$100,2,FALSE)</f>
        <v>#N/A</v>
      </c>
      <c r="AD790" s="13"/>
      <c r="AH790" t="str">
        <f>_xlfn.CONCAT(Imagens!$H$2,'registo_ativo-CDs (1)'!AG790)</f>
        <v>assets/imagens/products/</v>
      </c>
    </row>
    <row r="791" spans="1:34" ht="16.8" customHeight="1" x14ac:dyDescent="0.3">
      <c r="A791">
        <f t="shared" si="141"/>
        <v>0</v>
      </c>
      <c r="I791" t="e">
        <f>VLOOKUP(H791,Localizacoes!$C$3:$D$100,2,FALSE)</f>
        <v>#N/A</v>
      </c>
      <c r="J791" t="e">
        <f>VLOOKUP(H791,ID!$C$3:$D$100,2,FALSE)</f>
        <v>#N/A</v>
      </c>
      <c r="M791" t="e">
        <f>VLOOKUP(K791,ID!$E$3:$F$100,2,FALSE)</f>
        <v>#N/A</v>
      </c>
      <c r="O791" t="e">
        <f>VLOOKUP(N791,Localizacoes!$G$3:$H$100,2,FALSE)</f>
        <v>#N/A</v>
      </c>
      <c r="P791" t="e">
        <f>VLOOKUP(N791,ID!$G$3:$H$100,2,FALSE)</f>
        <v>#N/A</v>
      </c>
      <c r="AD791" s="13"/>
      <c r="AH791" t="str">
        <f>_xlfn.CONCAT(Imagens!$H$2,'registo_ativo-CDs (1)'!AG791)</f>
        <v>assets/imagens/products/</v>
      </c>
    </row>
    <row r="792" spans="1:34" ht="16.8" customHeight="1" x14ac:dyDescent="0.3">
      <c r="A792">
        <f t="shared" si="141"/>
        <v>0</v>
      </c>
      <c r="I792" t="e">
        <f>VLOOKUP(H792,Localizacoes!$C$3:$D$100,2,FALSE)</f>
        <v>#N/A</v>
      </c>
      <c r="J792" t="e">
        <f>VLOOKUP(H792,ID!$C$3:$D$100,2,FALSE)</f>
        <v>#N/A</v>
      </c>
      <c r="M792" t="e">
        <f>VLOOKUP(K792,ID!$E$3:$F$100,2,FALSE)</f>
        <v>#N/A</v>
      </c>
      <c r="O792" t="e">
        <f>VLOOKUP(N792,Localizacoes!$G$3:$H$100,2,FALSE)</f>
        <v>#N/A</v>
      </c>
      <c r="P792" t="e">
        <f>VLOOKUP(N792,ID!$G$3:$H$100,2,FALSE)</f>
        <v>#N/A</v>
      </c>
      <c r="AD792" s="13"/>
      <c r="AH792" t="str">
        <f>_xlfn.CONCAT(Imagens!$H$2,'registo_ativo-CDs (1)'!AG792)</f>
        <v>assets/imagens/products/</v>
      </c>
    </row>
    <row r="793" spans="1:34" ht="16.8" customHeight="1" x14ac:dyDescent="0.3">
      <c r="A793">
        <f t="shared" si="141"/>
        <v>0</v>
      </c>
      <c r="I793" t="e">
        <f>VLOOKUP(H793,Localizacoes!$C$3:$D$100,2,FALSE)</f>
        <v>#N/A</v>
      </c>
      <c r="J793" t="e">
        <f>VLOOKUP(H793,ID!$C$3:$D$100,2,FALSE)</f>
        <v>#N/A</v>
      </c>
      <c r="M793" t="e">
        <f>VLOOKUP(K793,ID!$E$3:$F$100,2,FALSE)</f>
        <v>#N/A</v>
      </c>
      <c r="O793" t="e">
        <f>VLOOKUP(N793,Localizacoes!$G$3:$H$100,2,FALSE)</f>
        <v>#N/A</v>
      </c>
      <c r="P793" t="e">
        <f>VLOOKUP(N793,ID!$G$3:$H$100,2,FALSE)</f>
        <v>#N/A</v>
      </c>
      <c r="AD793" s="13"/>
      <c r="AH793" t="str">
        <f>_xlfn.CONCAT(Imagens!$H$2,'registo_ativo-CDs (1)'!AG793)</f>
        <v>assets/imagens/products/</v>
      </c>
    </row>
    <row r="794" spans="1:34" ht="16.8" customHeight="1" x14ac:dyDescent="0.3">
      <c r="A794">
        <f t="shared" si="141"/>
        <v>0</v>
      </c>
      <c r="I794" t="e">
        <f>VLOOKUP(H794,Localizacoes!$C$3:$D$100,2,FALSE)</f>
        <v>#N/A</v>
      </c>
      <c r="J794" t="e">
        <f>VLOOKUP(H794,ID!$C$3:$D$100,2,FALSE)</f>
        <v>#N/A</v>
      </c>
      <c r="M794" t="e">
        <f>VLOOKUP(K794,ID!$E$3:$F$100,2,FALSE)</f>
        <v>#N/A</v>
      </c>
      <c r="O794" t="e">
        <f>VLOOKUP(N794,Localizacoes!$G$3:$H$100,2,FALSE)</f>
        <v>#N/A</v>
      </c>
      <c r="P794" t="e">
        <f>VLOOKUP(N794,ID!$G$3:$H$100,2,FALSE)</f>
        <v>#N/A</v>
      </c>
      <c r="AD794" s="13"/>
      <c r="AH794" t="str">
        <f>_xlfn.CONCAT(Imagens!$H$2,'registo_ativo-CDs (1)'!AG794)</f>
        <v>assets/imagens/products/</v>
      </c>
    </row>
    <row r="795" spans="1:34" ht="16.8" customHeight="1" x14ac:dyDescent="0.3">
      <c r="A795">
        <f t="shared" si="141"/>
        <v>0</v>
      </c>
      <c r="I795" t="e">
        <f>VLOOKUP(H795,Localizacoes!$C$3:$D$100,2,FALSE)</f>
        <v>#N/A</v>
      </c>
      <c r="J795" t="e">
        <f>VLOOKUP(H795,ID!$C$3:$D$100,2,FALSE)</f>
        <v>#N/A</v>
      </c>
      <c r="M795" t="e">
        <f>VLOOKUP(K795,ID!$E$3:$F$100,2,FALSE)</f>
        <v>#N/A</v>
      </c>
      <c r="O795" t="e">
        <f>VLOOKUP(N795,Localizacoes!$G$3:$H$100,2,FALSE)</f>
        <v>#N/A</v>
      </c>
      <c r="P795" t="e">
        <f>VLOOKUP(N795,ID!$G$3:$H$100,2,FALSE)</f>
        <v>#N/A</v>
      </c>
      <c r="AD795" s="13"/>
      <c r="AH795" t="str">
        <f>_xlfn.CONCAT(Imagens!$H$2,'registo_ativo-CDs (1)'!AG795)</f>
        <v>assets/imagens/products/</v>
      </c>
    </row>
    <row r="796" spans="1:34" ht="16.8" customHeight="1" x14ac:dyDescent="0.3">
      <c r="A796">
        <f t="shared" si="141"/>
        <v>0</v>
      </c>
      <c r="I796" t="e">
        <f>VLOOKUP(H796,Localizacoes!$C$3:$D$100,2,FALSE)</f>
        <v>#N/A</v>
      </c>
      <c r="J796" t="e">
        <f>VLOOKUP(H796,ID!$C$3:$D$100,2,FALSE)</f>
        <v>#N/A</v>
      </c>
      <c r="M796" t="e">
        <f>VLOOKUP(K796,ID!$E$3:$F$100,2,FALSE)</f>
        <v>#N/A</v>
      </c>
      <c r="O796" t="e">
        <f>VLOOKUP(N796,Localizacoes!$G$3:$H$100,2,FALSE)</f>
        <v>#N/A</v>
      </c>
      <c r="P796" t="e">
        <f>VLOOKUP(N796,ID!$G$3:$H$100,2,FALSE)</f>
        <v>#N/A</v>
      </c>
      <c r="AD796" s="13"/>
      <c r="AH796" t="str">
        <f>_xlfn.CONCAT(Imagens!$H$2,'registo_ativo-CDs (1)'!AG796)</f>
        <v>assets/imagens/products/</v>
      </c>
    </row>
    <row r="797" spans="1:34" ht="16.8" customHeight="1" x14ac:dyDescent="0.3">
      <c r="A797">
        <f t="shared" si="141"/>
        <v>0</v>
      </c>
      <c r="I797" t="e">
        <f>VLOOKUP(H797,Localizacoes!$C$3:$D$100,2,FALSE)</f>
        <v>#N/A</v>
      </c>
      <c r="J797" t="e">
        <f>VLOOKUP(H797,ID!$C$3:$D$100,2,FALSE)</f>
        <v>#N/A</v>
      </c>
      <c r="M797" t="e">
        <f>VLOOKUP(K797,ID!$E$3:$F$100,2,FALSE)</f>
        <v>#N/A</v>
      </c>
      <c r="O797" t="e">
        <f>VLOOKUP(N797,Localizacoes!$G$3:$H$100,2,FALSE)</f>
        <v>#N/A</v>
      </c>
      <c r="P797" t="e">
        <f>VLOOKUP(N797,ID!$G$3:$H$100,2,FALSE)</f>
        <v>#N/A</v>
      </c>
      <c r="AD797" s="13"/>
      <c r="AH797" t="str">
        <f>_xlfn.CONCAT(Imagens!$H$2,'registo_ativo-CDs (1)'!AG797)</f>
        <v>assets/imagens/products/</v>
      </c>
    </row>
    <row r="798" spans="1:34" ht="16.8" customHeight="1" x14ac:dyDescent="0.3">
      <c r="A798">
        <f t="shared" si="141"/>
        <v>0</v>
      </c>
      <c r="I798" t="e">
        <f>VLOOKUP(H798,Localizacoes!$C$3:$D$100,2,FALSE)</f>
        <v>#N/A</v>
      </c>
      <c r="J798" t="e">
        <f>VLOOKUP(H798,ID!$C$3:$D$100,2,FALSE)</f>
        <v>#N/A</v>
      </c>
      <c r="M798" t="e">
        <f>VLOOKUP(K798,ID!$E$3:$F$100,2,FALSE)</f>
        <v>#N/A</v>
      </c>
      <c r="O798" t="e">
        <f>VLOOKUP(N798,Localizacoes!$G$3:$H$100,2,FALSE)</f>
        <v>#N/A</v>
      </c>
      <c r="P798" t="e">
        <f>VLOOKUP(N798,ID!$G$3:$H$100,2,FALSE)</f>
        <v>#N/A</v>
      </c>
      <c r="AD798" s="13"/>
      <c r="AH798" t="str">
        <f>_xlfn.CONCAT(Imagens!$H$2,'registo_ativo-CDs (1)'!AG798)</f>
        <v>assets/imagens/products/</v>
      </c>
    </row>
    <row r="799" spans="1:34" ht="16.8" customHeight="1" x14ac:dyDescent="0.3">
      <c r="A799">
        <f t="shared" si="141"/>
        <v>0</v>
      </c>
      <c r="I799" t="e">
        <f>VLOOKUP(H799,Localizacoes!$C$3:$D$100,2,FALSE)</f>
        <v>#N/A</v>
      </c>
      <c r="J799" t="e">
        <f>VLOOKUP(H799,ID!$C$3:$D$100,2,FALSE)</f>
        <v>#N/A</v>
      </c>
      <c r="M799" t="e">
        <f>VLOOKUP(K799,ID!$E$3:$F$100,2,FALSE)</f>
        <v>#N/A</v>
      </c>
      <c r="O799" t="e">
        <f>VLOOKUP(N799,Localizacoes!$G$3:$H$100,2,FALSE)</f>
        <v>#N/A</v>
      </c>
      <c r="P799" t="e">
        <f>VLOOKUP(N799,ID!$G$3:$H$100,2,FALSE)</f>
        <v>#N/A</v>
      </c>
      <c r="AD799" s="13"/>
      <c r="AH799" t="str">
        <f>_xlfn.CONCAT(Imagens!$H$2,'registo_ativo-CDs (1)'!AG799)</f>
        <v>assets/imagens/products/</v>
      </c>
    </row>
    <row r="800" spans="1:34" ht="16.8" customHeight="1" x14ac:dyDescent="0.3">
      <c r="A800">
        <f t="shared" ref="A800" si="142">LEN(B800)</f>
        <v>0</v>
      </c>
      <c r="I800" t="e">
        <f>VLOOKUP(H800,Localizacoes!$C$3:$D$100,2,FALSE)</f>
        <v>#N/A</v>
      </c>
      <c r="J800" t="e">
        <f>VLOOKUP(H800,ID!$C$3:$D$100,2,FALSE)</f>
        <v>#N/A</v>
      </c>
      <c r="M800" t="e">
        <f>VLOOKUP(K800,ID!$E$3:$F$100,2,FALSE)</f>
        <v>#N/A</v>
      </c>
      <c r="O800" t="e">
        <f>VLOOKUP(N800,Localizacoes!$G$3:$H$100,2,FALSE)</f>
        <v>#N/A</v>
      </c>
      <c r="P800" t="e">
        <f>VLOOKUP(N800,ID!$G$3:$H$100,2,FALSE)</f>
        <v>#N/A</v>
      </c>
      <c r="AD800" s="13"/>
      <c r="AH800" t="str">
        <f>_xlfn.CONCAT(Imagens!$H$2,'registo_ativo-CDs (1)'!AG800)</f>
        <v>assets/imagens/products/</v>
      </c>
    </row>
    <row r="801" spans="30:35" ht="16.8" customHeight="1" x14ac:dyDescent="0.3">
      <c r="AD801" s="9"/>
      <c r="AI801" s="66"/>
    </row>
    <row r="802" spans="30:35" ht="16.8" customHeight="1" x14ac:dyDescent="0.3">
      <c r="AD802" s="9"/>
      <c r="AI802" s="66"/>
    </row>
    <row r="803" spans="30:35" ht="16.8" customHeight="1" x14ac:dyDescent="0.3">
      <c r="AD803" s="9"/>
    </row>
  </sheetData>
  <autoFilter ref="A1:AI800" xr:uid="{00000000-0001-0000-0000-000000000000}"/>
  <phoneticPr fontId="2" type="noConversion"/>
  <conditionalFormatting sqref="A1:A1048576">
    <cfRule type="cellIs" dxfId="0" priority="1" operator="notEqual">
      <formula>15</formula>
    </cfRule>
  </conditionalFormatting>
  <pageMargins left="0.7" right="0.7" top="0.75" bottom="0.75" header="0.3" footer="0.3"/>
  <pageSetup orientation="portrait" r:id="rId1"/>
  <ignoredErrors>
    <ignoredError sqref="M185" evalError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5000000}">
          <x14:formula1>
            <xm:f>Localizacoes!$A$3:$A$7</xm:f>
          </x14:formula1>
          <xm:sqref>E804:E1048576 E1:E697</xm:sqref>
        </x14:dataValidation>
        <x14:dataValidation type="list" allowBlank="1" showInputMessage="1" showErrorMessage="1" xr:uid="{00000000-0002-0000-0000-000004000000}">
          <x14:formula1>
            <xm:f>Localizacoes!$C$3:$C$78</xm:f>
          </x14:formula1>
          <xm:sqref>H1:H1048576</xm:sqref>
        </x14:dataValidation>
        <x14:dataValidation type="list" allowBlank="1" showInputMessage="1" showErrorMessage="1" xr:uid="{967BEEE6-9957-4510-9ECE-C3B0AF93751F}">
          <x14:formula1>
            <xm:f>Localizacoes!$G$3:$G$80</xm:f>
          </x14:formula1>
          <xm:sqref>N1:N1048576</xm:sqref>
        </x14:dataValidation>
        <x14:dataValidation type="list" allowBlank="1" showInputMessage="1" showErrorMessage="1" xr:uid="{623B6FBC-EA25-4B16-9320-7CE1B535D780}">
          <x14:formula1>
            <xm:f>Localizacoes!$I$3:$I$45</xm:f>
          </x14:formula1>
          <xm:sqref>AF648 AF640 AF644 Q1:Q1048576</xm:sqref>
        </x14:dataValidation>
        <x14:dataValidation type="list" allowBlank="1" showInputMessage="1" showErrorMessage="1" xr:uid="{7AEA4188-D26D-4164-9A2E-8E952488B9F6}">
          <x14:formula1>
            <xm:f>Localizacoes!$E$3:$E$68</xm:f>
          </x14:formula1>
          <xm:sqref>K1:K1048576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7E77-16C3-43FF-A6A4-67FDDC53E872}">
  <dimension ref="A1:E2480"/>
  <sheetViews>
    <sheetView topLeftCell="B1" workbookViewId="0"/>
  </sheetViews>
  <sheetFormatPr defaultRowHeight="14.4" x14ac:dyDescent="0.3"/>
  <cols>
    <col min="1" max="1" width="35.33203125" style="65" hidden="1" customWidth="1"/>
    <col min="2" max="2" width="26.5546875" style="65" customWidth="1"/>
    <col min="3" max="3" width="5.88671875" style="65" hidden="1" customWidth="1"/>
    <col min="4" max="4" width="52.21875" customWidth="1"/>
    <col min="7" max="7" width="16.77734375" customWidth="1"/>
  </cols>
  <sheetData>
    <row r="1" spans="1:5" x14ac:dyDescent="0.3">
      <c r="A1" s="57" t="s">
        <v>0</v>
      </c>
      <c r="B1" s="58" t="s">
        <v>714</v>
      </c>
      <c r="C1" s="59" t="s">
        <v>715</v>
      </c>
      <c r="D1" s="59" t="s">
        <v>716</v>
      </c>
      <c r="E1" s="59" t="s">
        <v>717</v>
      </c>
    </row>
    <row r="2" spans="1:5" x14ac:dyDescent="0.3">
      <c r="A2" s="60" t="s">
        <v>610</v>
      </c>
      <c r="B2" s="60" t="s">
        <v>149</v>
      </c>
      <c r="C2" s="60" t="str">
        <f>VLOOKUP(B2,[1]ID!$C$3:$D$100,2,FALSE)</f>
        <v>AEL</v>
      </c>
      <c r="D2" s="61" t="s">
        <v>718</v>
      </c>
      <c r="E2" s="61" t="s">
        <v>719</v>
      </c>
    </row>
    <row r="3" spans="1:5" x14ac:dyDescent="0.3">
      <c r="A3" s="62" t="s">
        <v>149</v>
      </c>
      <c r="B3" s="62" t="s">
        <v>149</v>
      </c>
      <c r="C3" s="60" t="str">
        <f>VLOOKUP(B3,[1]ID!$C$3:$D$100,2,FALSE)</f>
        <v>AEL</v>
      </c>
      <c r="D3" s="61" t="s">
        <v>720</v>
      </c>
      <c r="E3" s="61" t="s">
        <v>721</v>
      </c>
    </row>
    <row r="4" spans="1:5" x14ac:dyDescent="0.3">
      <c r="A4" s="62" t="s">
        <v>232</v>
      </c>
      <c r="B4" s="62" t="s">
        <v>149</v>
      </c>
      <c r="C4" s="60" t="str">
        <f>VLOOKUP(B4,[1]ID!$C$3:$D$100,2,FALSE)</f>
        <v>AEL</v>
      </c>
      <c r="D4" s="61" t="s">
        <v>722</v>
      </c>
      <c r="E4" s="61" t="s">
        <v>723</v>
      </c>
    </row>
    <row r="5" spans="1:5" x14ac:dyDescent="0.3">
      <c r="A5" s="62" t="s">
        <v>147</v>
      </c>
      <c r="B5" s="62" t="s">
        <v>149</v>
      </c>
      <c r="C5" s="60" t="str">
        <f>VLOOKUP(B5,[1]ID!$C$3:$D$100,2,FALSE)</f>
        <v>AEL</v>
      </c>
      <c r="D5" s="61" t="s">
        <v>724</v>
      </c>
      <c r="E5" s="61" t="s">
        <v>725</v>
      </c>
    </row>
    <row r="6" spans="1:5" x14ac:dyDescent="0.3">
      <c r="A6" s="62" t="s">
        <v>323</v>
      </c>
      <c r="B6" s="62" t="s">
        <v>149</v>
      </c>
      <c r="C6" s="60" t="str">
        <f>VLOOKUP(B6,[1]ID!$C$3:$D$100,2,FALSE)</f>
        <v>AEL</v>
      </c>
      <c r="D6" s="61" t="s">
        <v>726</v>
      </c>
      <c r="E6" s="61" t="s">
        <v>727</v>
      </c>
    </row>
    <row r="7" spans="1:5" x14ac:dyDescent="0.3">
      <c r="A7" s="62" t="s">
        <v>240</v>
      </c>
      <c r="B7" s="62" t="s">
        <v>149</v>
      </c>
      <c r="C7" s="60" t="str">
        <f>VLOOKUP(B7,[1]ID!$C$3:$D$100,2,FALSE)</f>
        <v>AEL</v>
      </c>
      <c r="D7" s="61" t="s">
        <v>728</v>
      </c>
      <c r="E7" s="61" t="s">
        <v>729</v>
      </c>
    </row>
    <row r="8" spans="1:5" x14ac:dyDescent="0.3">
      <c r="A8" s="62" t="s">
        <v>704</v>
      </c>
      <c r="B8" s="62" t="s">
        <v>149</v>
      </c>
      <c r="C8" s="60" t="str">
        <f>VLOOKUP(B8,[1]ID!$C$3:$D$100,2,FALSE)</f>
        <v>AEL</v>
      </c>
      <c r="D8" s="61" t="s">
        <v>730</v>
      </c>
      <c r="E8" s="61" t="s">
        <v>731</v>
      </c>
    </row>
    <row r="9" spans="1:5" x14ac:dyDescent="0.3">
      <c r="A9" s="62" t="s">
        <v>662</v>
      </c>
      <c r="B9" s="62" t="s">
        <v>149</v>
      </c>
      <c r="C9" s="60" t="str">
        <f>VLOOKUP(B9,[1]ID!$C$3:$D$100,2,FALSE)</f>
        <v>AEL</v>
      </c>
      <c r="D9" s="61" t="s">
        <v>732</v>
      </c>
      <c r="E9" s="61" t="s">
        <v>733</v>
      </c>
    </row>
    <row r="10" spans="1:5" x14ac:dyDescent="0.3">
      <c r="A10" s="62" t="s">
        <v>236</v>
      </c>
      <c r="B10" s="62" t="s">
        <v>149</v>
      </c>
      <c r="C10" s="60" t="str">
        <f>VLOOKUP(B10,[1]ID!$C$3:$D$100,2,FALSE)</f>
        <v>AEL</v>
      </c>
      <c r="D10" s="61" t="s">
        <v>734</v>
      </c>
      <c r="E10" s="61" t="s">
        <v>735</v>
      </c>
    </row>
    <row r="11" spans="1:5" x14ac:dyDescent="0.3">
      <c r="A11" s="62" t="s">
        <v>25</v>
      </c>
      <c r="B11" s="62" t="s">
        <v>149</v>
      </c>
      <c r="C11" s="60" t="str">
        <f>VLOOKUP(B11,[1]ID!$C$3:$D$100,2,FALSE)</f>
        <v>AEL</v>
      </c>
      <c r="D11" s="61" t="s">
        <v>736</v>
      </c>
      <c r="E11" s="61" t="s">
        <v>737</v>
      </c>
    </row>
    <row r="12" spans="1:5" x14ac:dyDescent="0.3">
      <c r="A12" s="60" t="s">
        <v>146</v>
      </c>
      <c r="B12" s="60" t="s">
        <v>613</v>
      </c>
      <c r="C12" s="60" t="str">
        <f>VLOOKUP(B12,[1]ID!$C$3:$D$100,2,FALSE)</f>
        <v>AEP</v>
      </c>
      <c r="D12" s="61" t="s">
        <v>738</v>
      </c>
      <c r="E12" s="61" t="s">
        <v>739</v>
      </c>
    </row>
    <row r="13" spans="1:5" x14ac:dyDescent="0.3">
      <c r="A13" s="60" t="s">
        <v>147</v>
      </c>
      <c r="B13" s="60" t="s">
        <v>613</v>
      </c>
      <c r="C13" s="60" t="str">
        <f>VLOOKUP(B13,[1]ID!$C$3:$D$100,2,FALSE)</f>
        <v>AEP</v>
      </c>
      <c r="D13" s="61" t="s">
        <v>740</v>
      </c>
      <c r="E13" s="61" t="s">
        <v>741</v>
      </c>
    </row>
    <row r="14" spans="1:5" x14ac:dyDescent="0.3">
      <c r="A14" s="60" t="s">
        <v>145</v>
      </c>
      <c r="B14" s="60" t="s">
        <v>613</v>
      </c>
      <c r="C14" s="60" t="str">
        <f>VLOOKUP(B14,[1]ID!$C$3:$D$100,2,FALSE)</f>
        <v>AEP</v>
      </c>
      <c r="D14" s="61" t="s">
        <v>742</v>
      </c>
      <c r="E14" s="61" t="s">
        <v>743</v>
      </c>
    </row>
    <row r="15" spans="1:5" x14ac:dyDescent="0.3">
      <c r="A15" s="60" t="s">
        <v>351</v>
      </c>
      <c r="B15" s="60" t="s">
        <v>613</v>
      </c>
      <c r="C15" s="60" t="str">
        <f>VLOOKUP(B15,[1]ID!$C$3:$D$100,2,FALSE)</f>
        <v>AEP</v>
      </c>
      <c r="D15" s="61" t="s">
        <v>744</v>
      </c>
      <c r="E15" s="61" t="s">
        <v>745</v>
      </c>
    </row>
    <row r="16" spans="1:5" x14ac:dyDescent="0.3">
      <c r="A16" s="62" t="s">
        <v>448</v>
      </c>
      <c r="B16" s="62" t="s">
        <v>613</v>
      </c>
      <c r="C16" s="60" t="str">
        <f>VLOOKUP(B16,[1]ID!$C$3:$D$100,2,FALSE)</f>
        <v>AEP</v>
      </c>
      <c r="D16" s="61" t="s">
        <v>746</v>
      </c>
      <c r="E16" s="61" t="s">
        <v>747</v>
      </c>
    </row>
    <row r="17" spans="1:5" x14ac:dyDescent="0.3">
      <c r="A17" s="62" t="s">
        <v>451</v>
      </c>
      <c r="B17" s="62" t="s">
        <v>613</v>
      </c>
      <c r="C17" s="60" t="str">
        <f>VLOOKUP(B17,[1]ID!$C$3:$D$100,2,FALSE)</f>
        <v>AEP</v>
      </c>
      <c r="D17" s="61" t="s">
        <v>748</v>
      </c>
      <c r="E17" s="61" t="s">
        <v>749</v>
      </c>
    </row>
    <row r="18" spans="1:5" x14ac:dyDescent="0.3">
      <c r="A18" s="62" t="s">
        <v>452</v>
      </c>
      <c r="B18" s="62" t="s">
        <v>613</v>
      </c>
      <c r="C18" s="60" t="str">
        <f>VLOOKUP(B18,[1]ID!$C$3:$D$100,2,FALSE)</f>
        <v>AEP</v>
      </c>
      <c r="D18" s="61" t="s">
        <v>750</v>
      </c>
      <c r="E18" s="61" t="s">
        <v>751</v>
      </c>
    </row>
    <row r="19" spans="1:5" x14ac:dyDescent="0.3">
      <c r="A19" s="62" t="s">
        <v>25</v>
      </c>
      <c r="B19" s="62" t="s">
        <v>613</v>
      </c>
      <c r="C19" s="60" t="str">
        <f>VLOOKUP(B19,[1]ID!$C$3:$D$100,2,FALSE)</f>
        <v>AEP</v>
      </c>
      <c r="D19" s="61" t="s">
        <v>752</v>
      </c>
      <c r="E19" s="61" t="s">
        <v>753</v>
      </c>
    </row>
    <row r="20" spans="1:5" x14ac:dyDescent="0.3">
      <c r="A20" s="62" t="s">
        <v>421</v>
      </c>
      <c r="B20" s="62" t="s">
        <v>421</v>
      </c>
      <c r="C20" s="60" t="str">
        <f>VLOOKUP(B20,[1]ID!$C$3:$D$100,2,FALSE)</f>
        <v>ALM</v>
      </c>
      <c r="D20" s="61" t="s">
        <v>754</v>
      </c>
      <c r="E20" s="61" t="s">
        <v>755</v>
      </c>
    </row>
    <row r="21" spans="1:5" x14ac:dyDescent="0.3">
      <c r="A21" s="60" t="s">
        <v>612</v>
      </c>
      <c r="B21" s="60" t="s">
        <v>612</v>
      </c>
      <c r="C21" s="60" t="e">
        <f>VLOOKUP(B21,[1]ID!$C$3:$D$100,2,FALSE)</f>
        <v>#N/A</v>
      </c>
      <c r="D21" s="61" t="s">
        <v>756</v>
      </c>
      <c r="E21" s="61" t="s">
        <v>757</v>
      </c>
    </row>
    <row r="22" spans="1:5" x14ac:dyDescent="0.3">
      <c r="A22" s="62" t="s">
        <v>612</v>
      </c>
      <c r="B22" s="62" t="s">
        <v>612</v>
      </c>
      <c r="C22" s="60" t="e">
        <f>VLOOKUP(B22,[1]ID!$C$3:$D$100,2,FALSE)</f>
        <v>#N/A</v>
      </c>
      <c r="D22" s="61" t="s">
        <v>758</v>
      </c>
      <c r="E22" s="61" t="s">
        <v>759</v>
      </c>
    </row>
    <row r="23" spans="1:5" x14ac:dyDescent="0.3">
      <c r="A23" s="62" t="s">
        <v>612</v>
      </c>
      <c r="B23" s="62" t="s">
        <v>612</v>
      </c>
      <c r="C23" s="60" t="e">
        <f>VLOOKUP(B23,[1]ID!$C$3:$D$100,2,FALSE)</f>
        <v>#N/A</v>
      </c>
      <c r="D23" s="61" t="s">
        <v>760</v>
      </c>
      <c r="E23" s="61" t="s">
        <v>761</v>
      </c>
    </row>
    <row r="24" spans="1:5" x14ac:dyDescent="0.3">
      <c r="A24" s="62" t="s">
        <v>612</v>
      </c>
      <c r="B24" s="62" t="s">
        <v>612</v>
      </c>
      <c r="C24" s="60" t="e">
        <f>VLOOKUP(B24,[1]ID!$C$3:$D$100,2,FALSE)</f>
        <v>#N/A</v>
      </c>
      <c r="D24" s="61" t="s">
        <v>762</v>
      </c>
      <c r="E24" s="61" t="s">
        <v>763</v>
      </c>
    </row>
    <row r="25" spans="1:5" x14ac:dyDescent="0.3">
      <c r="A25" s="62" t="s">
        <v>612</v>
      </c>
      <c r="B25" s="62" t="s">
        <v>612</v>
      </c>
      <c r="C25" s="60" t="e">
        <f>VLOOKUP(B25,[1]ID!$C$3:$D$100,2,FALSE)</f>
        <v>#N/A</v>
      </c>
      <c r="D25" s="61" t="s">
        <v>764</v>
      </c>
      <c r="E25" s="61" t="s">
        <v>765</v>
      </c>
    </row>
    <row r="26" spans="1:5" x14ac:dyDescent="0.3">
      <c r="A26" s="62" t="s">
        <v>672</v>
      </c>
      <c r="B26" s="62" t="s">
        <v>612</v>
      </c>
      <c r="C26" s="60" t="e">
        <f>VLOOKUP(B26,[1]ID!$C$3:$D$100,2,FALSE)</f>
        <v>#N/A</v>
      </c>
      <c r="D26" s="61" t="s">
        <v>766</v>
      </c>
      <c r="E26" s="61" t="s">
        <v>767</v>
      </c>
    </row>
    <row r="27" spans="1:5" x14ac:dyDescent="0.3">
      <c r="A27" s="63" t="s">
        <v>612</v>
      </c>
      <c r="B27" s="62" t="s">
        <v>612</v>
      </c>
      <c r="C27" s="60" t="e">
        <f>VLOOKUP(B27,[1]ID!$C$3:$D$100,2,FALSE)</f>
        <v>#N/A</v>
      </c>
      <c r="D27" s="61" t="s">
        <v>768</v>
      </c>
      <c r="E27" s="61" t="s">
        <v>769</v>
      </c>
    </row>
    <row r="28" spans="1:5" x14ac:dyDescent="0.3">
      <c r="A28" s="62" t="s">
        <v>426</v>
      </c>
      <c r="B28" s="62" t="s">
        <v>426</v>
      </c>
      <c r="C28" s="60" t="str">
        <f>VLOOKUP(B28,[1]ID!$C$3:$D$100,2,FALSE)</f>
        <v>BAL</v>
      </c>
      <c r="D28" s="61" t="s">
        <v>770</v>
      </c>
      <c r="E28" s="61" t="s">
        <v>771</v>
      </c>
    </row>
    <row r="29" spans="1:5" x14ac:dyDescent="0.3">
      <c r="A29" s="60" t="s">
        <v>286</v>
      </c>
      <c r="B29" s="60" t="s">
        <v>622</v>
      </c>
      <c r="C29" s="60" t="str">
        <f>VLOOKUP(B29,[1]ID!$C$3:$D$100,2,FALSE)</f>
        <v>BBA</v>
      </c>
      <c r="D29" s="61" t="s">
        <v>772</v>
      </c>
      <c r="E29" s="61" t="s">
        <v>773</v>
      </c>
    </row>
    <row r="30" spans="1:5" s="2" customFormat="1" x14ac:dyDescent="0.3">
      <c r="A30" s="60" t="s">
        <v>286</v>
      </c>
      <c r="B30" s="60" t="s">
        <v>100</v>
      </c>
      <c r="C30" s="60" t="str">
        <f>VLOOKUP(B30,[1]ID!$C$3:$D$100,2,FALSE)</f>
        <v>BCA</v>
      </c>
      <c r="D30" s="61" t="s">
        <v>774</v>
      </c>
      <c r="E30" s="61" t="s">
        <v>775</v>
      </c>
    </row>
    <row r="31" spans="1:5" x14ac:dyDescent="0.3">
      <c r="A31" s="62" t="s">
        <v>100</v>
      </c>
      <c r="B31" s="62" t="s">
        <v>100</v>
      </c>
      <c r="C31" s="62" t="s">
        <v>100</v>
      </c>
      <c r="D31" s="61" t="s">
        <v>776</v>
      </c>
      <c r="E31" s="61" t="s">
        <v>777</v>
      </c>
    </row>
    <row r="32" spans="1:5" x14ac:dyDescent="0.3">
      <c r="A32" s="60" t="s">
        <v>660</v>
      </c>
      <c r="B32" s="60" t="s">
        <v>623</v>
      </c>
      <c r="C32" s="60" t="str">
        <f>VLOOKUP(B32,[1]ID!$C$3:$D$100,2,FALSE)</f>
        <v>BOI</v>
      </c>
      <c r="D32" s="61" t="s">
        <v>778</v>
      </c>
      <c r="E32" s="61" t="s">
        <v>779</v>
      </c>
    </row>
    <row r="33" spans="1:5" s="3" customFormat="1" x14ac:dyDescent="0.3">
      <c r="A33" s="62" t="s">
        <v>707</v>
      </c>
      <c r="B33" s="62" t="s">
        <v>664</v>
      </c>
      <c r="C33" s="62" t="e">
        <f>VLOOKUP(B33,[1]ID!$C$3:$D$100,2,FALSE)</f>
        <v>#N/A</v>
      </c>
      <c r="D33" s="64" t="s">
        <v>780</v>
      </c>
      <c r="E33" s="64" t="s">
        <v>781</v>
      </c>
    </row>
    <row r="34" spans="1:5" x14ac:dyDescent="0.3">
      <c r="A34" s="60" t="s">
        <v>131</v>
      </c>
      <c r="B34" s="60" t="s">
        <v>333</v>
      </c>
      <c r="C34" s="60" t="str">
        <f>VLOOKUP(B34,[1]ID!$C$3:$D$100,2,FALSE)</f>
        <v>CEN</v>
      </c>
      <c r="D34" s="61" t="s">
        <v>782</v>
      </c>
      <c r="E34" s="61" t="s">
        <v>783</v>
      </c>
    </row>
    <row r="35" spans="1:5" x14ac:dyDescent="0.3">
      <c r="A35" s="62" t="s">
        <v>475</v>
      </c>
      <c r="B35" s="62" t="s">
        <v>333</v>
      </c>
      <c r="C35" s="60" t="str">
        <f>VLOOKUP(B35,[1]ID!$C$3:$D$100,2,FALSE)</f>
        <v>CEN</v>
      </c>
      <c r="D35" s="61" t="s">
        <v>784</v>
      </c>
      <c r="E35" s="61" t="s">
        <v>785</v>
      </c>
    </row>
    <row r="36" spans="1:5" x14ac:dyDescent="0.3">
      <c r="A36" s="62" t="s">
        <v>480</v>
      </c>
      <c r="B36" s="62" t="s">
        <v>333</v>
      </c>
      <c r="C36" s="60" t="str">
        <f>VLOOKUP(B36,[1]ID!$C$3:$D$100,2,FALSE)</f>
        <v>CEN</v>
      </c>
      <c r="D36" s="61" t="s">
        <v>786</v>
      </c>
      <c r="E36" s="61" t="s">
        <v>787</v>
      </c>
    </row>
    <row r="37" spans="1:5" x14ac:dyDescent="0.3">
      <c r="A37" s="60" t="s">
        <v>344</v>
      </c>
      <c r="B37" s="60" t="s">
        <v>627</v>
      </c>
      <c r="C37" s="60" t="str">
        <f>VLOOKUP(B37,[1]ID!$C$3:$D$100,2,FALSE)</f>
        <v>CPA</v>
      </c>
      <c r="D37" s="61" t="s">
        <v>788</v>
      </c>
      <c r="E37" s="61" t="s">
        <v>789</v>
      </c>
    </row>
    <row r="38" spans="1:5" x14ac:dyDescent="0.3">
      <c r="A38" s="61" t="s">
        <v>704</v>
      </c>
      <c r="B38" s="61" t="s">
        <v>101</v>
      </c>
      <c r="C38" s="60" t="str">
        <f>VLOOKUP(B38,[1]ID!$C$3:$D$100,2,FALSE)</f>
        <v>CAN</v>
      </c>
      <c r="D38" s="61" t="s">
        <v>790</v>
      </c>
      <c r="E38" s="61" t="s">
        <v>791</v>
      </c>
    </row>
    <row r="39" spans="1:5" x14ac:dyDescent="0.3">
      <c r="A39" s="61" t="s">
        <v>603</v>
      </c>
      <c r="B39" s="61" t="s">
        <v>101</v>
      </c>
      <c r="C39" s="60" t="str">
        <f>VLOOKUP(B39,[1]ID!$C$3:$D$100,2,FALSE)</f>
        <v>CAN</v>
      </c>
      <c r="D39" s="61" t="s">
        <v>792</v>
      </c>
      <c r="E39" s="61" t="s">
        <v>793</v>
      </c>
    </row>
    <row r="40" spans="1:5" x14ac:dyDescent="0.3">
      <c r="A40" s="60" t="s">
        <v>286</v>
      </c>
      <c r="B40" s="60" t="s">
        <v>101</v>
      </c>
      <c r="C40" s="60" t="str">
        <f>VLOOKUP(B40,[1]ID!$C$3:$D$100,2,FALSE)</f>
        <v>CAN</v>
      </c>
      <c r="D40" s="61" t="s">
        <v>794</v>
      </c>
      <c r="E40" s="61" t="s">
        <v>795</v>
      </c>
    </row>
    <row r="41" spans="1:5" x14ac:dyDescent="0.3">
      <c r="A41" s="62" t="s">
        <v>223</v>
      </c>
      <c r="B41" s="62" t="s">
        <v>101</v>
      </c>
      <c r="C41" s="60" t="str">
        <f>VLOOKUP(B41,[1]ID!$C$3:$D$100,2,FALSE)</f>
        <v>CAN</v>
      </c>
      <c r="D41" s="61" t="s">
        <v>796</v>
      </c>
      <c r="E41" s="61" t="s">
        <v>797</v>
      </c>
    </row>
    <row r="42" spans="1:5" x14ac:dyDescent="0.3">
      <c r="A42" s="62" t="s">
        <v>149</v>
      </c>
      <c r="B42" s="62" t="s">
        <v>136</v>
      </c>
      <c r="C42" s="60" t="str">
        <f>VLOOKUP(B42,[1]ID!$C$3:$D$100,2,FALSE)</f>
        <v>COM</v>
      </c>
      <c r="D42" s="61" t="s">
        <v>798</v>
      </c>
      <c r="E42" s="61" t="s">
        <v>799</v>
      </c>
    </row>
    <row r="43" spans="1:5" x14ac:dyDescent="0.3">
      <c r="A43" s="60" t="s">
        <v>323</v>
      </c>
      <c r="B43" s="60" t="s">
        <v>136</v>
      </c>
      <c r="C43" s="60" t="str">
        <f>VLOOKUP(B43,[1]ID!$C$3:$D$100,2,FALSE)</f>
        <v>COM</v>
      </c>
      <c r="D43" s="61" t="s">
        <v>800</v>
      </c>
      <c r="E43" s="61" t="s">
        <v>801</v>
      </c>
    </row>
    <row r="44" spans="1:5" x14ac:dyDescent="0.3">
      <c r="A44" s="62" t="s">
        <v>240</v>
      </c>
      <c r="B44" s="62" t="s">
        <v>136</v>
      </c>
      <c r="C44" s="60" t="str">
        <f>VLOOKUP(B44,[1]ID!$C$3:$D$100,2,FALSE)</f>
        <v>COM</v>
      </c>
      <c r="D44" s="61" t="s">
        <v>802</v>
      </c>
      <c r="E44" s="61" t="s">
        <v>803</v>
      </c>
    </row>
    <row r="45" spans="1:5" x14ac:dyDescent="0.3">
      <c r="A45" s="60" t="s">
        <v>236</v>
      </c>
      <c r="B45" s="60" t="s">
        <v>136</v>
      </c>
      <c r="C45" s="60" t="str">
        <f>VLOOKUP(B45,[1]ID!$C$3:$D$100,2,FALSE)</f>
        <v>COM</v>
      </c>
      <c r="D45" s="61" t="s">
        <v>804</v>
      </c>
      <c r="E45" s="61" t="s">
        <v>805</v>
      </c>
    </row>
    <row r="46" spans="1:5" x14ac:dyDescent="0.3">
      <c r="A46" s="62" t="s">
        <v>342</v>
      </c>
      <c r="B46" s="62" t="s">
        <v>136</v>
      </c>
      <c r="C46" s="60" t="str">
        <f>VLOOKUP(B46,[1]ID!$C$3:$D$100,2,FALSE)</f>
        <v>COM</v>
      </c>
      <c r="D46" s="61" t="s">
        <v>806</v>
      </c>
      <c r="E46" s="61" t="s">
        <v>807</v>
      </c>
    </row>
    <row r="47" spans="1:5" s="3" customFormat="1" x14ac:dyDescent="0.3">
      <c r="A47" s="62" t="s">
        <v>155</v>
      </c>
      <c r="B47" s="62" t="s">
        <v>808</v>
      </c>
      <c r="C47" s="62" t="e">
        <f>VLOOKUP(B47,[1]ID!$C$3:$D$100,2,FALSE)</f>
        <v>#N/A</v>
      </c>
      <c r="D47" s="64" t="s">
        <v>809</v>
      </c>
      <c r="E47" s="64" t="s">
        <v>810</v>
      </c>
    </row>
    <row r="48" spans="1:5" x14ac:dyDescent="0.3">
      <c r="A48" s="60" t="s">
        <v>645</v>
      </c>
      <c r="B48" s="60" t="s">
        <v>645</v>
      </c>
      <c r="C48" s="60" t="e">
        <f>VLOOKUP(B48,[1]ID!$C$3:$D$100,2,FALSE)</f>
        <v>#N/A</v>
      </c>
      <c r="D48" s="61" t="s">
        <v>811</v>
      </c>
      <c r="E48" s="61" t="s">
        <v>812</v>
      </c>
    </row>
    <row r="49" spans="1:5" x14ac:dyDescent="0.3">
      <c r="A49" s="60" t="s">
        <v>648</v>
      </c>
      <c r="B49" s="60" t="s">
        <v>648</v>
      </c>
      <c r="C49" s="60" t="e">
        <f>VLOOKUP(B49,[1]ID!$C$3:$D$100,2,FALSE)</f>
        <v>#N/A</v>
      </c>
      <c r="D49" s="61" t="s">
        <v>813</v>
      </c>
      <c r="E49" s="61" t="s">
        <v>814</v>
      </c>
    </row>
    <row r="50" spans="1:5" x14ac:dyDescent="0.3">
      <c r="A50" s="60" t="s">
        <v>650</v>
      </c>
      <c r="B50" s="60" t="s">
        <v>650</v>
      </c>
      <c r="C50" s="60" t="e">
        <f>VLOOKUP(B50,[1]ID!$C$3:$D$100,2,FALSE)</f>
        <v>#N/A</v>
      </c>
      <c r="D50" s="61" t="s">
        <v>815</v>
      </c>
      <c r="E50" s="61" t="s">
        <v>816</v>
      </c>
    </row>
    <row r="51" spans="1:5" x14ac:dyDescent="0.3">
      <c r="A51" s="60" t="s">
        <v>656</v>
      </c>
      <c r="B51" s="60" t="s">
        <v>656</v>
      </c>
      <c r="C51" s="60" t="e">
        <f>VLOOKUP(B51,[1]ID!$C$3:$D$100,2,FALSE)</f>
        <v>#N/A</v>
      </c>
      <c r="D51" s="61" t="s">
        <v>817</v>
      </c>
      <c r="E51" s="61" t="s">
        <v>818</v>
      </c>
    </row>
    <row r="52" spans="1:5" x14ac:dyDescent="0.3">
      <c r="A52" s="60" t="s">
        <v>660</v>
      </c>
      <c r="B52" s="60" t="s">
        <v>660</v>
      </c>
      <c r="C52" s="60" t="e">
        <f>VLOOKUP(B52,[1]ID!$C$3:$D$100,2,FALSE)</f>
        <v>#N/A</v>
      </c>
      <c r="D52" s="61" t="s">
        <v>819</v>
      </c>
      <c r="E52" s="61" t="s">
        <v>820</v>
      </c>
    </row>
    <row r="53" spans="1:5" x14ac:dyDescent="0.3">
      <c r="A53" s="60" t="s">
        <v>662</v>
      </c>
      <c r="B53" s="60" t="s">
        <v>662</v>
      </c>
      <c r="C53" s="60" t="e">
        <f>VLOOKUP(B53,[1]ID!$C$3:$D$100,2,FALSE)</f>
        <v>#N/A</v>
      </c>
      <c r="D53" s="61" t="s">
        <v>821</v>
      </c>
      <c r="E53" s="61" t="s">
        <v>822</v>
      </c>
    </row>
    <row r="54" spans="1:5" x14ac:dyDescent="0.3">
      <c r="A54" s="62" t="s">
        <v>664</v>
      </c>
      <c r="B54" s="62" t="s">
        <v>664</v>
      </c>
      <c r="C54" s="60" t="e">
        <f>VLOOKUP(B54,[1]ID!$C$3:$D$100,2,FALSE)</f>
        <v>#N/A</v>
      </c>
      <c r="D54" s="61" t="s">
        <v>823</v>
      </c>
      <c r="E54" s="61" t="s">
        <v>824</v>
      </c>
    </row>
    <row r="55" spans="1:5" x14ac:dyDescent="0.3">
      <c r="A55" s="60" t="s">
        <v>236</v>
      </c>
      <c r="B55" s="60" t="s">
        <v>236</v>
      </c>
      <c r="C55" s="60" t="e">
        <f>VLOOKUP(B55,[1]ID!$C$3:$D$100,2,FALSE)</f>
        <v>#N/A</v>
      </c>
      <c r="D55" s="61" t="s">
        <v>825</v>
      </c>
      <c r="E55" s="61" t="s">
        <v>826</v>
      </c>
    </row>
    <row r="56" spans="1:5" x14ac:dyDescent="0.3">
      <c r="A56" s="62" t="s">
        <v>322</v>
      </c>
      <c r="B56" s="62" t="s">
        <v>440</v>
      </c>
      <c r="C56" s="60" t="str">
        <f>VLOOKUP(B56,[1]ID!$C$3:$D$100,2,FALSE)</f>
        <v>EXT</v>
      </c>
      <c r="D56" s="61" t="s">
        <v>827</v>
      </c>
      <c r="E56" s="61" t="s">
        <v>828</v>
      </c>
    </row>
    <row r="57" spans="1:5" x14ac:dyDescent="0.3">
      <c r="A57" s="62" t="s">
        <v>286</v>
      </c>
      <c r="B57" s="62" t="s">
        <v>440</v>
      </c>
      <c r="C57" s="60" t="str">
        <f>VLOOKUP(B57,[1]ID!$C$3:$D$100,2,FALSE)</f>
        <v>EXT</v>
      </c>
      <c r="D57" s="61" t="s">
        <v>829</v>
      </c>
      <c r="E57" s="61" t="s">
        <v>830</v>
      </c>
    </row>
    <row r="58" spans="1:5" x14ac:dyDescent="0.3">
      <c r="A58" s="61" t="s">
        <v>603</v>
      </c>
      <c r="B58" s="61" t="s">
        <v>603</v>
      </c>
      <c r="C58" s="60" t="e">
        <f>VLOOKUP(B58,[1]ID!$C$3:$D$100,2,FALSE)</f>
        <v>#N/A</v>
      </c>
      <c r="D58" s="61" t="s">
        <v>831</v>
      </c>
      <c r="E58" s="61" t="s">
        <v>832</v>
      </c>
    </row>
    <row r="59" spans="1:5" s="2" customFormat="1" x14ac:dyDescent="0.3">
      <c r="A59" s="61" t="s">
        <v>286</v>
      </c>
      <c r="B59" s="61" t="s">
        <v>603</v>
      </c>
      <c r="C59" s="60" t="e">
        <f>VLOOKUP(B59,[1]ID!$C$3:$D$100,2,FALSE)</f>
        <v>#N/A</v>
      </c>
      <c r="D59" s="61" t="s">
        <v>833</v>
      </c>
      <c r="E59" s="61" t="s">
        <v>834</v>
      </c>
    </row>
    <row r="60" spans="1:5" x14ac:dyDescent="0.3">
      <c r="A60" s="60" t="s">
        <v>112</v>
      </c>
      <c r="B60" s="60" t="s">
        <v>654</v>
      </c>
      <c r="C60" s="60" t="str">
        <f>VLOOKUP(B60,[1]ID!$C$3:$D$100,2,FALSE)</f>
        <v>GEL</v>
      </c>
      <c r="D60" s="61" t="s">
        <v>835</v>
      </c>
      <c r="E60" s="61" t="s">
        <v>836</v>
      </c>
    </row>
    <row r="61" spans="1:5" x14ac:dyDescent="0.3">
      <c r="A61" s="60" t="s">
        <v>112</v>
      </c>
      <c r="B61" s="60" t="s">
        <v>658</v>
      </c>
      <c r="C61" s="60" t="str">
        <f>VLOOKUP(B61,[1]ID!$C$3:$D$100,2,FALSE)</f>
        <v>GMC</v>
      </c>
      <c r="D61" s="61" t="s">
        <v>837</v>
      </c>
      <c r="E61" s="61" t="s">
        <v>838</v>
      </c>
    </row>
    <row r="62" spans="1:5" x14ac:dyDescent="0.3">
      <c r="A62" s="60" t="s">
        <v>672</v>
      </c>
      <c r="B62" s="60" t="s">
        <v>370</v>
      </c>
      <c r="C62" s="60" t="str">
        <f>VLOOKUP(B62,[1]ID!$C$3:$D$100,2,FALSE)</f>
        <v>MCD</v>
      </c>
      <c r="D62" s="61" t="s">
        <v>839</v>
      </c>
      <c r="E62" s="61" t="s">
        <v>840</v>
      </c>
    </row>
    <row r="63" spans="1:5" s="2" customFormat="1" x14ac:dyDescent="0.3">
      <c r="A63" s="60" t="s">
        <v>656</v>
      </c>
      <c r="B63" s="60" t="s">
        <v>841</v>
      </c>
      <c r="C63" s="60" t="e">
        <f>VLOOKUP(B63,[1]ID!$C$3:$D$100,2,FALSE)</f>
        <v>#N/A</v>
      </c>
      <c r="D63" s="61" t="s">
        <v>842</v>
      </c>
      <c r="E63" s="61" t="s">
        <v>843</v>
      </c>
    </row>
    <row r="64" spans="1:5" x14ac:dyDescent="0.3">
      <c r="A64" s="60" t="s">
        <v>131</v>
      </c>
      <c r="B64" s="60" t="s">
        <v>844</v>
      </c>
      <c r="C64" s="60" t="e">
        <f>VLOOKUP(B64,[1]ID!$C$3:$D$100,2,FALSE)</f>
        <v>#N/A</v>
      </c>
      <c r="D64" s="61" t="s">
        <v>845</v>
      </c>
      <c r="E64" s="61" t="s">
        <v>846</v>
      </c>
    </row>
    <row r="65" spans="1:5" x14ac:dyDescent="0.3">
      <c r="A65" s="62" t="s">
        <v>421</v>
      </c>
      <c r="B65" s="60" t="s">
        <v>844</v>
      </c>
      <c r="C65" s="60" t="e">
        <f>VLOOKUP(B65,[1]ID!$C$3:$D$100,2,FALSE)</f>
        <v>#N/A</v>
      </c>
      <c r="D65" s="61" t="s">
        <v>847</v>
      </c>
      <c r="E65" s="61" t="s">
        <v>848</v>
      </c>
    </row>
    <row r="66" spans="1:5" x14ac:dyDescent="0.3">
      <c r="A66" s="60" t="s">
        <v>645</v>
      </c>
      <c r="B66" s="60" t="s">
        <v>844</v>
      </c>
      <c r="C66" s="60" t="e">
        <f>VLOOKUP(B66,[1]ID!$C$3:$D$100,2,FALSE)</f>
        <v>#N/A</v>
      </c>
      <c r="D66" s="61" t="s">
        <v>849</v>
      </c>
      <c r="E66" s="61" t="s">
        <v>850</v>
      </c>
    </row>
    <row r="67" spans="1:5" x14ac:dyDescent="0.3">
      <c r="A67" s="60" t="s">
        <v>648</v>
      </c>
      <c r="B67" s="60" t="s">
        <v>844</v>
      </c>
      <c r="C67" s="60" t="e">
        <f>VLOOKUP(B67,[1]ID!$C$3:$D$100,2,FALSE)</f>
        <v>#N/A</v>
      </c>
      <c r="D67" s="61" t="s">
        <v>851</v>
      </c>
      <c r="E67" s="61" t="s">
        <v>852</v>
      </c>
    </row>
    <row r="68" spans="1:5" x14ac:dyDescent="0.3">
      <c r="A68" s="60" t="s">
        <v>650</v>
      </c>
      <c r="B68" s="60" t="s">
        <v>844</v>
      </c>
      <c r="C68" s="60" t="e">
        <f>VLOOKUP(B68,[1]ID!$C$3:$D$100,2,FALSE)</f>
        <v>#N/A</v>
      </c>
      <c r="D68" s="61" t="s">
        <v>853</v>
      </c>
      <c r="E68" s="61" t="s">
        <v>854</v>
      </c>
    </row>
    <row r="69" spans="1:5" x14ac:dyDescent="0.3">
      <c r="A69" s="60" t="s">
        <v>660</v>
      </c>
      <c r="B69" s="60" t="s">
        <v>844</v>
      </c>
      <c r="C69" s="60" t="e">
        <f>VLOOKUP(B69,[1]ID!$C$3:$D$100,2,FALSE)</f>
        <v>#N/A</v>
      </c>
      <c r="D69" s="61" t="s">
        <v>855</v>
      </c>
      <c r="E69" s="61" t="s">
        <v>856</v>
      </c>
    </row>
    <row r="70" spans="1:5" x14ac:dyDescent="0.3">
      <c r="A70" s="60" t="s">
        <v>662</v>
      </c>
      <c r="B70" s="60" t="s">
        <v>844</v>
      </c>
      <c r="C70" s="60" t="e">
        <f>VLOOKUP(B70,[1]ID!$C$3:$D$100,2,FALSE)</f>
        <v>#N/A</v>
      </c>
      <c r="D70" s="61" t="s">
        <v>857</v>
      </c>
      <c r="E70" s="61" t="s">
        <v>858</v>
      </c>
    </row>
    <row r="71" spans="1:5" x14ac:dyDescent="0.3">
      <c r="A71" s="62" t="s">
        <v>664</v>
      </c>
      <c r="B71" s="60" t="s">
        <v>844</v>
      </c>
      <c r="C71" s="60" t="e">
        <f>VLOOKUP(B71,[1]ID!$C$3:$D$100,2,FALSE)</f>
        <v>#N/A</v>
      </c>
      <c r="D71" s="61" t="s">
        <v>859</v>
      </c>
      <c r="E71" s="61" t="s">
        <v>860</v>
      </c>
    </row>
    <row r="72" spans="1:5" x14ac:dyDescent="0.3">
      <c r="A72" s="60" t="s">
        <v>322</v>
      </c>
      <c r="B72" s="60" t="s">
        <v>844</v>
      </c>
      <c r="C72" s="60" t="e">
        <f>VLOOKUP(B72,[1]ID!$C$3:$D$100,2,FALSE)</f>
        <v>#N/A</v>
      </c>
      <c r="D72" s="61" t="s">
        <v>861</v>
      </c>
      <c r="E72" s="61" t="s">
        <v>862</v>
      </c>
    </row>
    <row r="73" spans="1:5" x14ac:dyDescent="0.3">
      <c r="A73" s="62" t="s">
        <v>475</v>
      </c>
      <c r="B73" s="60" t="s">
        <v>844</v>
      </c>
      <c r="C73" s="60" t="e">
        <f>VLOOKUP(B73,[1]ID!$C$3:$D$100,2,FALSE)</f>
        <v>#N/A</v>
      </c>
      <c r="D73" s="61" t="s">
        <v>863</v>
      </c>
      <c r="E73" s="61" t="s">
        <v>864</v>
      </c>
    </row>
    <row r="74" spans="1:5" x14ac:dyDescent="0.3">
      <c r="A74" s="62" t="s">
        <v>480</v>
      </c>
      <c r="B74" s="60" t="s">
        <v>844</v>
      </c>
      <c r="C74" s="60" t="e">
        <f>VLOOKUP(B74,[1]ID!$C$3:$D$100,2,FALSE)</f>
        <v>#N/A</v>
      </c>
      <c r="D74" s="61" t="s">
        <v>865</v>
      </c>
      <c r="E74" s="61" t="s">
        <v>866</v>
      </c>
    </row>
    <row r="75" spans="1:5" x14ac:dyDescent="0.3">
      <c r="A75" s="60" t="s">
        <v>691</v>
      </c>
      <c r="B75" s="60" t="s">
        <v>844</v>
      </c>
      <c r="C75" s="60" t="e">
        <f>VLOOKUP(B75,[1]ID!$C$3:$D$100,2,FALSE)</f>
        <v>#N/A</v>
      </c>
      <c r="D75" s="61" t="s">
        <v>867</v>
      </c>
      <c r="E75" s="61" t="s">
        <v>868</v>
      </c>
    </row>
    <row r="76" spans="1:5" x14ac:dyDescent="0.3">
      <c r="A76" s="60" t="s">
        <v>693</v>
      </c>
      <c r="B76" s="60" t="s">
        <v>844</v>
      </c>
      <c r="C76" s="60" t="e">
        <f>VLOOKUP(B76,[1]ID!$C$3:$D$100,2,FALSE)</f>
        <v>#N/A</v>
      </c>
      <c r="D76" s="61" t="s">
        <v>869</v>
      </c>
      <c r="E76" s="61" t="s">
        <v>870</v>
      </c>
    </row>
    <row r="77" spans="1:5" x14ac:dyDescent="0.3">
      <c r="A77" s="62" t="s">
        <v>492</v>
      </c>
      <c r="B77" s="60" t="s">
        <v>844</v>
      </c>
      <c r="C77" s="60" t="e">
        <f>VLOOKUP(B77,[1]ID!$C$3:$D$100,2,FALSE)</f>
        <v>#N/A</v>
      </c>
      <c r="D77" s="61" t="s">
        <v>871</v>
      </c>
      <c r="E77" s="61" t="s">
        <v>872</v>
      </c>
    </row>
    <row r="78" spans="1:5" x14ac:dyDescent="0.3">
      <c r="A78" s="62" t="s">
        <v>321</v>
      </c>
      <c r="B78" s="60" t="s">
        <v>844</v>
      </c>
      <c r="C78" s="60" t="e">
        <f>VLOOKUP(B78,[1]ID!$C$3:$D$100,2,FALSE)</f>
        <v>#N/A</v>
      </c>
      <c r="D78" s="61" t="s">
        <v>873</v>
      </c>
      <c r="E78" s="61" t="s">
        <v>874</v>
      </c>
    </row>
    <row r="79" spans="1:5" x14ac:dyDescent="0.3">
      <c r="A79" s="60" t="s">
        <v>236</v>
      </c>
      <c r="B79" s="60" t="s">
        <v>875</v>
      </c>
      <c r="C79" s="60" t="e">
        <f>VLOOKUP(B79,[1]ID!$C$3:$D$100,2,FALSE)</f>
        <v>#N/A</v>
      </c>
      <c r="D79" s="61" t="s">
        <v>876</v>
      </c>
      <c r="E79" s="61" t="s">
        <v>877</v>
      </c>
    </row>
    <row r="80" spans="1:5" x14ac:dyDescent="0.3">
      <c r="A80" s="62" t="s">
        <v>104</v>
      </c>
      <c r="B80" s="62" t="s">
        <v>153</v>
      </c>
      <c r="C80" s="60" t="str">
        <f>VLOOKUP(B80,[1]ID!$C$3:$D$100,2,FALSE)</f>
        <v>PRO</v>
      </c>
      <c r="D80" s="61" t="s">
        <v>878</v>
      </c>
      <c r="E80" s="61" t="s">
        <v>879</v>
      </c>
    </row>
    <row r="81" spans="1:5" x14ac:dyDescent="0.3">
      <c r="A81" s="60" t="s">
        <v>153</v>
      </c>
      <c r="B81" s="60" t="s">
        <v>153</v>
      </c>
      <c r="C81" s="60" t="str">
        <f>VLOOKUP(B81,[1]ID!$C$3:$D$100,2,FALSE)</f>
        <v>PRO</v>
      </c>
      <c r="D81" s="61" t="s">
        <v>880</v>
      </c>
      <c r="E81" s="61" t="s">
        <v>881</v>
      </c>
    </row>
    <row r="82" spans="1:5" x14ac:dyDescent="0.3">
      <c r="A82" s="61" t="s">
        <v>104</v>
      </c>
      <c r="B82" s="61" t="s">
        <v>443</v>
      </c>
      <c r="C82" s="60" t="str">
        <f>VLOOKUP(B82,[1]ID!$C$3:$D$100,2,FALSE)</f>
        <v>QBT</v>
      </c>
      <c r="D82" s="61" t="s">
        <v>882</v>
      </c>
      <c r="E82" s="61" t="s">
        <v>883</v>
      </c>
    </row>
    <row r="83" spans="1:5" x14ac:dyDescent="0.3">
      <c r="A83" s="61" t="s">
        <v>672</v>
      </c>
      <c r="B83" s="61" t="s">
        <v>443</v>
      </c>
      <c r="C83" s="60" t="str">
        <f>VLOOKUP(B83,[1]ID!$C$3:$D$100,2,FALSE)</f>
        <v>QBT</v>
      </c>
      <c r="D83" s="61" t="s">
        <v>884</v>
      </c>
      <c r="E83" s="61" t="s">
        <v>885</v>
      </c>
    </row>
    <row r="84" spans="1:5" x14ac:dyDescent="0.3">
      <c r="A84" s="60" t="s">
        <v>286</v>
      </c>
      <c r="B84" s="60" t="s">
        <v>443</v>
      </c>
      <c r="C84" s="60" t="str">
        <f>VLOOKUP(B84,[1]ID!$C$3:$D$100,2,FALSE)</f>
        <v>QBT</v>
      </c>
      <c r="D84" s="61" t="s">
        <v>886</v>
      </c>
      <c r="E84" s="61" t="s">
        <v>887</v>
      </c>
    </row>
    <row r="85" spans="1:5" x14ac:dyDescent="0.3">
      <c r="A85" s="61" t="s">
        <v>688</v>
      </c>
      <c r="B85" s="61" t="s">
        <v>443</v>
      </c>
      <c r="C85" s="60" t="str">
        <f>VLOOKUP(B85,[1]ID!$C$3:$D$100,2,FALSE)</f>
        <v>QBT</v>
      </c>
      <c r="D85" s="61" t="s">
        <v>888</v>
      </c>
      <c r="E85" s="61" t="s">
        <v>889</v>
      </c>
    </row>
    <row r="86" spans="1:5" x14ac:dyDescent="0.3">
      <c r="A86" s="61" t="s">
        <v>672</v>
      </c>
      <c r="B86" s="61" t="s">
        <v>445</v>
      </c>
      <c r="C86" s="60" t="str">
        <f>VLOOKUP(B86,[1]ID!$C$3:$D$100,2,FALSE)</f>
        <v>QMT</v>
      </c>
      <c r="D86" s="61" t="s">
        <v>890</v>
      </c>
      <c r="E86" s="61" t="s">
        <v>891</v>
      </c>
    </row>
    <row r="87" spans="1:5" x14ac:dyDescent="0.3">
      <c r="A87" s="60" t="s">
        <v>286</v>
      </c>
      <c r="B87" s="60" t="s">
        <v>445</v>
      </c>
      <c r="C87" s="60" t="str">
        <f>VLOOKUP(B87,[1]ID!$C$3:$D$100,2,FALSE)</f>
        <v>QMT</v>
      </c>
      <c r="D87" s="61" t="s">
        <v>892</v>
      </c>
      <c r="E87" s="61" t="s">
        <v>893</v>
      </c>
    </row>
    <row r="88" spans="1:5" x14ac:dyDescent="0.3">
      <c r="A88" s="61" t="s">
        <v>112</v>
      </c>
      <c r="B88" s="61" t="s">
        <v>445</v>
      </c>
      <c r="C88" s="60" t="str">
        <f>VLOOKUP(B88,[1]ID!$C$3:$D$100,2,FALSE)</f>
        <v>QMT</v>
      </c>
      <c r="D88" s="61" t="s">
        <v>894</v>
      </c>
      <c r="E88" s="61" t="s">
        <v>895</v>
      </c>
    </row>
    <row r="89" spans="1:5" x14ac:dyDescent="0.3">
      <c r="A89" s="60" t="s">
        <v>286</v>
      </c>
      <c r="B89" s="60" t="s">
        <v>446</v>
      </c>
      <c r="C89" s="60" t="str">
        <f>VLOOKUP(B89,[1]ID!$C$3:$D$100,2,FALSE)</f>
        <v>QEI</v>
      </c>
      <c r="D89" s="61" t="s">
        <v>896</v>
      </c>
      <c r="E89" s="61" t="s">
        <v>897</v>
      </c>
    </row>
    <row r="90" spans="1:5" x14ac:dyDescent="0.3">
      <c r="A90" s="62" t="s">
        <v>223</v>
      </c>
      <c r="B90" s="62" t="s">
        <v>446</v>
      </c>
      <c r="C90" s="60" t="str">
        <f>VLOOKUP(B90,[1]ID!$C$3:$D$100,2,FALSE)</f>
        <v>QEI</v>
      </c>
      <c r="D90" s="61" t="s">
        <v>898</v>
      </c>
      <c r="E90" s="61" t="s">
        <v>899</v>
      </c>
    </row>
    <row r="91" spans="1:5" x14ac:dyDescent="0.3">
      <c r="A91" s="62" t="s">
        <v>149</v>
      </c>
      <c r="B91" s="62" t="s">
        <v>154</v>
      </c>
      <c r="C91" s="60" t="str">
        <f>VLOOKUP(B91,[1]ID!$C$3:$D$100,2,FALSE)</f>
        <v>QEA</v>
      </c>
      <c r="D91" s="61" t="s">
        <v>900</v>
      </c>
      <c r="E91" s="61" t="s">
        <v>901</v>
      </c>
    </row>
    <row r="92" spans="1:5" x14ac:dyDescent="0.3">
      <c r="A92" s="60" t="s">
        <v>131</v>
      </c>
      <c r="B92" s="60" t="s">
        <v>154</v>
      </c>
      <c r="C92" s="60" t="str">
        <f>VLOOKUP(B92,[1]ID!$C$3:$D$100,2,FALSE)</f>
        <v>QEA</v>
      </c>
      <c r="D92" s="61" t="s">
        <v>902</v>
      </c>
      <c r="E92" s="61" t="s">
        <v>903</v>
      </c>
    </row>
    <row r="93" spans="1:5" x14ac:dyDescent="0.3">
      <c r="A93" s="60" t="s">
        <v>437</v>
      </c>
      <c r="B93" s="60" t="s">
        <v>154</v>
      </c>
      <c r="C93" s="60" t="str">
        <f>VLOOKUP(B93,[1]ID!$C$3:$D$100,2,FALSE)</f>
        <v>QEA</v>
      </c>
      <c r="D93" s="61" t="s">
        <v>904</v>
      </c>
      <c r="E93" s="61" t="s">
        <v>905</v>
      </c>
    </row>
    <row r="94" spans="1:5" x14ac:dyDescent="0.3">
      <c r="A94" s="60" t="s">
        <v>645</v>
      </c>
      <c r="B94" s="60" t="s">
        <v>154</v>
      </c>
      <c r="C94" s="60" t="str">
        <f>VLOOKUP(B94,[1]ID!$C$3:$D$100,2,FALSE)</f>
        <v>QEA</v>
      </c>
      <c r="D94" s="61" t="s">
        <v>906</v>
      </c>
      <c r="E94" s="61" t="s">
        <v>907</v>
      </c>
    </row>
    <row r="95" spans="1:5" x14ac:dyDescent="0.3">
      <c r="A95" s="60" t="s">
        <v>648</v>
      </c>
      <c r="B95" s="60" t="s">
        <v>154</v>
      </c>
      <c r="C95" s="60" t="str">
        <f>VLOOKUP(B95,[1]ID!$C$3:$D$100,2,FALSE)</f>
        <v>QEA</v>
      </c>
      <c r="D95" s="61" t="s">
        <v>908</v>
      </c>
      <c r="E95" s="61" t="s">
        <v>909</v>
      </c>
    </row>
    <row r="96" spans="1:5" x14ac:dyDescent="0.3">
      <c r="A96" s="60" t="s">
        <v>650</v>
      </c>
      <c r="B96" s="60" t="s">
        <v>154</v>
      </c>
      <c r="C96" s="60" t="str">
        <f>VLOOKUP(B96,[1]ID!$C$3:$D$100,2,FALSE)</f>
        <v>QEA</v>
      </c>
      <c r="D96" s="61" t="s">
        <v>910</v>
      </c>
      <c r="E96" s="61" t="s">
        <v>911</v>
      </c>
    </row>
    <row r="97" spans="1:5" x14ac:dyDescent="0.3">
      <c r="A97" s="60" t="s">
        <v>656</v>
      </c>
      <c r="B97" s="60" t="s">
        <v>154</v>
      </c>
      <c r="C97" s="60" t="str">
        <f>VLOOKUP(B97,[1]ID!$C$3:$D$100,2,FALSE)</f>
        <v>QEA</v>
      </c>
      <c r="D97" s="61" t="s">
        <v>912</v>
      </c>
      <c r="E97" s="61" t="s">
        <v>913</v>
      </c>
    </row>
    <row r="98" spans="1:5" x14ac:dyDescent="0.3">
      <c r="A98" s="60" t="s">
        <v>660</v>
      </c>
      <c r="B98" s="60" t="s">
        <v>154</v>
      </c>
      <c r="C98" s="60" t="str">
        <f>VLOOKUP(B98,[1]ID!$C$3:$D$100,2,FALSE)</f>
        <v>QEA</v>
      </c>
      <c r="D98" s="61" t="s">
        <v>914</v>
      </c>
      <c r="E98" s="61" t="s">
        <v>915</v>
      </c>
    </row>
    <row r="99" spans="1:5" x14ac:dyDescent="0.3">
      <c r="A99" s="60" t="s">
        <v>662</v>
      </c>
      <c r="B99" s="60" t="s">
        <v>154</v>
      </c>
      <c r="C99" s="60" t="str">
        <f>VLOOKUP(B99,[1]ID!$C$3:$D$100,2,FALSE)</f>
        <v>QEA</v>
      </c>
      <c r="D99" s="61" t="s">
        <v>916</v>
      </c>
      <c r="E99" s="61" t="s">
        <v>917</v>
      </c>
    </row>
    <row r="100" spans="1:5" x14ac:dyDescent="0.3">
      <c r="A100" s="62" t="s">
        <v>664</v>
      </c>
      <c r="B100" s="60" t="s">
        <v>154</v>
      </c>
      <c r="C100" s="60" t="str">
        <f>VLOOKUP(B100,[1]ID!$C$3:$D$100,2,FALSE)</f>
        <v>QEA</v>
      </c>
      <c r="D100" s="61" t="s">
        <v>918</v>
      </c>
      <c r="E100" s="61" t="s">
        <v>919</v>
      </c>
    </row>
    <row r="101" spans="1:5" x14ac:dyDescent="0.3">
      <c r="A101" s="60" t="s">
        <v>236</v>
      </c>
      <c r="B101" s="60" t="s">
        <v>154</v>
      </c>
      <c r="C101" s="60" t="str">
        <f>VLOOKUP(B101,[1]ID!$C$3:$D$100,2,FALSE)</f>
        <v>QEA</v>
      </c>
      <c r="D101" s="61" t="s">
        <v>920</v>
      </c>
      <c r="E101" s="61" t="s">
        <v>921</v>
      </c>
    </row>
    <row r="102" spans="1:5" x14ac:dyDescent="0.3">
      <c r="A102" s="60" t="s">
        <v>322</v>
      </c>
      <c r="B102" s="60" t="s">
        <v>154</v>
      </c>
      <c r="C102" s="60" t="str">
        <f>VLOOKUP(B102,[1]ID!$C$3:$D$100,2,FALSE)</f>
        <v>QEA</v>
      </c>
      <c r="D102" s="61" t="s">
        <v>922</v>
      </c>
      <c r="E102" s="61" t="s">
        <v>923</v>
      </c>
    </row>
    <row r="103" spans="1:5" x14ac:dyDescent="0.3">
      <c r="A103" s="61" t="s">
        <v>603</v>
      </c>
      <c r="B103" s="61" t="s">
        <v>154</v>
      </c>
      <c r="C103" s="60" t="str">
        <f>VLOOKUP(B103,[1]ID!$C$3:$D$100,2,FALSE)</f>
        <v>QEA</v>
      </c>
      <c r="D103" s="61" t="s">
        <v>924</v>
      </c>
      <c r="E103" s="61" t="s">
        <v>925</v>
      </c>
    </row>
    <row r="104" spans="1:5" x14ac:dyDescent="0.3">
      <c r="A104" s="62" t="s">
        <v>286</v>
      </c>
      <c r="B104" s="62" t="s">
        <v>154</v>
      </c>
      <c r="C104" s="60" t="str">
        <f>VLOOKUP(B104,[1]ID!$C$3:$D$100,2,FALSE)</f>
        <v>QEA</v>
      </c>
      <c r="D104" s="61" t="s">
        <v>926</v>
      </c>
      <c r="E104" s="61" t="s">
        <v>927</v>
      </c>
    </row>
    <row r="105" spans="1:5" x14ac:dyDescent="0.3">
      <c r="A105" s="60" t="s">
        <v>691</v>
      </c>
      <c r="B105" s="60" t="s">
        <v>154</v>
      </c>
      <c r="C105" s="60" t="str">
        <f>VLOOKUP(B105,[1]ID!$C$3:$D$100,2,FALSE)</f>
        <v>QEA</v>
      </c>
      <c r="D105" s="61" t="s">
        <v>928</v>
      </c>
      <c r="E105" s="61" t="s">
        <v>929</v>
      </c>
    </row>
    <row r="106" spans="1:5" x14ac:dyDescent="0.3">
      <c r="A106" s="60" t="s">
        <v>693</v>
      </c>
      <c r="B106" s="60" t="s">
        <v>154</v>
      </c>
      <c r="C106" s="60" t="str">
        <f>VLOOKUP(B106,[1]ID!$C$3:$D$100,2,FALSE)</f>
        <v>QEA</v>
      </c>
      <c r="D106" s="61" t="s">
        <v>930</v>
      </c>
      <c r="E106" s="61" t="s">
        <v>931</v>
      </c>
    </row>
    <row r="107" spans="1:5" x14ac:dyDescent="0.3">
      <c r="A107" s="60" t="s">
        <v>697</v>
      </c>
      <c r="B107" s="60" t="s">
        <v>154</v>
      </c>
      <c r="C107" s="60" t="str">
        <f>VLOOKUP(B107,[1]ID!$C$3:$D$100,2,FALSE)</f>
        <v>QEA</v>
      </c>
      <c r="D107" s="61" t="s">
        <v>932</v>
      </c>
      <c r="E107" s="61" t="s">
        <v>933</v>
      </c>
    </row>
    <row r="108" spans="1:5" x14ac:dyDescent="0.3">
      <c r="A108" s="62" t="s">
        <v>492</v>
      </c>
      <c r="B108" s="62" t="s">
        <v>154</v>
      </c>
      <c r="C108" s="60" t="str">
        <f>VLOOKUP(B108,[1]ID!$C$3:$D$100,2,FALSE)</f>
        <v>QEA</v>
      </c>
      <c r="D108" s="61" t="s">
        <v>934</v>
      </c>
      <c r="E108" s="61" t="s">
        <v>935</v>
      </c>
    </row>
    <row r="109" spans="1:5" x14ac:dyDescent="0.3">
      <c r="A109" s="62" t="s">
        <v>321</v>
      </c>
      <c r="B109" s="62" t="s">
        <v>154</v>
      </c>
      <c r="C109" s="60" t="str">
        <f>VLOOKUP(B109,[1]ID!$C$3:$D$100,2,FALSE)</f>
        <v>QEA</v>
      </c>
      <c r="D109" s="61" t="s">
        <v>936</v>
      </c>
      <c r="E109" s="61" t="s">
        <v>937</v>
      </c>
    </row>
    <row r="110" spans="1:5" x14ac:dyDescent="0.3">
      <c r="A110" s="62" t="s">
        <v>475</v>
      </c>
      <c r="B110" s="62" t="s">
        <v>449</v>
      </c>
      <c r="C110" s="60" t="str">
        <f>VLOOKUP(B110,[1]ID!$C$3:$D$100,2,FALSE)</f>
        <v>RSP</v>
      </c>
      <c r="D110" s="61" t="s">
        <v>938</v>
      </c>
      <c r="E110" s="61" t="s">
        <v>939</v>
      </c>
    </row>
    <row r="111" spans="1:5" x14ac:dyDescent="0.3">
      <c r="A111" s="60" t="s">
        <v>286</v>
      </c>
      <c r="B111" s="60" t="s">
        <v>287</v>
      </c>
      <c r="C111" s="60" t="str">
        <f>VLOOKUP(B111,[1]ID!$C$3:$D$100,2,FALSE)</f>
        <v>RTE</v>
      </c>
      <c r="D111" s="61" t="s">
        <v>940</v>
      </c>
      <c r="E111" s="61" t="s">
        <v>941</v>
      </c>
    </row>
    <row r="112" spans="1:5" x14ac:dyDescent="0.3">
      <c r="A112" s="62" t="s">
        <v>648</v>
      </c>
      <c r="B112" s="62" t="s">
        <v>452</v>
      </c>
      <c r="C112" s="60" t="str">
        <f>VLOOKUP(B112,[1]ID!$C$3:$D$100,2,FALSE)</f>
        <v>SCA</v>
      </c>
      <c r="D112" s="61" t="s">
        <v>942</v>
      </c>
      <c r="E112" s="61" t="s">
        <v>943</v>
      </c>
    </row>
    <row r="113" spans="1:5" x14ac:dyDescent="0.3">
      <c r="A113" s="62" t="s">
        <v>484</v>
      </c>
      <c r="B113" s="62" t="s">
        <v>452</v>
      </c>
      <c r="C113" s="60" t="str">
        <f>VLOOKUP(B113,[1]ID!$C$3:$D$100,2,FALSE)</f>
        <v>SCA</v>
      </c>
      <c r="D113" s="61" t="s">
        <v>944</v>
      </c>
      <c r="E113" s="61" t="s">
        <v>945</v>
      </c>
    </row>
    <row r="114" spans="1:5" x14ac:dyDescent="0.3">
      <c r="A114" s="61" t="s">
        <v>672</v>
      </c>
      <c r="B114" s="61" t="s">
        <v>328</v>
      </c>
      <c r="C114" s="60" t="str">
        <f>VLOOKUP(B114,[1]ID!$C$3:$D$100,2,FALSE)</f>
        <v>SEN</v>
      </c>
      <c r="D114" s="61" t="s">
        <v>946</v>
      </c>
      <c r="E114" s="61" t="s">
        <v>947</v>
      </c>
    </row>
    <row r="115" spans="1:5" x14ac:dyDescent="0.3">
      <c r="A115" s="62" t="s">
        <v>328</v>
      </c>
      <c r="B115" s="61" t="s">
        <v>328</v>
      </c>
      <c r="C115" s="60" t="str">
        <f>VLOOKUP(B115,[1]ID!$C$3:$D$100,2,FALSE)</f>
        <v>SEN</v>
      </c>
      <c r="D115" s="61" t="s">
        <v>948</v>
      </c>
      <c r="E115" s="61" t="s">
        <v>949</v>
      </c>
    </row>
    <row r="116" spans="1:5" x14ac:dyDescent="0.3">
      <c r="A116" s="62" t="s">
        <v>672</v>
      </c>
      <c r="B116" s="61" t="s">
        <v>328</v>
      </c>
      <c r="C116" s="60" t="str">
        <f>VLOOKUP(B116,[1]ID!$C$3:$D$100,2,FALSE)</f>
        <v>SEN</v>
      </c>
      <c r="D116" s="61" t="s">
        <v>950</v>
      </c>
      <c r="E116" s="61" t="s">
        <v>951</v>
      </c>
    </row>
    <row r="117" spans="1:5" x14ac:dyDescent="0.3">
      <c r="A117" s="62" t="s">
        <v>328</v>
      </c>
      <c r="B117" s="61" t="s">
        <v>328</v>
      </c>
      <c r="C117" s="60" t="str">
        <f>VLOOKUP(B117,[1]ID!$C$3:$D$100,2,FALSE)</f>
        <v>SEN</v>
      </c>
      <c r="D117" s="61" t="s">
        <v>952</v>
      </c>
      <c r="E117" s="61" t="s">
        <v>953</v>
      </c>
    </row>
    <row r="118" spans="1:5" x14ac:dyDescent="0.3">
      <c r="A118" s="62" t="s">
        <v>328</v>
      </c>
      <c r="B118" s="61" t="s">
        <v>328</v>
      </c>
      <c r="C118" s="60" t="str">
        <f>VLOOKUP(B118,[1]ID!$C$3:$D$100,2,FALSE)</f>
        <v>SEN</v>
      </c>
      <c r="D118" s="61" t="s">
        <v>954</v>
      </c>
      <c r="E118" s="61" t="s">
        <v>955</v>
      </c>
    </row>
    <row r="119" spans="1:5" x14ac:dyDescent="0.3">
      <c r="A119" s="62" t="s">
        <v>139</v>
      </c>
      <c r="B119" s="61" t="s">
        <v>328</v>
      </c>
      <c r="C119" s="60" t="str">
        <f>VLOOKUP(B119,[1]ID!$C$3:$D$100,2,FALSE)</f>
        <v>SEN</v>
      </c>
      <c r="D119" s="61" t="s">
        <v>956</v>
      </c>
      <c r="E119" s="61" t="s">
        <v>957</v>
      </c>
    </row>
    <row r="120" spans="1:5" x14ac:dyDescent="0.3">
      <c r="A120" s="62" t="s">
        <v>672</v>
      </c>
      <c r="B120" s="61" t="s">
        <v>328</v>
      </c>
      <c r="C120" s="60" t="str">
        <f>VLOOKUP(B120,[1]ID!$C$3:$D$100,2,FALSE)</f>
        <v>SEN</v>
      </c>
      <c r="D120" s="61" t="s">
        <v>958</v>
      </c>
      <c r="E120" s="61" t="s">
        <v>959</v>
      </c>
    </row>
    <row r="121" spans="1:5" x14ac:dyDescent="0.3">
      <c r="A121" s="62" t="s">
        <v>328</v>
      </c>
      <c r="B121" s="61" t="s">
        <v>328</v>
      </c>
      <c r="C121" s="60" t="str">
        <f>VLOOKUP(B121,[1]ID!$C$3:$D$100,2,FALSE)</f>
        <v>SEN</v>
      </c>
      <c r="D121" s="61" t="s">
        <v>960</v>
      </c>
      <c r="E121" s="61" t="s">
        <v>961</v>
      </c>
    </row>
    <row r="122" spans="1:5" x14ac:dyDescent="0.3">
      <c r="A122" s="60" t="s">
        <v>672</v>
      </c>
      <c r="B122" s="61" t="s">
        <v>328</v>
      </c>
      <c r="C122" s="60" t="str">
        <f>VLOOKUP(B122,[1]ID!$C$3:$D$100,2,FALSE)</f>
        <v>SEN</v>
      </c>
      <c r="D122" s="61" t="s">
        <v>962</v>
      </c>
      <c r="E122" s="61" t="s">
        <v>963</v>
      </c>
    </row>
    <row r="123" spans="1:5" x14ac:dyDescent="0.3">
      <c r="A123" s="62" t="s">
        <v>328</v>
      </c>
      <c r="B123" s="61" t="s">
        <v>328</v>
      </c>
      <c r="C123" s="60" t="str">
        <f>VLOOKUP(B123,[1]ID!$C$3:$D$100,2,FALSE)</f>
        <v>SEN</v>
      </c>
      <c r="D123" s="61" t="s">
        <v>964</v>
      </c>
      <c r="E123" s="61" t="s">
        <v>965</v>
      </c>
    </row>
    <row r="124" spans="1:5" x14ac:dyDescent="0.3">
      <c r="A124" s="62" t="s">
        <v>223</v>
      </c>
      <c r="B124" s="61" t="s">
        <v>328</v>
      </c>
      <c r="C124" s="60" t="str">
        <f>VLOOKUP(B124,[1]ID!$C$3:$D$100,2,FALSE)</f>
        <v>SEN</v>
      </c>
      <c r="D124" s="61" t="s">
        <v>966</v>
      </c>
      <c r="E124" s="61" t="s">
        <v>967</v>
      </c>
    </row>
    <row r="125" spans="1:5" x14ac:dyDescent="0.3">
      <c r="A125" s="60" t="s">
        <v>114</v>
      </c>
      <c r="B125" s="62" t="s">
        <v>476</v>
      </c>
      <c r="C125" s="60" t="str">
        <f>VLOOKUP(B125,[1]ID!$C$3:$D$100,2,FALSE)</f>
        <v>SCR</v>
      </c>
      <c r="D125" s="61" t="s">
        <v>968</v>
      </c>
      <c r="E125" s="61" t="s">
        <v>969</v>
      </c>
    </row>
    <row r="126" spans="1:5" x14ac:dyDescent="0.3">
      <c r="A126" s="60" t="s">
        <v>114</v>
      </c>
      <c r="B126" s="62" t="s">
        <v>476</v>
      </c>
      <c r="C126" s="60" t="str">
        <f>VLOOKUP(B126,[1]ID!$C$3:$D$100,2,FALSE)</f>
        <v>SCR</v>
      </c>
      <c r="D126" s="61" t="s">
        <v>970</v>
      </c>
      <c r="E126" s="61" t="s">
        <v>971</v>
      </c>
    </row>
    <row r="127" spans="1:5" x14ac:dyDescent="0.3">
      <c r="A127" s="62" t="s">
        <v>448</v>
      </c>
      <c r="B127" s="62" t="s">
        <v>476</v>
      </c>
      <c r="C127" s="60" t="str">
        <f>VLOOKUP(B127,[1]ID!$C$3:$D$100,2,FALSE)</f>
        <v>SCR</v>
      </c>
      <c r="D127" s="61" t="s">
        <v>972</v>
      </c>
      <c r="E127" s="61" t="s">
        <v>973</v>
      </c>
    </row>
    <row r="128" spans="1:5" x14ac:dyDescent="0.3">
      <c r="A128" s="62" t="s">
        <v>451</v>
      </c>
      <c r="B128" s="62" t="s">
        <v>476</v>
      </c>
      <c r="C128" s="60" t="str">
        <f>VLOOKUP(B128,[1]ID!$C$3:$D$100,2,FALSE)</f>
        <v>SCR</v>
      </c>
      <c r="D128" s="61" t="s">
        <v>974</v>
      </c>
      <c r="E128" s="61" t="s">
        <v>975</v>
      </c>
    </row>
    <row r="129" spans="1:5" x14ac:dyDescent="0.3">
      <c r="A129" s="60" t="s">
        <v>122</v>
      </c>
      <c r="B129" s="60" t="s">
        <v>476</v>
      </c>
      <c r="C129" s="60" t="str">
        <f>VLOOKUP(B129,[1]ID!$C$3:$D$100,2,FALSE)</f>
        <v>SCR</v>
      </c>
      <c r="D129" s="61" t="s">
        <v>976</v>
      </c>
      <c r="E129" s="61" t="s">
        <v>977</v>
      </c>
    </row>
    <row r="130" spans="1:5" x14ac:dyDescent="0.3">
      <c r="A130" s="62" t="s">
        <v>114</v>
      </c>
      <c r="B130" s="62" t="s">
        <v>476</v>
      </c>
      <c r="C130" s="60" t="str">
        <f>VLOOKUP(B130,[1]ID!$C$3:$D$100,2,FALSE)</f>
        <v>SCR</v>
      </c>
      <c r="D130" s="61" t="s">
        <v>978</v>
      </c>
      <c r="E130" s="61" t="s">
        <v>979</v>
      </c>
    </row>
    <row r="131" spans="1:5" x14ac:dyDescent="0.3">
      <c r="A131" s="61" t="s">
        <v>704</v>
      </c>
      <c r="B131" s="61" t="s">
        <v>688</v>
      </c>
      <c r="C131" s="60" t="e">
        <f>VLOOKUP(B131,[1]ID!$C$3:$D$100,2,FALSE)</f>
        <v>#N/A</v>
      </c>
      <c r="D131" s="61" t="s">
        <v>980</v>
      </c>
      <c r="E131" s="61" t="s">
        <v>981</v>
      </c>
    </row>
    <row r="132" spans="1:5" x14ac:dyDescent="0.3">
      <c r="A132" s="61" t="s">
        <v>603</v>
      </c>
      <c r="B132" s="61" t="s">
        <v>688</v>
      </c>
      <c r="C132" s="60" t="e">
        <f>VLOOKUP(B132,[1]ID!$C$3:$D$100,2,FALSE)</f>
        <v>#N/A</v>
      </c>
      <c r="D132" s="61" t="s">
        <v>982</v>
      </c>
      <c r="E132" s="61" t="s">
        <v>983</v>
      </c>
    </row>
    <row r="133" spans="1:5" x14ac:dyDescent="0.3">
      <c r="A133" s="60" t="s">
        <v>286</v>
      </c>
      <c r="B133" s="61" t="s">
        <v>688</v>
      </c>
      <c r="C133" s="60" t="e">
        <f>VLOOKUP(B133,[1]ID!$C$3:$D$100,2,FALSE)</f>
        <v>#N/A</v>
      </c>
      <c r="D133" s="61" t="s">
        <v>984</v>
      </c>
      <c r="E133" s="61" t="s">
        <v>985</v>
      </c>
    </row>
    <row r="134" spans="1:5" x14ac:dyDescent="0.3">
      <c r="A134" s="61" t="s">
        <v>688</v>
      </c>
      <c r="B134" s="61" t="s">
        <v>688</v>
      </c>
      <c r="C134" s="60" t="e">
        <f>VLOOKUP(B134,[1]ID!$C$3:$D$100,2,FALSE)</f>
        <v>#N/A</v>
      </c>
      <c r="D134" s="61" t="s">
        <v>986</v>
      </c>
      <c r="E134" s="61" t="s">
        <v>987</v>
      </c>
    </row>
    <row r="135" spans="1:5" x14ac:dyDescent="0.3">
      <c r="A135" s="62" t="s">
        <v>223</v>
      </c>
      <c r="B135" s="61" t="s">
        <v>688</v>
      </c>
      <c r="C135" s="60" t="e">
        <f>VLOOKUP(B135,[1]ID!$C$3:$D$100,2,FALSE)</f>
        <v>#N/A</v>
      </c>
      <c r="D135" s="61" t="s">
        <v>988</v>
      </c>
      <c r="E135" s="61" t="s">
        <v>989</v>
      </c>
    </row>
    <row r="136" spans="1:5" x14ac:dyDescent="0.3">
      <c r="A136" s="62" t="s">
        <v>648</v>
      </c>
      <c r="B136" s="62" t="s">
        <v>481</v>
      </c>
      <c r="C136" s="60" t="str">
        <f>VLOOKUP(B136,[1]ID!$C$3:$D$100,2,FALSE)</f>
        <v>SPN</v>
      </c>
      <c r="D136" s="61" t="s">
        <v>990</v>
      </c>
      <c r="E136" s="61" t="s">
        <v>991</v>
      </c>
    </row>
    <row r="137" spans="1:5" x14ac:dyDescent="0.3">
      <c r="A137" s="60" t="s">
        <v>335</v>
      </c>
      <c r="B137" s="60" t="s">
        <v>481</v>
      </c>
      <c r="C137" s="60" t="str">
        <f>VLOOKUP(B137,[1]ID!$C$3:$D$100,2,FALSE)</f>
        <v>SPN</v>
      </c>
      <c r="D137" s="61" t="s">
        <v>992</v>
      </c>
      <c r="E137" s="61" t="s">
        <v>993</v>
      </c>
    </row>
    <row r="138" spans="1:5" x14ac:dyDescent="0.3">
      <c r="A138" s="62" t="s">
        <v>342</v>
      </c>
      <c r="B138" s="62" t="s">
        <v>481</v>
      </c>
      <c r="C138" s="60" t="str">
        <f>VLOOKUP(B138,[1]ID!$C$3:$D$100,2,FALSE)</f>
        <v>SPN</v>
      </c>
      <c r="D138" s="61" t="s">
        <v>994</v>
      </c>
      <c r="E138" s="61" t="s">
        <v>995</v>
      </c>
    </row>
    <row r="139" spans="1:5" x14ac:dyDescent="0.3">
      <c r="A139" s="62" t="s">
        <v>484</v>
      </c>
      <c r="B139" s="62" t="s">
        <v>485</v>
      </c>
      <c r="C139" s="60" t="str">
        <f>VLOOKUP(B139,[1]ID!$C$3:$D$100,2,FALSE)</f>
        <v>SRA</v>
      </c>
      <c r="D139" s="61" t="s">
        <v>996</v>
      </c>
      <c r="E139" s="61" t="s">
        <v>997</v>
      </c>
    </row>
    <row r="140" spans="1:5" x14ac:dyDescent="0.3">
      <c r="A140" s="62" t="s">
        <v>322</v>
      </c>
      <c r="B140" s="62" t="s">
        <v>156</v>
      </c>
      <c r="C140" s="60" t="str">
        <f>VLOOKUP(B140,[1]ID!$C$3:$D$100,2,FALSE)</f>
        <v>SUP</v>
      </c>
      <c r="D140" s="61" t="s">
        <v>998</v>
      </c>
      <c r="E140" s="61" t="s">
        <v>999</v>
      </c>
    </row>
    <row r="141" spans="1:5" x14ac:dyDescent="0.3">
      <c r="A141" s="60" t="s">
        <v>691</v>
      </c>
      <c r="B141" s="60" t="s">
        <v>691</v>
      </c>
      <c r="C141" s="60" t="e">
        <f>VLOOKUP(B141,[1]ID!$C$3:$D$100,2,FALSE)</f>
        <v>#N/A</v>
      </c>
      <c r="D141" s="61" t="s">
        <v>1000</v>
      </c>
      <c r="E141" s="61" t="s">
        <v>1001</v>
      </c>
    </row>
    <row r="142" spans="1:5" x14ac:dyDescent="0.3">
      <c r="A142" s="60" t="s">
        <v>693</v>
      </c>
      <c r="B142" s="60" t="s">
        <v>693</v>
      </c>
      <c r="C142" s="60" t="e">
        <f>VLOOKUP(B142,[1]ID!$C$3:$D$100,2,FALSE)</f>
        <v>#N/A</v>
      </c>
      <c r="D142" s="61" t="s">
        <v>1002</v>
      </c>
      <c r="E142" s="61" t="s">
        <v>1003</v>
      </c>
    </row>
    <row r="143" spans="1:5" x14ac:dyDescent="0.3">
      <c r="A143" s="60" t="s">
        <v>112</v>
      </c>
      <c r="B143" s="60" t="s">
        <v>176</v>
      </c>
      <c r="C143" s="60" t="str">
        <f>VLOOKUP(B143,[1]ID!$C$3:$D$100,2,FALSE)</f>
        <v>TRA</v>
      </c>
      <c r="D143" s="61" t="s">
        <v>1004</v>
      </c>
      <c r="E143" s="61" t="s">
        <v>1005</v>
      </c>
    </row>
    <row r="144" spans="1:5" x14ac:dyDescent="0.3">
      <c r="A144" s="62" t="s">
        <v>492</v>
      </c>
      <c r="B144" s="62" t="s">
        <v>492</v>
      </c>
      <c r="C144" s="60" t="str">
        <f>VLOOKUP(B144,[1]ID!$C$3:$D$100,2,FALSE)</f>
        <v>TTD</v>
      </c>
      <c r="D144" s="61" t="s">
        <v>1006</v>
      </c>
      <c r="E144" s="61" t="s">
        <v>1007</v>
      </c>
    </row>
    <row r="145" spans="1:5" x14ac:dyDescent="0.3">
      <c r="A145" s="62" t="s">
        <v>286</v>
      </c>
      <c r="B145" s="62" t="s">
        <v>105</v>
      </c>
      <c r="C145" s="60" t="str">
        <f>VLOOKUP(B145,[1]ID!$C$3:$D$100,2,FALSE)</f>
        <v>UPS</v>
      </c>
      <c r="D145" s="61" t="s">
        <v>1008</v>
      </c>
      <c r="E145" s="61" t="s">
        <v>1009</v>
      </c>
    </row>
    <row r="146" spans="1:5" x14ac:dyDescent="0.3">
      <c r="A146" s="60" t="s">
        <v>112</v>
      </c>
      <c r="B146" s="60" t="s">
        <v>105</v>
      </c>
      <c r="C146" s="60" t="str">
        <f>VLOOKUP(B146,[1]ID!$C$3:$D$100,2,FALSE)</f>
        <v>UPS</v>
      </c>
      <c r="D146" s="61" t="s">
        <v>1010</v>
      </c>
      <c r="E146" s="61" t="s">
        <v>1011</v>
      </c>
    </row>
    <row r="147" spans="1:5" x14ac:dyDescent="0.3">
      <c r="A147" s="60" t="s">
        <v>146</v>
      </c>
      <c r="B147" s="60" t="s">
        <v>25</v>
      </c>
      <c r="C147" s="60" t="str">
        <f>VLOOKUP(B147,[1]ID!$C$3:$D$100,2,FALSE)</f>
        <v>VLV</v>
      </c>
      <c r="D147" s="61" t="s">
        <v>1012</v>
      </c>
      <c r="E147" s="61" t="s">
        <v>1013</v>
      </c>
    </row>
    <row r="148" spans="1:5" x14ac:dyDescent="0.3">
      <c r="A148" s="60" t="s">
        <v>147</v>
      </c>
      <c r="B148" s="60" t="s">
        <v>25</v>
      </c>
      <c r="C148" s="60" t="str">
        <f>VLOOKUP(B148,[1]ID!$C$3:$D$100,2,FALSE)</f>
        <v>VLV</v>
      </c>
      <c r="D148" s="61" t="s">
        <v>1014</v>
      </c>
      <c r="E148" s="61" t="s">
        <v>1015</v>
      </c>
    </row>
    <row r="149" spans="1:5" x14ac:dyDescent="0.3">
      <c r="A149" s="60" t="s">
        <v>145</v>
      </c>
      <c r="B149" s="60" t="s">
        <v>25</v>
      </c>
      <c r="C149" s="60" t="str">
        <f>VLOOKUP(B149,[1]ID!$C$3:$D$100,2,FALSE)</f>
        <v>VLV</v>
      </c>
      <c r="D149" s="61" t="s">
        <v>1016</v>
      </c>
      <c r="E149" s="61" t="s">
        <v>1017</v>
      </c>
    </row>
    <row r="150" spans="1:5" x14ac:dyDescent="0.3">
      <c r="A150" s="60" t="s">
        <v>323</v>
      </c>
      <c r="B150" s="60" t="s">
        <v>25</v>
      </c>
      <c r="C150" s="60" t="str">
        <f>VLOOKUP(B150,[1]ID!$C$3:$D$100,2,FALSE)</f>
        <v>VLV</v>
      </c>
      <c r="D150" s="61" t="s">
        <v>1018</v>
      </c>
      <c r="E150" s="61" t="s">
        <v>1019</v>
      </c>
    </row>
    <row r="151" spans="1:5" x14ac:dyDescent="0.3">
      <c r="A151" s="60" t="s">
        <v>240</v>
      </c>
      <c r="B151" s="60" t="s">
        <v>25</v>
      </c>
      <c r="C151" s="60" t="str">
        <f>VLOOKUP(B151,[1]ID!$C$3:$D$100,2,FALSE)</f>
        <v>VLV</v>
      </c>
      <c r="D151" s="61" t="s">
        <v>1020</v>
      </c>
      <c r="E151" s="61" t="s">
        <v>1021</v>
      </c>
    </row>
    <row r="152" spans="1:5" x14ac:dyDescent="0.3">
      <c r="A152" s="60" t="s">
        <v>350</v>
      </c>
      <c r="B152" s="60" t="s">
        <v>25</v>
      </c>
      <c r="C152" s="60" t="str">
        <f>VLOOKUP(B152,[1]ID!$C$3:$D$100,2,FALSE)</f>
        <v>VLV</v>
      </c>
      <c r="D152" s="61" t="s">
        <v>1022</v>
      </c>
      <c r="E152" s="61" t="s">
        <v>1023</v>
      </c>
    </row>
    <row r="153" spans="1:5" x14ac:dyDescent="0.3">
      <c r="A153" s="60" t="s">
        <v>351</v>
      </c>
      <c r="B153" s="60" t="s">
        <v>25</v>
      </c>
      <c r="C153" s="60" t="str">
        <f>VLOOKUP(B153,[1]ID!$C$3:$D$100,2,FALSE)</f>
        <v>VLV</v>
      </c>
      <c r="D153" s="61" t="s">
        <v>1024</v>
      </c>
      <c r="E153" s="61" t="s">
        <v>1025</v>
      </c>
    </row>
    <row r="154" spans="1:5" x14ac:dyDescent="0.3">
      <c r="A154" s="61" t="s">
        <v>704</v>
      </c>
      <c r="B154" s="61" t="s">
        <v>25</v>
      </c>
      <c r="C154" s="60" t="str">
        <f>VLOOKUP(B154,[1]ID!$C$3:$D$100,2,FALSE)</f>
        <v>VLV</v>
      </c>
      <c r="D154" s="61" t="s">
        <v>1026</v>
      </c>
      <c r="E154" s="61" t="s">
        <v>1027</v>
      </c>
    </row>
    <row r="155" spans="1:5" x14ac:dyDescent="0.3">
      <c r="A155" s="60" t="s">
        <v>157</v>
      </c>
      <c r="B155" s="60" t="s">
        <v>25</v>
      </c>
      <c r="C155" s="60" t="str">
        <f>VLOOKUP(B155,[1]ID!$C$3:$D$100,2,FALSE)</f>
        <v>VLV</v>
      </c>
      <c r="D155" s="61" t="s">
        <v>1028</v>
      </c>
      <c r="E155" s="61" t="s">
        <v>1029</v>
      </c>
    </row>
    <row r="156" spans="1:5" x14ac:dyDescent="0.3">
      <c r="A156" s="62" t="s">
        <v>448</v>
      </c>
      <c r="B156" s="62" t="s">
        <v>25</v>
      </c>
      <c r="C156" s="60" t="str">
        <f>VLOOKUP(B156,[1]ID!$C$3:$D$100,2,FALSE)</f>
        <v>VLV</v>
      </c>
      <c r="D156" s="61" t="s">
        <v>1030</v>
      </c>
      <c r="E156" s="61" t="s">
        <v>1031</v>
      </c>
    </row>
    <row r="157" spans="1:5" x14ac:dyDescent="0.3">
      <c r="A157" s="62" t="s">
        <v>451</v>
      </c>
      <c r="B157" s="62" t="s">
        <v>25</v>
      </c>
      <c r="C157" s="60" t="str">
        <f>VLOOKUP(B157,[1]ID!$C$3:$D$100,2,FALSE)</f>
        <v>VLV</v>
      </c>
      <c r="D157" s="61" t="s">
        <v>1032</v>
      </c>
      <c r="E157" s="61" t="s">
        <v>1033</v>
      </c>
    </row>
    <row r="158" spans="1:5" x14ac:dyDescent="0.3">
      <c r="A158" s="62" t="s">
        <v>475</v>
      </c>
      <c r="B158" s="62" t="s">
        <v>25</v>
      </c>
      <c r="C158" s="60" t="str">
        <f>VLOOKUP(B158,[1]ID!$C$3:$D$100,2,FALSE)</f>
        <v>VLV</v>
      </c>
      <c r="D158" s="61" t="s">
        <v>1034</v>
      </c>
      <c r="E158" s="61" t="s">
        <v>1035</v>
      </c>
    </row>
    <row r="159" spans="1:5" x14ac:dyDescent="0.3">
      <c r="A159" s="62" t="s">
        <v>480</v>
      </c>
      <c r="B159" s="62" t="s">
        <v>25</v>
      </c>
      <c r="C159" s="60" t="str">
        <f>VLOOKUP(B159,[1]ID!$C$3:$D$100,2,FALSE)</f>
        <v>VLV</v>
      </c>
      <c r="D159" s="61" t="s">
        <v>1036</v>
      </c>
      <c r="E159" s="61" t="s">
        <v>1037</v>
      </c>
    </row>
    <row r="160" spans="1:5" x14ac:dyDescent="0.3">
      <c r="A160" s="62" t="s">
        <v>452</v>
      </c>
      <c r="B160" s="62" t="s">
        <v>25</v>
      </c>
      <c r="C160" s="60" t="str">
        <f>VLOOKUP(B160,[1]ID!$C$3:$D$100,2,FALSE)</f>
        <v>VLV</v>
      </c>
      <c r="D160" s="61" t="s">
        <v>1038</v>
      </c>
      <c r="E160" s="61" t="s">
        <v>1039</v>
      </c>
    </row>
    <row r="161" spans="1:5" x14ac:dyDescent="0.3">
      <c r="A161" s="62" t="s">
        <v>25</v>
      </c>
      <c r="B161" s="62" t="s">
        <v>25</v>
      </c>
      <c r="C161" s="60" t="str">
        <f>VLOOKUP(B161,[1]ID!$C$3:$D$100,2,FALSE)</f>
        <v>VLV</v>
      </c>
      <c r="D161" s="61" t="s">
        <v>1040</v>
      </c>
      <c r="E161" s="61" t="s">
        <v>1041</v>
      </c>
    </row>
    <row r="162" spans="1:5" x14ac:dyDescent="0.3">
      <c r="A162" s="62" t="s">
        <v>323</v>
      </c>
      <c r="B162" s="62" t="s">
        <v>25</v>
      </c>
      <c r="C162" s="60" t="str">
        <f>VLOOKUP(B162,[1]ID!$C$3:$D$100,2,FALSE)</f>
        <v>VLV</v>
      </c>
      <c r="D162" s="61" t="s">
        <v>1042</v>
      </c>
      <c r="E162" s="61" t="s">
        <v>1043</v>
      </c>
    </row>
    <row r="163" spans="1:5" x14ac:dyDescent="0.3">
      <c r="A163" s="60" t="s">
        <v>656</v>
      </c>
      <c r="B163" s="62" t="s">
        <v>25</v>
      </c>
      <c r="C163" s="60" t="str">
        <f>VLOOKUP(B163,[1]ID!$C$3:$D$100,2,FALSE)</f>
        <v>VLV</v>
      </c>
      <c r="D163" s="61" t="s">
        <v>1044</v>
      </c>
      <c r="E163" s="61" t="s">
        <v>1045</v>
      </c>
    </row>
    <row r="164" spans="1:5" x14ac:dyDescent="0.3">
      <c r="A164" s="62" t="s">
        <v>662</v>
      </c>
      <c r="B164" s="62" t="s">
        <v>25</v>
      </c>
      <c r="C164" s="60" t="str">
        <f>VLOOKUP(B164,[1]ID!$C$3:$D$100,2,FALSE)</f>
        <v>VLV</v>
      </c>
      <c r="D164" s="61" t="s">
        <v>1046</v>
      </c>
      <c r="E164" s="61" t="s">
        <v>1047</v>
      </c>
    </row>
    <row r="165" spans="1:5" x14ac:dyDescent="0.3">
      <c r="A165" s="60" t="s">
        <v>236</v>
      </c>
      <c r="B165" s="62" t="s">
        <v>25</v>
      </c>
      <c r="C165" s="60" t="str">
        <f>VLOOKUP(B165,[1]ID!$C$3:$D$100,2,FALSE)</f>
        <v>VLV</v>
      </c>
      <c r="D165" s="61" t="s">
        <v>1048</v>
      </c>
      <c r="E165" s="61" t="s">
        <v>1049</v>
      </c>
    </row>
    <row r="166" spans="1:5" x14ac:dyDescent="0.3">
      <c r="A166" s="60" t="s">
        <v>691</v>
      </c>
      <c r="B166" s="62" t="s">
        <v>25</v>
      </c>
      <c r="C166" s="60" t="str">
        <f>VLOOKUP(B166,[1]ID!$C$3:$D$100,2,FALSE)</f>
        <v>VLV</v>
      </c>
      <c r="D166" s="61" t="s">
        <v>1050</v>
      </c>
      <c r="E166" s="61" t="s">
        <v>1051</v>
      </c>
    </row>
    <row r="167" spans="1:5" x14ac:dyDescent="0.3">
      <c r="A167" s="60" t="s">
        <v>693</v>
      </c>
      <c r="B167" s="62" t="s">
        <v>25</v>
      </c>
      <c r="C167" s="60" t="str">
        <f>VLOOKUP(B167,[1]ID!$C$3:$D$100,2,FALSE)</f>
        <v>VLV</v>
      </c>
      <c r="D167" s="61" t="s">
        <v>1052</v>
      </c>
      <c r="E167" s="61" t="s">
        <v>1053</v>
      </c>
    </row>
    <row r="168" spans="1:5" x14ac:dyDescent="0.3">
      <c r="A168" s="60" t="s">
        <v>697</v>
      </c>
      <c r="B168" s="62" t="s">
        <v>25</v>
      </c>
      <c r="C168" s="60" t="str">
        <f>VLOOKUP(B168,[1]ID!$C$3:$D$100,2,FALSE)</f>
        <v>VLV</v>
      </c>
      <c r="D168" s="61" t="s">
        <v>1054</v>
      </c>
      <c r="E168" s="61" t="s">
        <v>1055</v>
      </c>
    </row>
    <row r="169" spans="1:5" x14ac:dyDescent="0.3">
      <c r="A169" s="62" t="s">
        <v>223</v>
      </c>
      <c r="B169" s="62" t="s">
        <v>25</v>
      </c>
      <c r="C169" s="60" t="str">
        <f>VLOOKUP(B169,[1]ID!$C$3:$D$100,2,FALSE)</f>
        <v>VLV</v>
      </c>
      <c r="D169" s="61" t="s">
        <v>1056</v>
      </c>
      <c r="E169" s="61" t="s">
        <v>1057</v>
      </c>
    </row>
    <row r="170" spans="1:5" x14ac:dyDescent="0.3">
      <c r="A170" s="60" t="s">
        <v>25</v>
      </c>
      <c r="B170" s="62" t="s">
        <v>25</v>
      </c>
      <c r="C170" s="60" t="str">
        <f>VLOOKUP(B170,[1]ID!$C$3:$D$100,2,FALSE)</f>
        <v>VLV</v>
      </c>
      <c r="D170" s="61" t="s">
        <v>1058</v>
      </c>
      <c r="E170" s="61" t="s">
        <v>1059</v>
      </c>
    </row>
    <row r="171" spans="1:5" x14ac:dyDescent="0.3">
      <c r="A171" s="60" t="s">
        <v>240</v>
      </c>
      <c r="B171" s="62" t="s">
        <v>25</v>
      </c>
      <c r="C171" s="60" t="str">
        <f>VLOOKUP(B171,[1]ID!$C$3:$D$100,2,FALSE)</f>
        <v>VLV</v>
      </c>
      <c r="D171" s="61" t="s">
        <v>1060</v>
      </c>
      <c r="E171" s="61" t="s">
        <v>1061</v>
      </c>
    </row>
    <row r="172" spans="1:5" x14ac:dyDescent="0.3">
      <c r="A172" s="60" t="s">
        <v>236</v>
      </c>
      <c r="B172" s="62" t="s">
        <v>25</v>
      </c>
      <c r="C172" s="60" t="str">
        <f>VLOOKUP(B172,[1]ID!$C$3:$D$100,2,FALSE)</f>
        <v>VLV</v>
      </c>
      <c r="D172" s="61" t="s">
        <v>1062</v>
      </c>
      <c r="E172" s="61" t="s">
        <v>1063</v>
      </c>
    </row>
    <row r="173" spans="1:5" x14ac:dyDescent="0.3">
      <c r="A173" s="62" t="s">
        <v>656</v>
      </c>
      <c r="B173" s="62" t="s">
        <v>25</v>
      </c>
      <c r="C173" s="60" t="str">
        <f>VLOOKUP(B173,[1]ID!$C$3:$D$100,2,FALSE)</f>
        <v>VLV</v>
      </c>
      <c r="D173" s="61" t="s">
        <v>1064</v>
      </c>
      <c r="E173" s="61" t="s">
        <v>1065</v>
      </c>
    </row>
    <row r="174" spans="1:5" x14ac:dyDescent="0.3">
      <c r="A174" s="62" t="s">
        <v>662</v>
      </c>
      <c r="B174" s="62" t="s">
        <v>25</v>
      </c>
      <c r="C174" s="60" t="str">
        <f>VLOOKUP(B174,[1]ID!$C$3:$D$100,2,FALSE)</f>
        <v>VLV</v>
      </c>
      <c r="D174" s="61" t="s">
        <v>1066</v>
      </c>
      <c r="E174" s="61" t="s">
        <v>1067</v>
      </c>
    </row>
    <row r="175" spans="1:5" x14ac:dyDescent="0.3">
      <c r="A175" s="62" t="s">
        <v>223</v>
      </c>
      <c r="B175" s="62" t="s">
        <v>25</v>
      </c>
      <c r="C175" s="60" t="str">
        <f>VLOOKUP(B175,[1]ID!$C$3:$D$100,2,FALSE)</f>
        <v>VLV</v>
      </c>
      <c r="D175" s="61" t="s">
        <v>1068</v>
      </c>
      <c r="E175" s="61" t="s">
        <v>1069</v>
      </c>
    </row>
    <row r="176" spans="1:5" x14ac:dyDescent="0.3">
      <c r="A176" s="60" t="s">
        <v>656</v>
      </c>
      <c r="B176" s="62" t="s">
        <v>25</v>
      </c>
      <c r="C176" s="60" t="str">
        <f>VLOOKUP(B176,[1]ID!$C$3:$D$100,2,FALSE)</f>
        <v>VLV</v>
      </c>
      <c r="D176" s="61" t="s">
        <v>1070</v>
      </c>
      <c r="E176" s="61" t="s">
        <v>1071</v>
      </c>
    </row>
    <row r="177" spans="1:5" x14ac:dyDescent="0.3">
      <c r="A177" s="62" t="s">
        <v>662</v>
      </c>
      <c r="B177" s="62" t="s">
        <v>25</v>
      </c>
      <c r="C177" s="60" t="str">
        <f>VLOOKUP(B177,[1]ID!$C$3:$D$100,2,FALSE)</f>
        <v>VLV</v>
      </c>
      <c r="D177" s="61" t="s">
        <v>1072</v>
      </c>
      <c r="E177" s="61" t="s">
        <v>1073</v>
      </c>
    </row>
    <row r="178" spans="1:5" x14ac:dyDescent="0.3">
      <c r="A178" s="62" t="s">
        <v>321</v>
      </c>
      <c r="B178" s="62" t="s">
        <v>26</v>
      </c>
      <c r="C178" s="60" t="str">
        <f>VLOOKUP(B178,[1]ID!$C$3:$D$100,2,FALSE)</f>
        <v>VEN</v>
      </c>
      <c r="D178" s="61" t="s">
        <v>1074</v>
      </c>
      <c r="E178" s="61" t="s">
        <v>1075</v>
      </c>
    </row>
    <row r="179" spans="1:5" x14ac:dyDescent="0.3">
      <c r="A179" s="60" t="s">
        <v>225</v>
      </c>
      <c r="B179" s="60" t="s">
        <v>106</v>
      </c>
      <c r="C179" s="60" t="str">
        <f>VLOOKUP(B179,[1]ID!$C$3:$D$100,2,FALSE)</f>
        <v>VCA</v>
      </c>
      <c r="D179" s="61" t="s">
        <v>1076</v>
      </c>
      <c r="E179" s="61" t="s">
        <v>1077</v>
      </c>
    </row>
    <row r="180" spans="1:5" x14ac:dyDescent="0.3">
      <c r="A180" s="60" t="s">
        <v>703</v>
      </c>
      <c r="B180" s="60" t="s">
        <v>106</v>
      </c>
      <c r="C180" s="60" t="str">
        <f>VLOOKUP(B180,[1]ID!$C$3:$D$100,2,FALSE)</f>
        <v>VCA</v>
      </c>
      <c r="D180" s="61" t="s">
        <v>1078</v>
      </c>
      <c r="E180" s="61" t="s">
        <v>1079</v>
      </c>
    </row>
    <row r="181" spans="1:5" x14ac:dyDescent="0.3">
      <c r="A181" s="60"/>
      <c r="B181" s="60"/>
      <c r="C181" s="60"/>
      <c r="D181" s="61"/>
      <c r="E181" s="61" t="s">
        <v>1080</v>
      </c>
    </row>
    <row r="182" spans="1:5" x14ac:dyDescent="0.3">
      <c r="A182"/>
      <c r="B182"/>
      <c r="C182"/>
    </row>
    <row r="183" spans="1:5" x14ac:dyDescent="0.3">
      <c r="A183"/>
      <c r="B183"/>
      <c r="C183"/>
    </row>
    <row r="184" spans="1:5" x14ac:dyDescent="0.3">
      <c r="A184"/>
      <c r="B184"/>
      <c r="C184"/>
    </row>
    <row r="185" spans="1:5" x14ac:dyDescent="0.3">
      <c r="A185"/>
      <c r="B185"/>
      <c r="C185"/>
    </row>
    <row r="186" spans="1:5" x14ac:dyDescent="0.3">
      <c r="A186"/>
      <c r="B186"/>
      <c r="C186"/>
    </row>
    <row r="187" spans="1:5" x14ac:dyDescent="0.3">
      <c r="A187"/>
      <c r="B187"/>
      <c r="C187"/>
    </row>
    <row r="188" spans="1:5" x14ac:dyDescent="0.3">
      <c r="A188"/>
      <c r="B188"/>
      <c r="C188"/>
    </row>
    <row r="189" spans="1:5" x14ac:dyDescent="0.3">
      <c r="A189"/>
      <c r="B189"/>
      <c r="C189"/>
    </row>
    <row r="190" spans="1:5" x14ac:dyDescent="0.3">
      <c r="A190"/>
      <c r="B190"/>
      <c r="C190"/>
    </row>
    <row r="191" spans="1:5" x14ac:dyDescent="0.3">
      <c r="A191"/>
      <c r="B191"/>
      <c r="C191"/>
    </row>
    <row r="192" spans="1:5" x14ac:dyDescent="0.3">
      <c r="A192"/>
      <c r="B192"/>
      <c r="C192"/>
    </row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P81"/>
  <sheetViews>
    <sheetView workbookViewId="0"/>
  </sheetViews>
  <sheetFormatPr defaultColWidth="8.88671875" defaultRowHeight="14.4" x14ac:dyDescent="0.3"/>
  <cols>
    <col min="1" max="1" width="32.88671875" style="3" customWidth="1"/>
    <col min="2" max="2" width="8.88671875" style="3"/>
    <col min="3" max="3" width="33.44140625" style="3" customWidth="1"/>
    <col min="4" max="4" width="8.88671875" style="3"/>
    <col min="5" max="5" width="41.88671875" style="3" customWidth="1"/>
    <col min="6" max="6" width="8.88671875" style="3"/>
    <col min="7" max="7" width="46.88671875" style="3" customWidth="1"/>
    <col min="8" max="8" width="8.88671875" style="3"/>
    <col min="9" max="9" width="36.44140625" style="3" customWidth="1"/>
    <col min="10" max="10" width="8.88671875" style="3"/>
    <col min="11" max="11" width="23.88671875" style="3" customWidth="1"/>
    <col min="12" max="15" width="8.88671875" style="3"/>
    <col min="16" max="16" width="37.109375" style="3" customWidth="1"/>
    <col min="17" max="16384" width="8.88671875" style="3"/>
  </cols>
  <sheetData>
    <row r="1" spans="1:16" s="51" customFormat="1" ht="35.25" customHeight="1" x14ac:dyDescent="0.35">
      <c r="A1" s="50" t="s">
        <v>9</v>
      </c>
      <c r="B1" s="50"/>
      <c r="C1" s="50" t="s">
        <v>227</v>
      </c>
      <c r="D1" s="50"/>
      <c r="E1" s="50" t="s">
        <v>11</v>
      </c>
      <c r="F1" s="50"/>
      <c r="G1" s="50" t="s">
        <v>0</v>
      </c>
      <c r="H1" s="50"/>
      <c r="I1" s="50" t="s">
        <v>1</v>
      </c>
      <c r="J1" s="50"/>
      <c r="K1" s="50" t="s">
        <v>107</v>
      </c>
    </row>
    <row r="2" spans="1:16" x14ac:dyDescent="0.3">
      <c r="B2" s="52" t="s">
        <v>10</v>
      </c>
      <c r="C2" s="52"/>
      <c r="D2" s="52" t="s">
        <v>10</v>
      </c>
      <c r="E2" s="52"/>
      <c r="F2" s="52" t="s">
        <v>10</v>
      </c>
      <c r="G2" s="52"/>
      <c r="H2" s="52" t="s">
        <v>10</v>
      </c>
      <c r="I2" s="52"/>
      <c r="J2" s="52" t="s">
        <v>10</v>
      </c>
      <c r="K2" s="52"/>
      <c r="L2" s="52"/>
      <c r="M2" s="52"/>
    </row>
    <row r="3" spans="1:16" x14ac:dyDescent="0.3">
      <c r="A3" s="3" t="s">
        <v>228</v>
      </c>
      <c r="B3" s="3" t="s">
        <v>47</v>
      </c>
      <c r="C3" s="3" t="s">
        <v>229</v>
      </c>
      <c r="D3" s="3" t="s">
        <v>416</v>
      </c>
      <c r="E3" s="3" t="s">
        <v>324</v>
      </c>
      <c r="F3" s="3" t="s">
        <v>325</v>
      </c>
      <c r="G3" s="3" t="s">
        <v>610</v>
      </c>
      <c r="H3" s="3" t="s">
        <v>611</v>
      </c>
      <c r="I3" s="3" t="s">
        <v>149</v>
      </c>
      <c r="J3" s="3" t="s">
        <v>209</v>
      </c>
      <c r="P3" s="3" t="str">
        <f>CONCATENATE(B3, "-", D3, "-", H27, "-", H3, "-", J3, "-", K3)</f>
        <v>ADU-AM-CLC-ACT-AEL-</v>
      </c>
    </row>
    <row r="4" spans="1:16" x14ac:dyDescent="0.3">
      <c r="A4" s="3" t="s">
        <v>37</v>
      </c>
      <c r="B4" s="3" t="s">
        <v>46</v>
      </c>
      <c r="C4" s="3" t="s">
        <v>417</v>
      </c>
      <c r="D4" s="3" t="s">
        <v>418</v>
      </c>
      <c r="E4" s="3" t="s">
        <v>146</v>
      </c>
      <c r="F4" s="3" t="s">
        <v>173</v>
      </c>
      <c r="G4" s="3" t="s">
        <v>612</v>
      </c>
      <c r="H4" s="3" t="s">
        <v>163</v>
      </c>
      <c r="I4" s="3" t="s">
        <v>613</v>
      </c>
      <c r="J4" s="3" t="s">
        <v>198</v>
      </c>
      <c r="P4" s="3" t="str">
        <f>CONCATENATE(B4, "-", D4, "-", H29, "-", H4, "-", J4, "-", K4)</f>
        <v>CD-BEL-CPC-ACL-AEP-</v>
      </c>
    </row>
    <row r="5" spans="1:16" x14ac:dyDescent="0.3">
      <c r="A5" s="3" t="s">
        <v>231</v>
      </c>
      <c r="B5" s="3" t="s">
        <v>45</v>
      </c>
      <c r="C5" s="3" t="s">
        <v>419</v>
      </c>
      <c r="D5" s="3" t="s">
        <v>420</v>
      </c>
      <c r="E5" s="3" t="s">
        <v>230</v>
      </c>
      <c r="F5" s="3" t="s">
        <v>172</v>
      </c>
      <c r="G5" s="53" t="s">
        <v>149</v>
      </c>
      <c r="H5" s="3" t="s">
        <v>209</v>
      </c>
      <c r="I5" s="3" t="s">
        <v>421</v>
      </c>
      <c r="J5" s="3" t="s">
        <v>422</v>
      </c>
      <c r="P5" s="3" t="str">
        <f>CONCATENATE(B5, "-", D5, "-", F59, "-", H5, "-", J5, "-", K5)</f>
        <v>ETAS-BSD-STC-AEL-ALM-</v>
      </c>
    </row>
    <row r="6" spans="1:16" x14ac:dyDescent="0.3">
      <c r="A6" s="3" t="s">
        <v>43</v>
      </c>
      <c r="B6" s="3" t="s">
        <v>44</v>
      </c>
      <c r="C6" s="3" t="s">
        <v>48</v>
      </c>
      <c r="D6" s="3" t="s">
        <v>83</v>
      </c>
      <c r="E6" s="3" t="s">
        <v>232</v>
      </c>
      <c r="F6" s="3" t="s">
        <v>171</v>
      </c>
      <c r="G6" s="3" t="s">
        <v>131</v>
      </c>
      <c r="H6" s="3" t="s">
        <v>12</v>
      </c>
      <c r="I6" s="3" t="s">
        <v>614</v>
      </c>
      <c r="J6" s="3" t="s">
        <v>163</v>
      </c>
      <c r="P6" s="3" t="str">
        <f t="shared" ref="P6:P43" si="0">CONCATENATE(B6, "-", D6, "-", F6, "-", H6, "-", J6, "-", K6)</f>
        <v>ETAU-BH-AGS-AGI-ACL-</v>
      </c>
    </row>
    <row r="7" spans="1:16" x14ac:dyDescent="0.3">
      <c r="A7" s="3" t="s">
        <v>38</v>
      </c>
      <c r="B7" s="3" t="s">
        <v>59</v>
      </c>
      <c r="C7" s="3" t="s">
        <v>108</v>
      </c>
      <c r="D7" s="3" t="s">
        <v>109</v>
      </c>
      <c r="E7" s="3" t="s">
        <v>354</v>
      </c>
      <c r="F7" s="3" t="s">
        <v>174</v>
      </c>
      <c r="G7" s="3" t="s">
        <v>146</v>
      </c>
      <c r="H7" s="3" t="s">
        <v>173</v>
      </c>
      <c r="I7" s="54" t="s">
        <v>615</v>
      </c>
      <c r="J7" s="3" t="s">
        <v>423</v>
      </c>
      <c r="P7" s="3" t="str">
        <f>CONCATENATE(D24, "-", D7, "-", F7, "-", H7, "-", J7, "-", K7)</f>
        <v>EQ-BA-AGF-AGL-AOX-</v>
      </c>
    </row>
    <row r="8" spans="1:16" x14ac:dyDescent="0.3">
      <c r="C8" s="3" t="s">
        <v>49</v>
      </c>
      <c r="D8" s="3" t="s">
        <v>75</v>
      </c>
      <c r="E8" s="3" t="s">
        <v>326</v>
      </c>
      <c r="F8" s="3" t="s">
        <v>327</v>
      </c>
      <c r="G8" s="3" t="s">
        <v>230</v>
      </c>
      <c r="H8" s="3" t="s">
        <v>172</v>
      </c>
      <c r="I8" s="54" t="s">
        <v>616</v>
      </c>
      <c r="J8" s="3" t="s">
        <v>424</v>
      </c>
      <c r="P8" s="3" t="e">
        <f>CONCATENATE(B8, "-", D8, "-", H28, "-",#REF!, "-", J8, "-", K8)</f>
        <v>#REF!</v>
      </c>
    </row>
    <row r="9" spans="1:16" x14ac:dyDescent="0.3">
      <c r="C9" s="3" t="s">
        <v>323</v>
      </c>
      <c r="D9" s="3" t="s">
        <v>617</v>
      </c>
      <c r="E9" s="3" t="s">
        <v>99</v>
      </c>
      <c r="F9" s="3" t="s">
        <v>310</v>
      </c>
      <c r="G9" s="3" t="s">
        <v>232</v>
      </c>
      <c r="H9" s="3" t="s">
        <v>171</v>
      </c>
      <c r="I9" s="3" t="s">
        <v>618</v>
      </c>
      <c r="J9" s="3" t="s">
        <v>425</v>
      </c>
      <c r="P9" s="3" t="e">
        <f>CONCATENATE(B9, "-", D9, "-", F9, "-",#REF!, "-", J9, "-", K9)</f>
        <v>#REF!</v>
      </c>
    </row>
    <row r="10" spans="1:16" x14ac:dyDescent="0.3">
      <c r="C10" s="3" t="s">
        <v>233</v>
      </c>
      <c r="D10" s="3" t="s">
        <v>619</v>
      </c>
      <c r="E10" s="3" t="s">
        <v>145</v>
      </c>
      <c r="F10" s="3" t="s">
        <v>175</v>
      </c>
      <c r="G10" s="3" t="s">
        <v>147</v>
      </c>
      <c r="H10" s="3" t="s">
        <v>174</v>
      </c>
      <c r="I10" s="3" t="s">
        <v>620</v>
      </c>
      <c r="J10" s="3" t="s">
        <v>501</v>
      </c>
      <c r="P10" s="3" t="str">
        <f t="shared" si="0"/>
        <v>-INS-ARL-AGF-ATU-</v>
      </c>
    </row>
    <row r="11" spans="1:16" x14ac:dyDescent="0.3">
      <c r="C11" s="3" t="s">
        <v>705</v>
      </c>
      <c r="D11" s="3" t="s">
        <v>169</v>
      </c>
      <c r="E11" s="3" t="s">
        <v>417</v>
      </c>
      <c r="F11" s="3" t="s">
        <v>418</v>
      </c>
      <c r="G11" s="3" t="s">
        <v>352</v>
      </c>
      <c r="H11" s="3" t="s">
        <v>621</v>
      </c>
      <c r="I11" s="3" t="s">
        <v>426</v>
      </c>
      <c r="J11" s="3" t="s">
        <v>427</v>
      </c>
      <c r="P11" s="3" t="str">
        <f t="shared" si="0"/>
        <v>-CM1-BEL-AGM-BAL-</v>
      </c>
    </row>
    <row r="12" spans="1:16" x14ac:dyDescent="0.3">
      <c r="C12" s="3" t="s">
        <v>706</v>
      </c>
      <c r="D12" s="3" t="s">
        <v>170</v>
      </c>
      <c r="E12" s="3" t="s">
        <v>419</v>
      </c>
      <c r="F12" s="3" t="s">
        <v>420</v>
      </c>
      <c r="G12" s="3" t="s">
        <v>421</v>
      </c>
      <c r="H12" s="3" t="s">
        <v>422</v>
      </c>
      <c r="I12" s="3" t="s">
        <v>622</v>
      </c>
      <c r="J12" s="3" t="s">
        <v>314</v>
      </c>
      <c r="P12" s="3" t="str">
        <f t="shared" si="0"/>
        <v>-CM2-BSD-ALM-BBA-</v>
      </c>
    </row>
    <row r="13" spans="1:16" x14ac:dyDescent="0.3">
      <c r="C13" s="3" t="s">
        <v>599</v>
      </c>
      <c r="D13" s="3" t="s">
        <v>600</v>
      </c>
      <c r="E13" s="3" t="s">
        <v>274</v>
      </c>
      <c r="F13" s="3" t="s">
        <v>275</v>
      </c>
      <c r="G13" s="3" t="s">
        <v>145</v>
      </c>
      <c r="H13" s="3" t="s">
        <v>175</v>
      </c>
      <c r="I13" s="3" t="s">
        <v>100</v>
      </c>
      <c r="J13" s="3" t="s">
        <v>353</v>
      </c>
      <c r="P13" s="3" t="str">
        <f t="shared" si="0"/>
        <v>-CFVO-BBG-ARL-BCA-</v>
      </c>
    </row>
    <row r="14" spans="1:16" x14ac:dyDescent="0.3">
      <c r="C14" s="3" t="s">
        <v>605</v>
      </c>
      <c r="D14" s="3" t="s">
        <v>607</v>
      </c>
      <c r="E14" s="3" t="s">
        <v>323</v>
      </c>
      <c r="F14" s="3" t="s">
        <v>617</v>
      </c>
      <c r="G14" s="3" t="s">
        <v>426</v>
      </c>
      <c r="H14" s="3" t="s">
        <v>427</v>
      </c>
      <c r="I14" s="3" t="s">
        <v>623</v>
      </c>
      <c r="J14" s="3" t="s">
        <v>624</v>
      </c>
      <c r="P14" s="3" t="str">
        <f t="shared" si="0"/>
        <v>-CFIN-ENT-BAL-BOI-</v>
      </c>
    </row>
    <row r="15" spans="1:16" x14ac:dyDescent="0.3">
      <c r="C15" s="3" t="s">
        <v>604</v>
      </c>
      <c r="D15" s="3" t="s">
        <v>606</v>
      </c>
      <c r="E15" s="3" t="s">
        <v>625</v>
      </c>
      <c r="F15" s="3" t="s">
        <v>317</v>
      </c>
      <c r="G15" s="3" t="s">
        <v>622</v>
      </c>
      <c r="H15" s="3" t="s">
        <v>314</v>
      </c>
      <c r="I15" s="3" t="s">
        <v>150</v>
      </c>
      <c r="J15" s="3" t="s">
        <v>179</v>
      </c>
      <c r="P15" s="3" t="str">
        <f t="shared" si="0"/>
        <v>-CFIS-CMR-BBA-BOM-</v>
      </c>
    </row>
    <row r="16" spans="1:16" x14ac:dyDescent="0.3">
      <c r="C16" s="3" t="s">
        <v>608</v>
      </c>
      <c r="D16" s="3" t="s">
        <v>609</v>
      </c>
      <c r="E16" s="3" t="s">
        <v>626</v>
      </c>
      <c r="F16" s="3" t="s">
        <v>316</v>
      </c>
      <c r="G16" s="3" t="s">
        <v>100</v>
      </c>
      <c r="H16" s="3" t="s">
        <v>353</v>
      </c>
      <c r="I16" s="3" t="s">
        <v>333</v>
      </c>
      <c r="J16" s="3" t="s">
        <v>202</v>
      </c>
      <c r="P16" s="3" t="str">
        <f>CONCATENATE(B16, "-", D16, "-", F16, "-", J18, "-", J16, "-", K16)</f>
        <v>-CFK-CML-CAN-CEN-</v>
      </c>
    </row>
    <row r="17" spans="3:16" x14ac:dyDescent="0.3">
      <c r="C17" s="3" t="s">
        <v>428</v>
      </c>
      <c r="D17" s="3" t="s">
        <v>429</v>
      </c>
      <c r="E17" s="3" t="s">
        <v>101</v>
      </c>
      <c r="F17" s="3" t="s">
        <v>142</v>
      </c>
      <c r="G17" s="3" t="s">
        <v>623</v>
      </c>
      <c r="H17" s="3" t="s">
        <v>624</v>
      </c>
      <c r="I17" s="3" t="s">
        <v>627</v>
      </c>
      <c r="J17" s="3" t="s">
        <v>210</v>
      </c>
      <c r="P17" s="3" t="str">
        <f t="shared" si="0"/>
        <v>-CPT-CAN-BOI-CPA-</v>
      </c>
    </row>
    <row r="18" spans="3:16" x14ac:dyDescent="0.3">
      <c r="C18" s="3" t="s">
        <v>234</v>
      </c>
      <c r="D18" s="3" t="s">
        <v>64</v>
      </c>
      <c r="E18" s="3" t="s">
        <v>430</v>
      </c>
      <c r="F18" s="3" t="s">
        <v>431</v>
      </c>
      <c r="G18" s="54" t="s">
        <v>707</v>
      </c>
      <c r="H18" s="3" t="s">
        <v>708</v>
      </c>
      <c r="I18" s="3" t="s">
        <v>101</v>
      </c>
      <c r="J18" s="3" t="s">
        <v>142</v>
      </c>
      <c r="P18" s="3" t="e">
        <f>CONCATENATE(B18, "-", D18, "-", F18, "-", H18, "-",#REF!, "-", K18)</f>
        <v>#REF!</v>
      </c>
    </row>
    <row r="19" spans="3:16" x14ac:dyDescent="0.3">
      <c r="C19" s="3" t="s">
        <v>235</v>
      </c>
      <c r="D19" s="3" t="s">
        <v>65</v>
      </c>
      <c r="E19" s="3" t="s">
        <v>115</v>
      </c>
      <c r="F19" s="3" t="s">
        <v>293</v>
      </c>
      <c r="G19" s="54" t="s">
        <v>323</v>
      </c>
      <c r="H19" s="3" t="s">
        <v>617</v>
      </c>
      <c r="I19" s="3" t="s">
        <v>288</v>
      </c>
      <c r="J19" s="3" t="s">
        <v>289</v>
      </c>
      <c r="P19" s="3" t="str">
        <f t="shared" si="0"/>
        <v>-CPT2-CAL-ENT-CBA-</v>
      </c>
    </row>
    <row r="20" spans="3:16" x14ac:dyDescent="0.3">
      <c r="C20" s="3" t="s">
        <v>237</v>
      </c>
      <c r="D20" s="3" t="s">
        <v>66</v>
      </c>
      <c r="E20" s="3" t="s">
        <v>140</v>
      </c>
      <c r="F20" s="3" t="s">
        <v>311</v>
      </c>
      <c r="G20" s="54" t="s">
        <v>240</v>
      </c>
      <c r="H20" s="3" t="s">
        <v>628</v>
      </c>
      <c r="I20" s="3" t="s">
        <v>432</v>
      </c>
      <c r="J20" s="3" t="s">
        <v>433</v>
      </c>
      <c r="P20" s="3" t="str">
        <f t="shared" si="0"/>
        <v>-CPT3-CLO-SAI-CHO-</v>
      </c>
    </row>
    <row r="21" spans="3:16" x14ac:dyDescent="0.3">
      <c r="C21" s="3" t="s">
        <v>31</v>
      </c>
      <c r="D21" s="3" t="s">
        <v>76</v>
      </c>
      <c r="E21" s="3" t="s">
        <v>335</v>
      </c>
      <c r="F21" s="3" t="s">
        <v>349</v>
      </c>
      <c r="G21" s="3" t="s">
        <v>135</v>
      </c>
      <c r="H21" s="3" t="s">
        <v>210</v>
      </c>
      <c r="I21" s="3" t="s">
        <v>629</v>
      </c>
      <c r="J21" s="3" t="s">
        <v>541</v>
      </c>
      <c r="P21" s="3" t="str">
        <f t="shared" si="0"/>
        <v>-CHA-DEC-CPA-CEL-</v>
      </c>
    </row>
    <row r="22" spans="3:16" x14ac:dyDescent="0.3">
      <c r="C22" s="3" t="s">
        <v>115</v>
      </c>
      <c r="D22" s="3" t="s">
        <v>293</v>
      </c>
      <c r="E22" s="3" t="s">
        <v>630</v>
      </c>
      <c r="F22" s="3" t="s">
        <v>631</v>
      </c>
      <c r="G22" s="3" t="s">
        <v>101</v>
      </c>
      <c r="H22" s="3" t="s">
        <v>142</v>
      </c>
      <c r="I22" s="3" t="s">
        <v>434</v>
      </c>
      <c r="J22" s="3" t="s">
        <v>334</v>
      </c>
      <c r="P22" s="3" t="str">
        <f t="shared" si="0"/>
        <v>-CAL-DES-CAN-CHI-</v>
      </c>
    </row>
    <row r="23" spans="3:16" x14ac:dyDescent="0.3">
      <c r="C23" s="3" t="s">
        <v>42</v>
      </c>
      <c r="D23" s="3" t="s">
        <v>67</v>
      </c>
      <c r="E23" s="3" t="s">
        <v>148</v>
      </c>
      <c r="F23" s="3" t="s">
        <v>633</v>
      </c>
      <c r="G23" s="3" t="s">
        <v>437</v>
      </c>
      <c r="H23" s="3" t="s">
        <v>632</v>
      </c>
      <c r="I23" s="3" t="s">
        <v>635</v>
      </c>
      <c r="J23" s="3" t="s">
        <v>636</v>
      </c>
      <c r="P23" s="3" t="str">
        <f t="shared" si="0"/>
        <v>-COF-DEF-CLF-POS-</v>
      </c>
    </row>
    <row r="24" spans="3:16" x14ac:dyDescent="0.3">
      <c r="C24" s="3" t="s">
        <v>239</v>
      </c>
      <c r="D24" s="3" t="s">
        <v>110</v>
      </c>
      <c r="E24" s="3" t="s">
        <v>152</v>
      </c>
      <c r="F24" s="3" t="s">
        <v>637</v>
      </c>
      <c r="G24" s="3" t="s">
        <v>634</v>
      </c>
      <c r="H24" s="3" t="s">
        <v>433</v>
      </c>
      <c r="I24" s="53" t="s">
        <v>638</v>
      </c>
      <c r="J24" s="3" t="s">
        <v>639</v>
      </c>
      <c r="P24" s="3" t="str">
        <f t="shared" si="0"/>
        <v>-EQ-DEL-CHO-PRE-</v>
      </c>
    </row>
    <row r="25" spans="3:16" x14ac:dyDescent="0.3">
      <c r="C25" s="3" t="s">
        <v>435</v>
      </c>
      <c r="D25" s="3" t="s">
        <v>436</v>
      </c>
      <c r="E25" s="3" t="s">
        <v>238</v>
      </c>
      <c r="F25" s="3" t="s">
        <v>293</v>
      </c>
      <c r="G25" s="3" t="s">
        <v>136</v>
      </c>
      <c r="H25" s="3" t="s">
        <v>177</v>
      </c>
      <c r="I25" s="3" t="s">
        <v>642</v>
      </c>
      <c r="J25" s="3" t="s">
        <v>602</v>
      </c>
      <c r="P25" s="3" t="str">
        <f t="shared" si="0"/>
        <v>-EEL-CAL-COM-CME-</v>
      </c>
    </row>
    <row r="26" spans="3:16" x14ac:dyDescent="0.3">
      <c r="C26" s="3" t="s">
        <v>241</v>
      </c>
      <c r="D26" s="3" t="s">
        <v>68</v>
      </c>
      <c r="E26" s="3" t="s">
        <v>124</v>
      </c>
      <c r="F26" s="3" t="s">
        <v>293</v>
      </c>
      <c r="G26" s="3" t="s">
        <v>640</v>
      </c>
      <c r="H26" s="3" t="s">
        <v>641</v>
      </c>
      <c r="I26" s="3" t="s">
        <v>136</v>
      </c>
      <c r="J26" s="3" t="s">
        <v>177</v>
      </c>
      <c r="P26" s="3" t="str">
        <f t="shared" si="0"/>
        <v>-EEL1-CAL-CLD-COM-</v>
      </c>
    </row>
    <row r="27" spans="3:16" x14ac:dyDescent="0.3">
      <c r="C27" s="3" t="s">
        <v>242</v>
      </c>
      <c r="D27" s="3" t="s">
        <v>69</v>
      </c>
      <c r="E27" s="3" t="s">
        <v>138</v>
      </c>
      <c r="F27" s="3" t="s">
        <v>320</v>
      </c>
      <c r="G27" s="3" t="s">
        <v>643</v>
      </c>
      <c r="H27" s="3" t="s">
        <v>644</v>
      </c>
      <c r="I27" s="3" t="s">
        <v>151</v>
      </c>
      <c r="J27" s="3" t="s">
        <v>199</v>
      </c>
      <c r="P27" s="3" t="str">
        <f t="shared" si="0"/>
        <v>-EEL2-HTH-CLC-CPS-</v>
      </c>
    </row>
    <row r="28" spans="3:16" x14ac:dyDescent="0.3">
      <c r="C28" s="3" t="s">
        <v>243</v>
      </c>
      <c r="D28" s="3" t="s">
        <v>70</v>
      </c>
      <c r="E28" s="3" t="s">
        <v>123</v>
      </c>
      <c r="F28" s="3" t="s">
        <v>647</v>
      </c>
      <c r="G28" s="3" t="s">
        <v>645</v>
      </c>
      <c r="H28" s="3" t="s">
        <v>646</v>
      </c>
      <c r="I28" s="3" t="s">
        <v>13</v>
      </c>
      <c r="J28" s="3" t="s">
        <v>14</v>
      </c>
      <c r="P28" s="3" t="str">
        <f t="shared" si="0"/>
        <v>-EEL3-PAC-CPD-CON-</v>
      </c>
    </row>
    <row r="29" spans="3:16" x14ac:dyDescent="0.3">
      <c r="C29" s="3" t="s">
        <v>119</v>
      </c>
      <c r="D29" s="3" t="s">
        <v>295</v>
      </c>
      <c r="E29" s="3" t="s">
        <v>244</v>
      </c>
      <c r="F29" s="3" t="s">
        <v>292</v>
      </c>
      <c r="G29" s="3" t="s">
        <v>648</v>
      </c>
      <c r="H29" s="3" t="s">
        <v>649</v>
      </c>
      <c r="I29" s="3" t="s">
        <v>200</v>
      </c>
      <c r="J29" s="3" t="s">
        <v>201</v>
      </c>
      <c r="P29" s="3" t="str">
        <f t="shared" si="0"/>
        <v>-EGR-DPP-CPC-DFC-</v>
      </c>
    </row>
    <row r="30" spans="3:16" x14ac:dyDescent="0.3">
      <c r="C30" s="3" t="s">
        <v>438</v>
      </c>
      <c r="D30" s="3" t="s">
        <v>439</v>
      </c>
      <c r="E30" s="3" t="s">
        <v>245</v>
      </c>
      <c r="F30" s="3" t="s">
        <v>652</v>
      </c>
      <c r="G30" s="3" t="s">
        <v>650</v>
      </c>
      <c r="H30" s="3" t="s">
        <v>651</v>
      </c>
      <c r="I30" s="3" t="s">
        <v>440</v>
      </c>
      <c r="J30" s="3" t="s">
        <v>159</v>
      </c>
      <c r="P30" s="3" t="str">
        <f t="shared" si="0"/>
        <v>-FTS-PT1-CPI-EXT-</v>
      </c>
    </row>
    <row r="31" spans="3:16" x14ac:dyDescent="0.3">
      <c r="C31" s="3" t="s">
        <v>249</v>
      </c>
      <c r="D31" s="3" t="s">
        <v>60</v>
      </c>
      <c r="E31" s="3" t="s">
        <v>246</v>
      </c>
      <c r="F31" s="3" t="s">
        <v>653</v>
      </c>
      <c r="G31" s="3" t="s">
        <v>335</v>
      </c>
      <c r="H31" s="3" t="s">
        <v>349</v>
      </c>
      <c r="I31" s="3" t="s">
        <v>15</v>
      </c>
      <c r="J31" s="3" t="s">
        <v>16</v>
      </c>
      <c r="P31" s="3" t="str">
        <f t="shared" si="0"/>
        <v>-FU-PT2-DEC-GER-</v>
      </c>
    </row>
    <row r="32" spans="3:16" x14ac:dyDescent="0.3">
      <c r="C32" s="3" t="s">
        <v>50</v>
      </c>
      <c r="D32" s="3" t="s">
        <v>77</v>
      </c>
      <c r="E32" s="3" t="s">
        <v>247</v>
      </c>
      <c r="F32" s="3" t="s">
        <v>471</v>
      </c>
      <c r="G32" s="3" t="s">
        <v>350</v>
      </c>
      <c r="H32" s="3" t="s">
        <v>345</v>
      </c>
      <c r="I32" s="3" t="s">
        <v>654</v>
      </c>
      <c r="J32" s="3" t="s">
        <v>655</v>
      </c>
      <c r="P32" s="3" t="str">
        <f t="shared" si="0"/>
        <v>-GUA-SUL-VDF-GEL-</v>
      </c>
    </row>
    <row r="33" spans="3:16" x14ac:dyDescent="0.3">
      <c r="C33" s="3" t="s">
        <v>56</v>
      </c>
      <c r="D33" s="3" t="s">
        <v>95</v>
      </c>
      <c r="E33" s="3" t="s">
        <v>319</v>
      </c>
      <c r="F33" s="3" t="s">
        <v>207</v>
      </c>
      <c r="G33" s="3" t="s">
        <v>351</v>
      </c>
      <c r="H33" s="3" t="s">
        <v>347</v>
      </c>
      <c r="I33" s="3" t="s">
        <v>658</v>
      </c>
      <c r="J33" s="3" t="s">
        <v>659</v>
      </c>
      <c r="P33" s="3" t="str">
        <f t="shared" si="0"/>
        <v>-HUL-ULT-VDL-GMC-</v>
      </c>
    </row>
    <row r="34" spans="3:16" x14ac:dyDescent="0.3">
      <c r="C34" s="3" t="s">
        <v>51</v>
      </c>
      <c r="D34" s="3" t="s">
        <v>84</v>
      </c>
      <c r="E34" s="3" t="s">
        <v>285</v>
      </c>
      <c r="F34" s="3" t="s">
        <v>291</v>
      </c>
      <c r="G34" s="3" t="s">
        <v>656</v>
      </c>
      <c r="H34" s="3" t="s">
        <v>657</v>
      </c>
      <c r="I34" s="3" t="s">
        <v>141</v>
      </c>
      <c r="J34" s="3" t="s">
        <v>441</v>
      </c>
      <c r="P34" s="3" t="str">
        <f t="shared" si="0"/>
        <v>-INT-ECA-EBC-ILL-</v>
      </c>
    </row>
    <row r="35" spans="3:16" x14ac:dyDescent="0.3">
      <c r="C35" s="3" t="s">
        <v>57</v>
      </c>
      <c r="D35" s="3" t="s">
        <v>96</v>
      </c>
      <c r="E35" s="3" t="s">
        <v>444</v>
      </c>
      <c r="F35" s="3" t="s">
        <v>318</v>
      </c>
      <c r="G35" s="3" t="s">
        <v>660</v>
      </c>
      <c r="H35" s="3" t="s">
        <v>661</v>
      </c>
      <c r="I35" s="3" t="s">
        <v>370</v>
      </c>
      <c r="J35" s="3" t="s">
        <v>442</v>
      </c>
      <c r="P35" s="3" t="str">
        <f t="shared" si="0"/>
        <v>-JON-ESA-EBE-MCD-</v>
      </c>
    </row>
    <row r="36" spans="3:16" x14ac:dyDescent="0.3">
      <c r="C36" s="3" t="s">
        <v>52</v>
      </c>
      <c r="D36" s="3" t="s">
        <v>85</v>
      </c>
      <c r="E36" s="3" t="s">
        <v>248</v>
      </c>
      <c r="F36" s="3" t="s">
        <v>294</v>
      </c>
      <c r="G36" s="3" t="s">
        <v>662</v>
      </c>
      <c r="H36" s="3" t="s">
        <v>663</v>
      </c>
      <c r="I36" s="3" t="s">
        <v>17</v>
      </c>
      <c r="J36" s="3" t="s">
        <v>18</v>
      </c>
      <c r="P36" s="3" t="str">
        <f t="shared" si="0"/>
        <v>-KAT-ELA-EBD-MNI-</v>
      </c>
    </row>
    <row r="37" spans="3:16" x14ac:dyDescent="0.3">
      <c r="C37" s="3" t="s">
        <v>33</v>
      </c>
      <c r="D37" s="3" t="s">
        <v>86</v>
      </c>
      <c r="E37" s="3" t="s">
        <v>157</v>
      </c>
      <c r="F37" s="3" t="s">
        <v>158</v>
      </c>
      <c r="G37" s="3" t="s">
        <v>664</v>
      </c>
      <c r="H37" s="3" t="s">
        <v>665</v>
      </c>
      <c r="I37" s="3" t="s">
        <v>19</v>
      </c>
      <c r="J37" s="3" t="s">
        <v>667</v>
      </c>
      <c r="P37" s="3" t="str">
        <f t="shared" si="0"/>
        <v>-LAU-ESG-EBP-MPH-</v>
      </c>
    </row>
    <row r="38" spans="3:16" x14ac:dyDescent="0.3">
      <c r="C38" s="3" t="s">
        <v>41</v>
      </c>
      <c r="D38" s="3" t="s">
        <v>71</v>
      </c>
      <c r="E38" s="3" t="s">
        <v>119</v>
      </c>
      <c r="F38" s="3" t="s">
        <v>295</v>
      </c>
      <c r="G38" s="3" t="s">
        <v>236</v>
      </c>
      <c r="H38" s="3" t="s">
        <v>666</v>
      </c>
      <c r="I38" s="3" t="s">
        <v>341</v>
      </c>
      <c r="J38" s="3" t="s">
        <v>20</v>
      </c>
      <c r="P38" s="3" t="str">
        <f t="shared" si="0"/>
        <v>-LDA-EGR-EBS-MPR-</v>
      </c>
    </row>
    <row r="39" spans="3:16" x14ac:dyDescent="0.3">
      <c r="C39" s="3" t="s">
        <v>30</v>
      </c>
      <c r="D39" s="3" t="s">
        <v>87</v>
      </c>
      <c r="E39" s="3" t="s">
        <v>342</v>
      </c>
      <c r="F39" s="3" t="s">
        <v>343</v>
      </c>
      <c r="G39" s="3" t="s">
        <v>134</v>
      </c>
      <c r="H39" s="3" t="s">
        <v>668</v>
      </c>
      <c r="I39" s="3" t="s">
        <v>340</v>
      </c>
      <c r="J39" s="3" t="s">
        <v>339</v>
      </c>
      <c r="P39" s="3" t="str">
        <f t="shared" si="0"/>
        <v>-MAC-FIL-EBT-MTP-</v>
      </c>
    </row>
    <row r="40" spans="3:16" x14ac:dyDescent="0.3">
      <c r="C40" s="3" t="s">
        <v>250</v>
      </c>
      <c r="D40" s="3" t="s">
        <v>88</v>
      </c>
      <c r="E40" s="3" t="s">
        <v>217</v>
      </c>
      <c r="F40" s="3" t="s">
        <v>161</v>
      </c>
      <c r="G40" s="3" t="s">
        <v>132</v>
      </c>
      <c r="H40" s="3" t="s">
        <v>669</v>
      </c>
      <c r="I40" s="3" t="s">
        <v>21</v>
      </c>
      <c r="J40" s="3" t="s">
        <v>22</v>
      </c>
      <c r="P40" s="3" t="str">
        <f t="shared" si="0"/>
        <v>-MACT-GOX-EBM-MOT-</v>
      </c>
    </row>
    <row r="41" spans="3:16" x14ac:dyDescent="0.3">
      <c r="C41" s="3" t="s">
        <v>53</v>
      </c>
      <c r="D41" s="3" t="s">
        <v>89</v>
      </c>
      <c r="E41" s="3" t="s">
        <v>219</v>
      </c>
      <c r="F41" s="3" t="s">
        <v>162</v>
      </c>
      <c r="G41" s="3" t="s">
        <v>157</v>
      </c>
      <c r="H41" s="3" t="s">
        <v>158</v>
      </c>
      <c r="I41" s="3" t="s">
        <v>23</v>
      </c>
      <c r="J41" s="3" t="s">
        <v>24</v>
      </c>
      <c r="P41" s="3" t="str">
        <f t="shared" si="0"/>
        <v>-MATH-GOZ-ESG-PRD-</v>
      </c>
    </row>
    <row r="42" spans="3:16" x14ac:dyDescent="0.3">
      <c r="C42" s="39" t="s">
        <v>29</v>
      </c>
      <c r="D42" s="3" t="s">
        <v>90</v>
      </c>
      <c r="E42" s="3" t="s">
        <v>141</v>
      </c>
      <c r="F42" s="3" t="s">
        <v>296</v>
      </c>
      <c r="G42" s="3" t="s">
        <v>322</v>
      </c>
      <c r="H42" s="3" t="s">
        <v>159</v>
      </c>
      <c r="I42" s="3" t="s">
        <v>153</v>
      </c>
      <c r="J42" s="3" t="s">
        <v>203</v>
      </c>
      <c r="P42" s="3" t="str">
        <f t="shared" si="0"/>
        <v>-MAT-ILU-EXT-PRO-</v>
      </c>
    </row>
    <row r="43" spans="3:16" x14ac:dyDescent="0.3">
      <c r="C43" s="3" t="s">
        <v>54</v>
      </c>
      <c r="D43" s="3" t="s">
        <v>91</v>
      </c>
      <c r="E43" s="3" t="s">
        <v>139</v>
      </c>
      <c r="F43" s="3" t="s">
        <v>299</v>
      </c>
      <c r="G43" s="55" t="s">
        <v>342</v>
      </c>
      <c r="H43" s="3" t="s">
        <v>343</v>
      </c>
      <c r="I43" s="3" t="s">
        <v>443</v>
      </c>
      <c r="J43" s="3" t="s">
        <v>502</v>
      </c>
      <c r="P43" s="3" t="str">
        <f t="shared" si="0"/>
        <v>-MATR-OZO-FIL-QBT-</v>
      </c>
    </row>
    <row r="44" spans="3:16" x14ac:dyDescent="0.3">
      <c r="C44" s="3" t="s">
        <v>32</v>
      </c>
      <c r="D44" s="3" t="s">
        <v>92</v>
      </c>
      <c r="E44" s="3" t="s">
        <v>214</v>
      </c>
      <c r="F44" s="3" t="s">
        <v>312</v>
      </c>
      <c r="G44" s="3" t="s">
        <v>603</v>
      </c>
      <c r="H44" s="3" t="s">
        <v>601</v>
      </c>
      <c r="I44" s="3" t="s">
        <v>445</v>
      </c>
      <c r="J44" s="3" t="s">
        <v>503</v>
      </c>
    </row>
    <row r="45" spans="3:16" x14ac:dyDescent="0.3">
      <c r="C45" s="3" t="s">
        <v>58</v>
      </c>
      <c r="D45" s="3" t="s">
        <v>97</v>
      </c>
      <c r="E45" s="3" t="s">
        <v>252</v>
      </c>
      <c r="F45" s="3" t="s">
        <v>636</v>
      </c>
      <c r="G45" s="3" t="s">
        <v>15</v>
      </c>
      <c r="H45" s="3" t="s">
        <v>16</v>
      </c>
      <c r="I45" s="3" t="s">
        <v>286</v>
      </c>
      <c r="J45" s="3" t="s">
        <v>211</v>
      </c>
    </row>
    <row r="46" spans="3:16" x14ac:dyDescent="0.3">
      <c r="C46" s="3" t="s">
        <v>40</v>
      </c>
      <c r="D46" s="3" t="s">
        <v>72</v>
      </c>
      <c r="E46" s="3" t="s">
        <v>251</v>
      </c>
      <c r="F46" s="3" t="s">
        <v>639</v>
      </c>
      <c r="G46" s="3" t="s">
        <v>104</v>
      </c>
      <c r="H46" s="3" t="s">
        <v>137</v>
      </c>
      <c r="I46" s="3" t="s">
        <v>446</v>
      </c>
      <c r="J46" s="3" t="s">
        <v>447</v>
      </c>
    </row>
    <row r="47" spans="3:16" x14ac:dyDescent="0.3">
      <c r="C47" s="3" t="s">
        <v>213</v>
      </c>
      <c r="D47" s="3" t="s">
        <v>111</v>
      </c>
      <c r="E47" s="3" t="s">
        <v>215</v>
      </c>
      <c r="F47" s="3" t="s">
        <v>293</v>
      </c>
      <c r="G47" s="3" t="s">
        <v>448</v>
      </c>
      <c r="H47" s="3" t="s">
        <v>670</v>
      </c>
      <c r="I47" s="3" t="s">
        <v>154</v>
      </c>
      <c r="J47" s="3" t="s">
        <v>180</v>
      </c>
    </row>
    <row r="48" spans="3:16" x14ac:dyDescent="0.3">
      <c r="C48" s="3" t="s">
        <v>34</v>
      </c>
      <c r="D48" s="3" t="s">
        <v>98</v>
      </c>
      <c r="E48" s="3" t="s">
        <v>466</v>
      </c>
      <c r="F48" s="3" t="s">
        <v>647</v>
      </c>
      <c r="G48" s="3" t="s">
        <v>451</v>
      </c>
      <c r="H48" s="3" t="s">
        <v>671</v>
      </c>
      <c r="I48" s="3" t="s">
        <v>449</v>
      </c>
      <c r="J48" s="3" t="s">
        <v>450</v>
      </c>
    </row>
    <row r="49" spans="3:10" x14ac:dyDescent="0.3">
      <c r="C49" s="3" t="s">
        <v>218</v>
      </c>
      <c r="D49" s="3" t="s">
        <v>73</v>
      </c>
      <c r="E49" s="3" t="s">
        <v>469</v>
      </c>
      <c r="F49" s="3" t="s">
        <v>674</v>
      </c>
      <c r="G49" s="3" t="s">
        <v>672</v>
      </c>
      <c r="H49" s="3" t="s">
        <v>673</v>
      </c>
      <c r="I49" s="54" t="s">
        <v>287</v>
      </c>
      <c r="J49" s="3" t="s">
        <v>290</v>
      </c>
    </row>
    <row r="50" spans="3:10" x14ac:dyDescent="0.3">
      <c r="C50" s="3" t="s">
        <v>461</v>
      </c>
      <c r="D50" s="3" t="s">
        <v>462</v>
      </c>
      <c r="E50" s="3" t="s">
        <v>474</v>
      </c>
      <c r="F50" s="3" t="s">
        <v>675</v>
      </c>
      <c r="G50" s="3" t="s">
        <v>453</v>
      </c>
      <c r="H50" s="3" t="s">
        <v>442</v>
      </c>
      <c r="I50" s="53" t="s">
        <v>452</v>
      </c>
      <c r="J50" s="3" t="s">
        <v>313</v>
      </c>
    </row>
    <row r="51" spans="3:10" x14ac:dyDescent="0.3">
      <c r="C51" s="3" t="s">
        <v>122</v>
      </c>
      <c r="D51" s="3" t="s">
        <v>465</v>
      </c>
      <c r="E51" s="3" t="s">
        <v>216</v>
      </c>
      <c r="F51" s="3" t="s">
        <v>677</v>
      </c>
      <c r="G51" s="3" t="s">
        <v>220</v>
      </c>
      <c r="H51" s="3" t="s">
        <v>676</v>
      </c>
      <c r="I51" s="3" t="s">
        <v>328</v>
      </c>
      <c r="J51" s="3" t="s">
        <v>329</v>
      </c>
    </row>
    <row r="52" spans="3:10" x14ac:dyDescent="0.3">
      <c r="C52" s="3" t="s">
        <v>114</v>
      </c>
      <c r="D52" s="3" t="s">
        <v>168</v>
      </c>
      <c r="E52" s="3" t="s">
        <v>483</v>
      </c>
      <c r="F52" s="3" t="s">
        <v>315</v>
      </c>
      <c r="G52" s="3" t="s">
        <v>139</v>
      </c>
      <c r="H52" s="3" t="s">
        <v>299</v>
      </c>
      <c r="I52" s="3" t="s">
        <v>454</v>
      </c>
      <c r="J52" s="3" t="s">
        <v>455</v>
      </c>
    </row>
    <row r="53" spans="3:10" x14ac:dyDescent="0.3">
      <c r="C53" s="3" t="s">
        <v>472</v>
      </c>
      <c r="D53" s="3" t="s">
        <v>473</v>
      </c>
      <c r="E53" s="3" t="s">
        <v>154</v>
      </c>
      <c r="F53" s="3" t="s">
        <v>180</v>
      </c>
      <c r="G53" s="54" t="s">
        <v>153</v>
      </c>
      <c r="H53" s="3" t="s">
        <v>678</v>
      </c>
      <c r="I53" s="3" t="s">
        <v>456</v>
      </c>
      <c r="J53" s="3" t="s">
        <v>457</v>
      </c>
    </row>
    <row r="54" spans="3:10" x14ac:dyDescent="0.3">
      <c r="C54" s="3" t="s">
        <v>478</v>
      </c>
      <c r="D54" s="3" t="s">
        <v>479</v>
      </c>
      <c r="E54" s="3" t="s">
        <v>122</v>
      </c>
      <c r="F54" s="3" t="s">
        <v>465</v>
      </c>
      <c r="G54" s="3" t="s">
        <v>213</v>
      </c>
      <c r="H54" s="3" t="s">
        <v>679</v>
      </c>
      <c r="I54" s="3" t="s">
        <v>458</v>
      </c>
      <c r="J54" s="3" t="s">
        <v>459</v>
      </c>
    </row>
    <row r="55" spans="3:10" x14ac:dyDescent="0.3">
      <c r="C55" s="3" t="s">
        <v>116</v>
      </c>
      <c r="D55" s="3" t="s">
        <v>117</v>
      </c>
      <c r="E55" s="3" t="s">
        <v>114</v>
      </c>
      <c r="F55" s="3" t="s">
        <v>455</v>
      </c>
      <c r="G55" s="54" t="s">
        <v>286</v>
      </c>
      <c r="H55" s="3" t="s">
        <v>211</v>
      </c>
      <c r="I55" s="3" t="s">
        <v>460</v>
      </c>
      <c r="J55" s="3" t="s">
        <v>117</v>
      </c>
    </row>
    <row r="56" spans="3:10" x14ac:dyDescent="0.3">
      <c r="C56" s="3" t="s">
        <v>221</v>
      </c>
      <c r="D56" s="3" t="s">
        <v>113</v>
      </c>
      <c r="E56" s="3" t="s">
        <v>478</v>
      </c>
      <c r="F56" s="3" t="s">
        <v>479</v>
      </c>
      <c r="G56" s="3" t="s">
        <v>475</v>
      </c>
      <c r="H56" s="3" t="s">
        <v>680</v>
      </c>
      <c r="I56" s="3" t="s">
        <v>463</v>
      </c>
      <c r="J56" s="3" t="s">
        <v>464</v>
      </c>
    </row>
    <row r="57" spans="3:10" x14ac:dyDescent="0.3">
      <c r="C57" s="3" t="s">
        <v>487</v>
      </c>
      <c r="D57" s="3" t="s">
        <v>488</v>
      </c>
      <c r="E57" s="3" t="s">
        <v>487</v>
      </c>
      <c r="F57" s="3" t="s">
        <v>709</v>
      </c>
      <c r="G57" s="3" t="s">
        <v>480</v>
      </c>
      <c r="H57" s="3" t="s">
        <v>681</v>
      </c>
      <c r="I57" s="3" t="s">
        <v>467</v>
      </c>
      <c r="J57" s="3" t="s">
        <v>468</v>
      </c>
    </row>
    <row r="58" spans="3:10" x14ac:dyDescent="0.3">
      <c r="C58" s="56" t="s">
        <v>490</v>
      </c>
      <c r="D58" s="3" t="s">
        <v>491</v>
      </c>
      <c r="E58" s="3" t="s">
        <v>494</v>
      </c>
      <c r="F58" s="3" t="s">
        <v>495</v>
      </c>
      <c r="G58" s="54" t="s">
        <v>287</v>
      </c>
      <c r="H58" s="3" t="s">
        <v>290</v>
      </c>
      <c r="I58" s="3" t="s">
        <v>470</v>
      </c>
      <c r="J58" s="3" t="s">
        <v>471</v>
      </c>
    </row>
    <row r="59" spans="3:10" x14ac:dyDescent="0.3">
      <c r="C59" s="3" t="s">
        <v>120</v>
      </c>
      <c r="D59" s="3" t="s">
        <v>160</v>
      </c>
      <c r="E59" s="3" t="s">
        <v>120</v>
      </c>
      <c r="F59" s="3" t="s">
        <v>683</v>
      </c>
      <c r="G59" s="3" t="s">
        <v>484</v>
      </c>
      <c r="H59" s="3" t="s">
        <v>682</v>
      </c>
      <c r="I59" s="3" t="s">
        <v>476</v>
      </c>
      <c r="J59" s="3" t="s">
        <v>477</v>
      </c>
    </row>
    <row r="60" spans="3:10" x14ac:dyDescent="0.3">
      <c r="C60" s="3" t="s">
        <v>129</v>
      </c>
      <c r="D60" s="3" t="s">
        <v>297</v>
      </c>
      <c r="E60" s="3" t="s">
        <v>129</v>
      </c>
      <c r="F60" s="3" t="s">
        <v>710</v>
      </c>
      <c r="G60" s="54" t="s">
        <v>344</v>
      </c>
      <c r="H60" s="3" t="s">
        <v>684</v>
      </c>
      <c r="I60" s="3" t="s">
        <v>481</v>
      </c>
      <c r="J60" s="3" t="s">
        <v>482</v>
      </c>
    </row>
    <row r="61" spans="3:10" x14ac:dyDescent="0.3">
      <c r="C61" s="3" t="s">
        <v>130</v>
      </c>
      <c r="D61" s="3" t="s">
        <v>298</v>
      </c>
      <c r="E61" s="3" t="s">
        <v>130</v>
      </c>
      <c r="F61" s="3" t="s">
        <v>711</v>
      </c>
      <c r="G61" s="3" t="s">
        <v>155</v>
      </c>
      <c r="H61" s="3" t="s">
        <v>73</v>
      </c>
      <c r="I61" s="3" t="s">
        <v>485</v>
      </c>
      <c r="J61" s="3" t="s">
        <v>486</v>
      </c>
    </row>
    <row r="62" spans="3:10" x14ac:dyDescent="0.3">
      <c r="C62" s="3" t="s">
        <v>39</v>
      </c>
      <c r="D62" s="3" t="s">
        <v>74</v>
      </c>
      <c r="E62" s="3" t="s">
        <v>222</v>
      </c>
      <c r="F62" s="3" t="s">
        <v>74</v>
      </c>
      <c r="G62" s="3" t="s">
        <v>122</v>
      </c>
      <c r="H62" s="3" t="s">
        <v>465</v>
      </c>
      <c r="I62" s="3" t="s">
        <v>156</v>
      </c>
      <c r="J62" s="3" t="s">
        <v>164</v>
      </c>
    </row>
    <row r="63" spans="3:10" x14ac:dyDescent="0.3">
      <c r="C63" s="3" t="s">
        <v>121</v>
      </c>
      <c r="D63" s="3" t="s">
        <v>496</v>
      </c>
      <c r="E63" s="3" t="s">
        <v>127</v>
      </c>
      <c r="F63" s="3" t="s">
        <v>712</v>
      </c>
      <c r="G63" s="3" t="s">
        <v>114</v>
      </c>
      <c r="H63" s="3" t="s">
        <v>311</v>
      </c>
      <c r="I63" s="3" t="s">
        <v>489</v>
      </c>
      <c r="J63" s="3" t="s">
        <v>330</v>
      </c>
    </row>
    <row r="64" spans="3:10" x14ac:dyDescent="0.3">
      <c r="C64" s="3" t="s">
        <v>127</v>
      </c>
      <c r="D64" s="3" t="s">
        <v>125</v>
      </c>
      <c r="E64" s="3" t="s">
        <v>128</v>
      </c>
      <c r="F64" s="3" t="s">
        <v>713</v>
      </c>
      <c r="G64" s="53" t="s">
        <v>452</v>
      </c>
      <c r="H64" s="3" t="s">
        <v>313</v>
      </c>
      <c r="I64" s="3" t="s">
        <v>176</v>
      </c>
      <c r="J64" s="3" t="s">
        <v>208</v>
      </c>
    </row>
    <row r="65" spans="3:10" x14ac:dyDescent="0.3">
      <c r="C65" s="3" t="s">
        <v>128</v>
      </c>
      <c r="D65" s="3" t="s">
        <v>126</v>
      </c>
      <c r="E65" s="3" t="s">
        <v>685</v>
      </c>
      <c r="F65" s="3" t="s">
        <v>686</v>
      </c>
      <c r="G65" s="3" t="s">
        <v>328</v>
      </c>
      <c r="H65" s="3" t="s">
        <v>329</v>
      </c>
      <c r="I65" s="56" t="s">
        <v>492</v>
      </c>
      <c r="J65" s="3" t="s">
        <v>493</v>
      </c>
    </row>
    <row r="66" spans="3:10" x14ac:dyDescent="0.3">
      <c r="C66" s="3" t="s">
        <v>118</v>
      </c>
      <c r="D66" s="3" t="s">
        <v>166</v>
      </c>
      <c r="E66" s="3" t="s">
        <v>118</v>
      </c>
      <c r="F66" s="3" t="s">
        <v>700</v>
      </c>
      <c r="G66" s="3" t="s">
        <v>687</v>
      </c>
      <c r="H66" s="3" t="s">
        <v>455</v>
      </c>
      <c r="I66" s="3" t="s">
        <v>690</v>
      </c>
      <c r="J66" s="3" t="s">
        <v>331</v>
      </c>
    </row>
    <row r="67" spans="3:10" x14ac:dyDescent="0.3">
      <c r="C67" s="3" t="s">
        <v>224</v>
      </c>
      <c r="D67" s="3" t="s">
        <v>167</v>
      </c>
      <c r="E67" s="3" t="s">
        <v>224</v>
      </c>
      <c r="F67" s="3" t="s">
        <v>167</v>
      </c>
      <c r="G67" s="3" t="s">
        <v>688</v>
      </c>
      <c r="H67" s="3" t="s">
        <v>689</v>
      </c>
      <c r="I67" s="3" t="s">
        <v>105</v>
      </c>
      <c r="J67" s="3" t="s">
        <v>105</v>
      </c>
    </row>
    <row r="68" spans="3:10" x14ac:dyDescent="0.3">
      <c r="C68" s="3" t="s">
        <v>497</v>
      </c>
      <c r="D68" s="3" t="s">
        <v>498</v>
      </c>
      <c r="E68" s="3" t="s">
        <v>499</v>
      </c>
      <c r="F68" s="3" t="s">
        <v>204</v>
      </c>
      <c r="G68" s="3" t="s">
        <v>112</v>
      </c>
      <c r="H68" s="3" t="s">
        <v>165</v>
      </c>
      <c r="I68" s="3" t="s">
        <v>25</v>
      </c>
      <c r="J68" s="3" t="s">
        <v>181</v>
      </c>
    </row>
    <row r="69" spans="3:10" x14ac:dyDescent="0.3">
      <c r="C69" s="3" t="s">
        <v>212</v>
      </c>
      <c r="D69" s="3" t="s">
        <v>258</v>
      </c>
      <c r="E69" s="56"/>
      <c r="G69" s="3" t="s">
        <v>691</v>
      </c>
      <c r="H69" s="3" t="s">
        <v>692</v>
      </c>
      <c r="I69" s="3" t="s">
        <v>346</v>
      </c>
      <c r="J69" s="3" t="s">
        <v>345</v>
      </c>
    </row>
    <row r="70" spans="3:10" x14ac:dyDescent="0.3">
      <c r="C70" s="3" t="s">
        <v>63</v>
      </c>
      <c r="D70" s="3" t="s">
        <v>80</v>
      </c>
      <c r="E70" s="56"/>
      <c r="G70" s="3" t="s">
        <v>693</v>
      </c>
      <c r="H70" s="3" t="s">
        <v>694</v>
      </c>
      <c r="I70" s="3" t="s">
        <v>348</v>
      </c>
      <c r="J70" s="3" t="s">
        <v>347</v>
      </c>
    </row>
    <row r="71" spans="3:10" x14ac:dyDescent="0.3">
      <c r="C71" s="3" t="s">
        <v>61</v>
      </c>
      <c r="D71" s="3" t="s">
        <v>78</v>
      </c>
      <c r="G71" s="3" t="s">
        <v>695</v>
      </c>
      <c r="H71" s="3" t="s">
        <v>696</v>
      </c>
      <c r="I71" s="3" t="s">
        <v>279</v>
      </c>
      <c r="J71" s="3" t="s">
        <v>283</v>
      </c>
    </row>
    <row r="72" spans="3:10" x14ac:dyDescent="0.3">
      <c r="C72" s="3" t="s">
        <v>62</v>
      </c>
      <c r="D72" s="3" t="s">
        <v>79</v>
      </c>
      <c r="G72" s="3" t="s">
        <v>697</v>
      </c>
      <c r="H72" s="3" t="s">
        <v>698</v>
      </c>
      <c r="I72" s="3" t="s">
        <v>280</v>
      </c>
      <c r="J72" s="3" t="s">
        <v>206</v>
      </c>
    </row>
    <row r="73" spans="3:10" x14ac:dyDescent="0.3">
      <c r="C73" s="3" t="s">
        <v>35</v>
      </c>
      <c r="D73" s="3" t="s">
        <v>81</v>
      </c>
      <c r="G73" s="3" t="s">
        <v>223</v>
      </c>
      <c r="H73" s="3" t="s">
        <v>699</v>
      </c>
      <c r="I73" s="3" t="s">
        <v>278</v>
      </c>
      <c r="J73" s="3" t="s">
        <v>284</v>
      </c>
    </row>
    <row r="74" spans="3:10" x14ac:dyDescent="0.3">
      <c r="C74" s="3" t="s">
        <v>36</v>
      </c>
      <c r="D74" s="3" t="s">
        <v>82</v>
      </c>
      <c r="G74" s="3" t="s">
        <v>118</v>
      </c>
      <c r="H74" s="3" t="s">
        <v>700</v>
      </c>
      <c r="I74" s="3" t="s">
        <v>277</v>
      </c>
      <c r="J74" s="3" t="s">
        <v>282</v>
      </c>
    </row>
    <row r="75" spans="3:10" x14ac:dyDescent="0.3">
      <c r="C75" s="3" t="s">
        <v>55</v>
      </c>
      <c r="D75" s="3" t="s">
        <v>93</v>
      </c>
      <c r="G75" s="3" t="s">
        <v>178</v>
      </c>
      <c r="H75" s="3" t="s">
        <v>701</v>
      </c>
      <c r="I75" s="3" t="s">
        <v>276</v>
      </c>
      <c r="J75" s="3" t="s">
        <v>281</v>
      </c>
    </row>
    <row r="76" spans="3:10" x14ac:dyDescent="0.3">
      <c r="C76" s="3" t="s">
        <v>1084</v>
      </c>
      <c r="D76" s="3" t="s">
        <v>94</v>
      </c>
      <c r="G76" s="3" t="s">
        <v>225</v>
      </c>
      <c r="H76" s="3" t="s">
        <v>639</v>
      </c>
      <c r="I76" s="3" t="s">
        <v>26</v>
      </c>
      <c r="J76" s="3" t="s">
        <v>204</v>
      </c>
    </row>
    <row r="77" spans="3:10" x14ac:dyDescent="0.3">
      <c r="C77" s="56" t="s">
        <v>557</v>
      </c>
      <c r="D77" s="3" t="s">
        <v>558</v>
      </c>
      <c r="G77" s="56" t="s">
        <v>492</v>
      </c>
      <c r="H77" s="3" t="s">
        <v>702</v>
      </c>
      <c r="I77" s="3" t="s">
        <v>27</v>
      </c>
      <c r="J77" s="3" t="s">
        <v>28</v>
      </c>
    </row>
    <row r="78" spans="3:10" x14ac:dyDescent="0.3">
      <c r="C78" s="3" t="s">
        <v>1085</v>
      </c>
      <c r="D78" s="3" t="s">
        <v>1086</v>
      </c>
      <c r="G78" s="3" t="s">
        <v>105</v>
      </c>
      <c r="H78" s="3" t="s">
        <v>105</v>
      </c>
      <c r="I78" s="3" t="s">
        <v>106</v>
      </c>
      <c r="J78" s="3" t="s">
        <v>205</v>
      </c>
    </row>
    <row r="79" spans="3:10" x14ac:dyDescent="0.3">
      <c r="G79" s="3" t="s">
        <v>25</v>
      </c>
      <c r="H79" s="3" t="s">
        <v>181</v>
      </c>
    </row>
    <row r="80" spans="3:10" x14ac:dyDescent="0.3">
      <c r="G80" s="3" t="s">
        <v>321</v>
      </c>
      <c r="H80" s="3" t="s">
        <v>28</v>
      </c>
    </row>
    <row r="81" spans="7:8" x14ac:dyDescent="0.3">
      <c r="G81" s="3" t="s">
        <v>703</v>
      </c>
      <c r="H81" s="3" t="s">
        <v>205</v>
      </c>
    </row>
  </sheetData>
  <sortState xmlns:xlrd2="http://schemas.microsoft.com/office/spreadsheetml/2017/richdata2" ref="I3:J52">
    <sortCondition ref="I3:I52"/>
  </sortState>
  <dataValidations count="7">
    <dataValidation type="list" allowBlank="1" showInputMessage="1" showErrorMessage="1" sqref="I77" xr:uid="{D2A6AF0C-B193-4864-99EC-E5FBDC2836C3}">
      <formula1>$G$3:$G$48</formula1>
    </dataValidation>
    <dataValidation type="list" allowBlank="1" showInputMessage="1" showErrorMessage="1" sqref="I46" xr:uid="{E4977007-A288-4DBD-91B9-506670E44EA7}">
      <formula1>$I$4:$I$50</formula1>
    </dataValidation>
    <dataValidation type="list" allowBlank="1" showInputMessage="1" showErrorMessage="1" sqref="G81" xr:uid="{3A073734-3427-4E7A-B563-1C3A7F18DA90}">
      <formula1>$E$3:$E$75</formula1>
    </dataValidation>
    <dataValidation type="list" allowBlank="1" showInputMessage="1" showErrorMessage="1" sqref="G42 G8:G9" xr:uid="{451267F2-F34F-48AD-A64B-863206B6D63B}">
      <formula1>$E$4:$E$38</formula1>
    </dataValidation>
    <dataValidation type="list" allowBlank="1" showInputMessage="1" showErrorMessage="1" sqref="G44" xr:uid="{F7ECE3AF-8210-42A2-B83D-245E0559D94C}">
      <formula1>$G$4:$G$39</formula1>
    </dataValidation>
    <dataValidation type="list" allowBlank="1" showInputMessage="1" showErrorMessage="1" sqref="C74" xr:uid="{4CFD50C1-254E-4CFF-8321-F78F79569E5D}">
      <formula1>$C$1:$C$50</formula1>
    </dataValidation>
    <dataValidation type="list" allowBlank="1" showInputMessage="1" showErrorMessage="1" sqref="E69:E70" xr:uid="{55CDD421-1E78-4FDB-B274-1BF48014049D}">
      <formula1>$C$3:$C$58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1"/>
  <sheetViews>
    <sheetView workbookViewId="0"/>
  </sheetViews>
  <sheetFormatPr defaultColWidth="8.88671875" defaultRowHeight="14.4" x14ac:dyDescent="0.3"/>
  <cols>
    <col min="1" max="1" width="32.88671875" style="3" customWidth="1"/>
    <col min="2" max="2" width="8.88671875" style="3"/>
    <col min="3" max="3" width="33.44140625" style="3" customWidth="1"/>
    <col min="4" max="4" width="8.88671875" style="3"/>
    <col min="5" max="5" width="41.88671875" style="3" customWidth="1"/>
    <col min="6" max="6" width="8.88671875" style="3"/>
    <col min="7" max="7" width="46.88671875" style="3" customWidth="1"/>
    <col min="8" max="8" width="8.88671875" style="3"/>
    <col min="9" max="9" width="36.44140625" style="3" customWidth="1"/>
    <col min="10" max="10" width="8.88671875" style="3"/>
    <col min="11" max="11" width="23.88671875" style="3" customWidth="1"/>
    <col min="12" max="15" width="8.88671875" style="3"/>
    <col min="16" max="16" width="37.109375" style="3" customWidth="1"/>
    <col min="17" max="16384" width="8.88671875" style="3"/>
  </cols>
  <sheetData>
    <row r="1" spans="1:16" s="51" customFormat="1" ht="35.25" customHeight="1" x14ac:dyDescent="0.35">
      <c r="A1" s="50" t="s">
        <v>9</v>
      </c>
      <c r="B1" s="50"/>
      <c r="C1" s="50" t="s">
        <v>227</v>
      </c>
      <c r="D1" s="50"/>
      <c r="E1" s="50" t="s">
        <v>11</v>
      </c>
      <c r="F1" s="50"/>
      <c r="G1" s="50" t="s">
        <v>0</v>
      </c>
      <c r="H1" s="50"/>
      <c r="I1" s="50" t="s">
        <v>1</v>
      </c>
      <c r="J1" s="50"/>
      <c r="K1" s="50" t="s">
        <v>107</v>
      </c>
    </row>
    <row r="2" spans="1:16" x14ac:dyDescent="0.3">
      <c r="B2" s="52" t="s">
        <v>10</v>
      </c>
      <c r="C2" s="52"/>
      <c r="D2" s="52" t="s">
        <v>10</v>
      </c>
      <c r="E2" s="52"/>
      <c r="F2" s="52" t="s">
        <v>10</v>
      </c>
      <c r="G2" s="52"/>
      <c r="H2" s="52" t="s">
        <v>10</v>
      </c>
      <c r="I2" s="52"/>
      <c r="J2" s="52" t="s">
        <v>10</v>
      </c>
      <c r="K2" s="52"/>
      <c r="L2" s="52"/>
      <c r="M2" s="52"/>
    </row>
    <row r="3" spans="1:16" x14ac:dyDescent="0.3">
      <c r="A3" s="3" t="s">
        <v>228</v>
      </c>
      <c r="B3" s="3" t="s">
        <v>309</v>
      </c>
      <c r="C3" s="3" t="s">
        <v>229</v>
      </c>
      <c r="D3" s="3">
        <v>10</v>
      </c>
      <c r="E3" s="3" t="s">
        <v>324</v>
      </c>
      <c r="F3" s="3" t="s">
        <v>325</v>
      </c>
      <c r="G3" s="3" t="s">
        <v>610</v>
      </c>
      <c r="H3" s="3">
        <v>100</v>
      </c>
      <c r="I3" s="3" t="s">
        <v>149</v>
      </c>
      <c r="J3" s="3" t="s">
        <v>209</v>
      </c>
      <c r="P3" s="3" t="str">
        <f>CONCATENATE(B3, "-", D3, "-", H27, "-", H3, "-", J3, "-", K3)</f>
        <v>AD-10-124-100-AEL-</v>
      </c>
    </row>
    <row r="4" spans="1:16" x14ac:dyDescent="0.3">
      <c r="A4" s="3" t="s">
        <v>37</v>
      </c>
      <c r="B4" s="3" t="s">
        <v>46</v>
      </c>
      <c r="C4" s="3" t="s">
        <v>417</v>
      </c>
      <c r="D4" s="3">
        <v>11</v>
      </c>
      <c r="E4" s="3" t="s">
        <v>146</v>
      </c>
      <c r="F4" s="3" t="s">
        <v>173</v>
      </c>
      <c r="G4" s="3" t="s">
        <v>612</v>
      </c>
      <c r="H4" s="3">
        <v>101</v>
      </c>
      <c r="I4" s="3" t="s">
        <v>613</v>
      </c>
      <c r="J4" s="3" t="s">
        <v>198</v>
      </c>
      <c r="P4" s="3" t="str">
        <f>CONCATENATE(B4, "-", D4, "-", H29, "-", H4, "-", J4, "-", K4)</f>
        <v>CD-11-126-101-AEP-</v>
      </c>
    </row>
    <row r="5" spans="1:16" x14ac:dyDescent="0.3">
      <c r="A5" s="3" t="s">
        <v>231</v>
      </c>
      <c r="B5" s="3" t="s">
        <v>196</v>
      </c>
      <c r="C5" s="3" t="s">
        <v>419</v>
      </c>
      <c r="D5" s="3">
        <v>12</v>
      </c>
      <c r="E5" s="3" t="s">
        <v>230</v>
      </c>
      <c r="F5" s="3" t="s">
        <v>172</v>
      </c>
      <c r="G5" s="53" t="s">
        <v>149</v>
      </c>
      <c r="H5" s="3">
        <v>102</v>
      </c>
      <c r="I5" s="3" t="s">
        <v>421</v>
      </c>
      <c r="J5" s="3" t="s">
        <v>422</v>
      </c>
      <c r="P5" s="3" t="str">
        <f>CONCATENATE(B5, "-", D5, "-", F59, "-", H5, "-", J5, "-", K5)</f>
        <v>ES-12-STC-102-ALM-</v>
      </c>
    </row>
    <row r="6" spans="1:16" x14ac:dyDescent="0.3">
      <c r="A6" s="3" t="s">
        <v>43</v>
      </c>
      <c r="B6" s="3" t="s">
        <v>197</v>
      </c>
      <c r="C6" s="3" t="s">
        <v>48</v>
      </c>
      <c r="D6" s="3">
        <v>13</v>
      </c>
      <c r="E6" s="3" t="s">
        <v>232</v>
      </c>
      <c r="F6" s="3" t="s">
        <v>171</v>
      </c>
      <c r="G6" s="3" t="s">
        <v>131</v>
      </c>
      <c r="H6" s="3">
        <v>103</v>
      </c>
      <c r="I6" s="3" t="s">
        <v>614</v>
      </c>
      <c r="J6" s="3" t="s">
        <v>163</v>
      </c>
      <c r="P6" s="3" t="str">
        <f t="shared" ref="P6:P43" si="0">CONCATENATE(B6, "-", D6, "-", F6, "-", H6, "-", J6, "-", K6)</f>
        <v>EU-13-AGS-103-ACL-</v>
      </c>
    </row>
    <row r="7" spans="1:16" x14ac:dyDescent="0.3">
      <c r="A7" s="3" t="s">
        <v>38</v>
      </c>
      <c r="B7" s="3" t="s">
        <v>194</v>
      </c>
      <c r="C7" s="3" t="s">
        <v>108</v>
      </c>
      <c r="D7" s="3">
        <v>14</v>
      </c>
      <c r="E7" s="3" t="s">
        <v>354</v>
      </c>
      <c r="F7" s="3" t="s">
        <v>174</v>
      </c>
      <c r="G7" s="3" t="s">
        <v>146</v>
      </c>
      <c r="H7" s="3">
        <v>104</v>
      </c>
      <c r="I7" s="54" t="s">
        <v>615</v>
      </c>
      <c r="J7" s="3" t="s">
        <v>423</v>
      </c>
      <c r="P7" s="3" t="str">
        <f>CONCATENATE(D24, "-", D7, "-", F7, "-", H7, "-", J7, "-", K7)</f>
        <v>31-14-AGF-104-AOX-</v>
      </c>
    </row>
    <row r="8" spans="1:16" x14ac:dyDescent="0.3">
      <c r="C8" s="3" t="s">
        <v>49</v>
      </c>
      <c r="D8" s="3">
        <v>15</v>
      </c>
      <c r="E8" s="3" t="s">
        <v>326</v>
      </c>
      <c r="F8" s="3" t="s">
        <v>327</v>
      </c>
      <c r="G8" s="3" t="s">
        <v>230</v>
      </c>
      <c r="H8" s="3">
        <v>105</v>
      </c>
      <c r="I8" s="54" t="s">
        <v>616</v>
      </c>
      <c r="J8" s="3" t="s">
        <v>424</v>
      </c>
      <c r="P8" s="3" t="e">
        <f>CONCATENATE(B8, "-", D8, "-", H28, "-",#REF!, "-", J8, "-", K8)</f>
        <v>#REF!</v>
      </c>
    </row>
    <row r="9" spans="1:16" x14ac:dyDescent="0.3">
      <c r="C9" s="3" t="s">
        <v>323</v>
      </c>
      <c r="D9" s="3">
        <v>16</v>
      </c>
      <c r="E9" s="3" t="s">
        <v>99</v>
      </c>
      <c r="F9" s="3" t="s">
        <v>310</v>
      </c>
      <c r="G9" s="3" t="s">
        <v>232</v>
      </c>
      <c r="H9" s="3">
        <v>106</v>
      </c>
      <c r="I9" s="3" t="s">
        <v>618</v>
      </c>
      <c r="J9" s="3" t="s">
        <v>425</v>
      </c>
      <c r="P9" s="3" t="e">
        <f>CONCATENATE(B9, "-", D9, "-", F9, "-",#REF!, "-", J9, "-", K9)</f>
        <v>#REF!</v>
      </c>
    </row>
    <row r="10" spans="1:16" x14ac:dyDescent="0.3">
      <c r="C10" s="3" t="s">
        <v>233</v>
      </c>
      <c r="D10" s="3">
        <v>17</v>
      </c>
      <c r="E10" s="3" t="s">
        <v>145</v>
      </c>
      <c r="F10" s="3" t="s">
        <v>175</v>
      </c>
      <c r="G10" s="3" t="s">
        <v>147</v>
      </c>
      <c r="H10" s="3">
        <v>107</v>
      </c>
      <c r="I10" s="3" t="s">
        <v>620</v>
      </c>
      <c r="J10" s="3" t="s">
        <v>501</v>
      </c>
      <c r="P10" s="3" t="str">
        <f t="shared" si="0"/>
        <v>-17-ARL-107-ATU-</v>
      </c>
    </row>
    <row r="11" spans="1:16" x14ac:dyDescent="0.3">
      <c r="C11" s="3" t="s">
        <v>705</v>
      </c>
      <c r="D11" s="3">
        <v>18</v>
      </c>
      <c r="E11" s="3" t="s">
        <v>417</v>
      </c>
      <c r="F11" s="3" t="s">
        <v>418</v>
      </c>
      <c r="G11" s="3" t="s">
        <v>352</v>
      </c>
      <c r="H11" s="3">
        <v>108</v>
      </c>
      <c r="I11" s="3" t="s">
        <v>426</v>
      </c>
      <c r="J11" s="3" t="s">
        <v>427</v>
      </c>
      <c r="P11" s="3" t="str">
        <f t="shared" si="0"/>
        <v>-18-BEL-108-BAL-</v>
      </c>
    </row>
    <row r="12" spans="1:16" x14ac:dyDescent="0.3">
      <c r="C12" s="3" t="s">
        <v>706</v>
      </c>
      <c r="D12" s="3">
        <v>19</v>
      </c>
      <c r="E12" s="3" t="s">
        <v>419</v>
      </c>
      <c r="F12" s="3" t="s">
        <v>420</v>
      </c>
      <c r="G12" s="3" t="s">
        <v>421</v>
      </c>
      <c r="H12" s="3">
        <v>109</v>
      </c>
      <c r="I12" s="3" t="s">
        <v>622</v>
      </c>
      <c r="J12" s="3" t="s">
        <v>314</v>
      </c>
      <c r="P12" s="3" t="str">
        <f t="shared" si="0"/>
        <v>-19-BSD-109-BBA-</v>
      </c>
    </row>
    <row r="13" spans="1:16" x14ac:dyDescent="0.3">
      <c r="C13" s="3" t="s">
        <v>599</v>
      </c>
      <c r="D13" s="3">
        <v>20</v>
      </c>
      <c r="E13" s="3" t="s">
        <v>274</v>
      </c>
      <c r="F13" s="3" t="s">
        <v>275</v>
      </c>
      <c r="G13" s="3" t="s">
        <v>145</v>
      </c>
      <c r="H13" s="3">
        <v>110</v>
      </c>
      <c r="I13" s="3" t="s">
        <v>100</v>
      </c>
      <c r="J13" s="3" t="s">
        <v>353</v>
      </c>
      <c r="P13" s="3" t="str">
        <f t="shared" si="0"/>
        <v>-20-BBG-110-BCA-</v>
      </c>
    </row>
    <row r="14" spans="1:16" x14ac:dyDescent="0.3">
      <c r="C14" s="3" t="s">
        <v>605</v>
      </c>
      <c r="D14" s="3">
        <v>21</v>
      </c>
      <c r="E14" s="3" t="s">
        <v>323</v>
      </c>
      <c r="F14" s="3" t="s">
        <v>617</v>
      </c>
      <c r="G14" s="3" t="s">
        <v>426</v>
      </c>
      <c r="H14" s="3">
        <v>111</v>
      </c>
      <c r="I14" s="3" t="s">
        <v>623</v>
      </c>
      <c r="J14" s="3" t="s">
        <v>624</v>
      </c>
      <c r="P14" s="3" t="str">
        <f t="shared" si="0"/>
        <v>-21-ENT-111-BOI-</v>
      </c>
    </row>
    <row r="15" spans="1:16" x14ac:dyDescent="0.3">
      <c r="C15" s="3" t="s">
        <v>604</v>
      </c>
      <c r="D15" s="3">
        <v>22</v>
      </c>
      <c r="E15" s="3" t="s">
        <v>625</v>
      </c>
      <c r="F15" s="3" t="s">
        <v>317</v>
      </c>
      <c r="G15" s="3" t="s">
        <v>622</v>
      </c>
      <c r="H15" s="3">
        <v>112</v>
      </c>
      <c r="I15" s="3" t="s">
        <v>150</v>
      </c>
      <c r="J15" s="3" t="s">
        <v>179</v>
      </c>
      <c r="P15" s="3" t="str">
        <f t="shared" si="0"/>
        <v>-22-CMR-112-BOM-</v>
      </c>
    </row>
    <row r="16" spans="1:16" x14ac:dyDescent="0.3">
      <c r="C16" s="3" t="s">
        <v>608</v>
      </c>
      <c r="D16" s="3">
        <v>23</v>
      </c>
      <c r="E16" s="3" t="s">
        <v>626</v>
      </c>
      <c r="F16" s="3" t="s">
        <v>316</v>
      </c>
      <c r="G16" s="3" t="s">
        <v>100</v>
      </c>
      <c r="H16" s="3">
        <v>113</v>
      </c>
      <c r="I16" s="3" t="s">
        <v>333</v>
      </c>
      <c r="J16" s="3" t="s">
        <v>202</v>
      </c>
      <c r="P16" s="3" t="str">
        <f>CONCATENATE(B16, "-", D16, "-", F16, "-", J18, "-", J16, "-", K16)</f>
        <v>-23-CML-CAN-CEN-</v>
      </c>
    </row>
    <row r="17" spans="3:16" x14ac:dyDescent="0.3">
      <c r="C17" s="3" t="s">
        <v>428</v>
      </c>
      <c r="D17" s="3">
        <v>24</v>
      </c>
      <c r="E17" s="3" t="s">
        <v>101</v>
      </c>
      <c r="F17" s="3" t="s">
        <v>142</v>
      </c>
      <c r="G17" s="3" t="s">
        <v>623</v>
      </c>
      <c r="H17" s="3">
        <v>114</v>
      </c>
      <c r="I17" s="3" t="s">
        <v>627</v>
      </c>
      <c r="J17" s="3" t="s">
        <v>210</v>
      </c>
      <c r="P17" s="3" t="str">
        <f t="shared" si="0"/>
        <v>-24-CAN-114-CPA-</v>
      </c>
    </row>
    <row r="18" spans="3:16" x14ac:dyDescent="0.3">
      <c r="C18" s="3" t="s">
        <v>234</v>
      </c>
      <c r="D18" s="3">
        <v>25</v>
      </c>
      <c r="E18" s="3" t="s">
        <v>430</v>
      </c>
      <c r="F18" s="3" t="s">
        <v>431</v>
      </c>
      <c r="G18" s="54" t="s">
        <v>707</v>
      </c>
      <c r="H18" s="3">
        <v>115</v>
      </c>
      <c r="I18" s="3" t="s">
        <v>101</v>
      </c>
      <c r="J18" s="3" t="s">
        <v>142</v>
      </c>
      <c r="P18" s="3" t="e">
        <f>CONCATENATE(B18, "-", D18, "-", F18, "-", H18, "-",#REF!, "-", K18)</f>
        <v>#REF!</v>
      </c>
    </row>
    <row r="19" spans="3:16" x14ac:dyDescent="0.3">
      <c r="C19" s="3" t="s">
        <v>235</v>
      </c>
      <c r="D19" s="3">
        <v>26</v>
      </c>
      <c r="E19" s="3" t="s">
        <v>115</v>
      </c>
      <c r="F19" s="3" t="s">
        <v>293</v>
      </c>
      <c r="G19" s="54" t="s">
        <v>323</v>
      </c>
      <c r="H19" s="3">
        <v>116</v>
      </c>
      <c r="I19" s="3" t="s">
        <v>288</v>
      </c>
      <c r="J19" s="3" t="s">
        <v>289</v>
      </c>
      <c r="P19" s="3" t="str">
        <f t="shared" si="0"/>
        <v>-26-CAL-116-CBA-</v>
      </c>
    </row>
    <row r="20" spans="3:16" x14ac:dyDescent="0.3">
      <c r="C20" s="3" t="s">
        <v>237</v>
      </c>
      <c r="D20" s="3">
        <v>27</v>
      </c>
      <c r="E20" s="3" t="s">
        <v>140</v>
      </c>
      <c r="F20" s="3" t="s">
        <v>311</v>
      </c>
      <c r="G20" s="54" t="s">
        <v>240</v>
      </c>
      <c r="H20" s="3">
        <v>117</v>
      </c>
      <c r="I20" s="3" t="s">
        <v>432</v>
      </c>
      <c r="J20" s="3" t="s">
        <v>433</v>
      </c>
      <c r="P20" s="3" t="str">
        <f t="shared" si="0"/>
        <v>-27-CLO-117-CHO-</v>
      </c>
    </row>
    <row r="21" spans="3:16" x14ac:dyDescent="0.3">
      <c r="C21" s="3" t="s">
        <v>31</v>
      </c>
      <c r="D21" s="3">
        <v>28</v>
      </c>
      <c r="E21" s="3" t="s">
        <v>335</v>
      </c>
      <c r="F21" s="3" t="s">
        <v>349</v>
      </c>
      <c r="G21" s="3" t="s">
        <v>135</v>
      </c>
      <c r="H21" s="3">
        <v>118</v>
      </c>
      <c r="I21" s="3" t="s">
        <v>629</v>
      </c>
      <c r="J21" s="3" t="s">
        <v>541</v>
      </c>
      <c r="P21" s="3" t="str">
        <f t="shared" si="0"/>
        <v>-28-DEC-118-CEL-</v>
      </c>
    </row>
    <row r="22" spans="3:16" x14ac:dyDescent="0.3">
      <c r="C22" s="3" t="s">
        <v>115</v>
      </c>
      <c r="D22" s="3">
        <v>29</v>
      </c>
      <c r="E22" s="3" t="s">
        <v>630</v>
      </c>
      <c r="F22" s="3" t="s">
        <v>631</v>
      </c>
      <c r="G22" s="3" t="s">
        <v>101</v>
      </c>
      <c r="H22" s="3">
        <v>119</v>
      </c>
      <c r="I22" s="3" t="s">
        <v>434</v>
      </c>
      <c r="J22" s="3" t="s">
        <v>334</v>
      </c>
      <c r="P22" s="3" t="str">
        <f t="shared" si="0"/>
        <v>-29-DES-119-CHI-</v>
      </c>
    </row>
    <row r="23" spans="3:16" x14ac:dyDescent="0.3">
      <c r="C23" s="3" t="s">
        <v>42</v>
      </c>
      <c r="D23" s="3">
        <v>30</v>
      </c>
      <c r="E23" s="3" t="s">
        <v>148</v>
      </c>
      <c r="F23" s="3" t="s">
        <v>633</v>
      </c>
      <c r="G23" s="3" t="s">
        <v>437</v>
      </c>
      <c r="H23" s="3">
        <v>120</v>
      </c>
      <c r="I23" s="3" t="s">
        <v>635</v>
      </c>
      <c r="J23" s="3" t="s">
        <v>636</v>
      </c>
      <c r="P23" s="3" t="str">
        <f t="shared" si="0"/>
        <v>-30-DEF-120-POS-</v>
      </c>
    </row>
    <row r="24" spans="3:16" x14ac:dyDescent="0.3">
      <c r="C24" s="3" t="s">
        <v>239</v>
      </c>
      <c r="D24" s="3">
        <v>31</v>
      </c>
      <c r="E24" s="3" t="s">
        <v>152</v>
      </c>
      <c r="F24" s="3" t="s">
        <v>637</v>
      </c>
      <c r="G24" s="3" t="s">
        <v>634</v>
      </c>
      <c r="H24" s="3">
        <v>121</v>
      </c>
      <c r="I24" s="53" t="s">
        <v>638</v>
      </c>
      <c r="J24" s="3" t="s">
        <v>639</v>
      </c>
      <c r="P24" s="3" t="str">
        <f t="shared" si="0"/>
        <v>-31-DEL-121-PRE-</v>
      </c>
    </row>
    <row r="25" spans="3:16" x14ac:dyDescent="0.3">
      <c r="C25" s="3" t="s">
        <v>435</v>
      </c>
      <c r="D25" s="3">
        <v>32</v>
      </c>
      <c r="E25" s="3" t="s">
        <v>238</v>
      </c>
      <c r="F25" s="3" t="s">
        <v>293</v>
      </c>
      <c r="G25" s="3" t="s">
        <v>136</v>
      </c>
      <c r="H25" s="3">
        <v>122</v>
      </c>
      <c r="I25" s="3" t="s">
        <v>642</v>
      </c>
      <c r="J25" s="3" t="s">
        <v>602</v>
      </c>
      <c r="P25" s="3" t="str">
        <f t="shared" si="0"/>
        <v>-32-CAL-122-CME-</v>
      </c>
    </row>
    <row r="26" spans="3:16" x14ac:dyDescent="0.3">
      <c r="C26" s="3" t="s">
        <v>241</v>
      </c>
      <c r="D26" s="3">
        <v>33</v>
      </c>
      <c r="E26" s="3" t="s">
        <v>124</v>
      </c>
      <c r="F26" s="3" t="s">
        <v>293</v>
      </c>
      <c r="G26" s="3" t="s">
        <v>640</v>
      </c>
      <c r="H26" s="3">
        <v>123</v>
      </c>
      <c r="I26" s="3" t="s">
        <v>136</v>
      </c>
      <c r="J26" s="3" t="s">
        <v>177</v>
      </c>
      <c r="P26" s="3" t="str">
        <f t="shared" si="0"/>
        <v>-33-CAL-123-COM-</v>
      </c>
    </row>
    <row r="27" spans="3:16" x14ac:dyDescent="0.3">
      <c r="C27" s="3" t="s">
        <v>242</v>
      </c>
      <c r="D27" s="3">
        <v>34</v>
      </c>
      <c r="E27" s="3" t="s">
        <v>138</v>
      </c>
      <c r="F27" s="3" t="s">
        <v>320</v>
      </c>
      <c r="G27" s="3" t="s">
        <v>643</v>
      </c>
      <c r="H27" s="3">
        <v>124</v>
      </c>
      <c r="I27" s="3" t="s">
        <v>151</v>
      </c>
      <c r="J27" s="3" t="s">
        <v>199</v>
      </c>
      <c r="P27" s="3" t="str">
        <f t="shared" si="0"/>
        <v>-34-HTH-124-CPS-</v>
      </c>
    </row>
    <row r="28" spans="3:16" x14ac:dyDescent="0.3">
      <c r="C28" s="3" t="s">
        <v>243</v>
      </c>
      <c r="D28" s="3">
        <v>35</v>
      </c>
      <c r="E28" s="3" t="s">
        <v>123</v>
      </c>
      <c r="F28" s="3" t="s">
        <v>647</v>
      </c>
      <c r="G28" s="3" t="s">
        <v>645</v>
      </c>
      <c r="H28" s="3">
        <v>125</v>
      </c>
      <c r="I28" s="3" t="s">
        <v>13</v>
      </c>
      <c r="J28" s="3" t="s">
        <v>14</v>
      </c>
      <c r="P28" s="3" t="str">
        <f t="shared" si="0"/>
        <v>-35-PAC-125-CON-</v>
      </c>
    </row>
    <row r="29" spans="3:16" x14ac:dyDescent="0.3">
      <c r="C29" s="3" t="s">
        <v>119</v>
      </c>
      <c r="D29" s="3">
        <v>36</v>
      </c>
      <c r="E29" s="3" t="s">
        <v>244</v>
      </c>
      <c r="F29" s="3" t="s">
        <v>292</v>
      </c>
      <c r="G29" s="3" t="s">
        <v>648</v>
      </c>
      <c r="H29" s="3">
        <v>126</v>
      </c>
      <c r="I29" s="3" t="s">
        <v>200</v>
      </c>
      <c r="J29" s="3" t="s">
        <v>201</v>
      </c>
      <c r="P29" s="3" t="str">
        <f t="shared" si="0"/>
        <v>-36-DPP-126-DFC-</v>
      </c>
    </row>
    <row r="30" spans="3:16" x14ac:dyDescent="0.3">
      <c r="C30" s="3" t="s">
        <v>438</v>
      </c>
      <c r="D30" s="3">
        <v>37</v>
      </c>
      <c r="E30" s="3" t="s">
        <v>245</v>
      </c>
      <c r="F30" s="3" t="s">
        <v>652</v>
      </c>
      <c r="G30" s="3" t="s">
        <v>650</v>
      </c>
      <c r="H30" s="3">
        <v>127</v>
      </c>
      <c r="I30" s="3" t="s">
        <v>440</v>
      </c>
      <c r="J30" s="3" t="s">
        <v>159</v>
      </c>
      <c r="P30" s="3" t="str">
        <f t="shared" si="0"/>
        <v>-37-PT1-127-EXT-</v>
      </c>
    </row>
    <row r="31" spans="3:16" x14ac:dyDescent="0.3">
      <c r="C31" s="3" t="s">
        <v>249</v>
      </c>
      <c r="D31" s="3">
        <v>38</v>
      </c>
      <c r="E31" s="3" t="s">
        <v>246</v>
      </c>
      <c r="F31" s="3" t="s">
        <v>653</v>
      </c>
      <c r="G31" s="3" t="s">
        <v>335</v>
      </c>
      <c r="H31" s="3">
        <v>128</v>
      </c>
      <c r="I31" s="3" t="s">
        <v>15</v>
      </c>
      <c r="J31" s="3" t="s">
        <v>16</v>
      </c>
      <c r="P31" s="3" t="str">
        <f t="shared" si="0"/>
        <v>-38-PT2-128-GER-</v>
      </c>
    </row>
    <row r="32" spans="3:16" x14ac:dyDescent="0.3">
      <c r="C32" s="3" t="s">
        <v>50</v>
      </c>
      <c r="D32" s="3">
        <v>39</v>
      </c>
      <c r="E32" s="3" t="s">
        <v>247</v>
      </c>
      <c r="F32" s="3" t="s">
        <v>471</v>
      </c>
      <c r="G32" s="3" t="s">
        <v>350</v>
      </c>
      <c r="H32" s="3">
        <v>129</v>
      </c>
      <c r="I32" s="3" t="s">
        <v>654</v>
      </c>
      <c r="J32" s="3" t="s">
        <v>655</v>
      </c>
      <c r="P32" s="3" t="str">
        <f t="shared" si="0"/>
        <v>-39-SUL-129-GEL-</v>
      </c>
    </row>
    <row r="33" spans="3:16" x14ac:dyDescent="0.3">
      <c r="C33" s="3" t="s">
        <v>56</v>
      </c>
      <c r="D33" s="3">
        <v>40</v>
      </c>
      <c r="E33" s="3" t="s">
        <v>319</v>
      </c>
      <c r="F33" s="3" t="s">
        <v>207</v>
      </c>
      <c r="G33" s="3" t="s">
        <v>351</v>
      </c>
      <c r="H33" s="3">
        <v>130</v>
      </c>
      <c r="I33" s="3" t="s">
        <v>658</v>
      </c>
      <c r="J33" s="3" t="s">
        <v>659</v>
      </c>
      <c r="P33" s="3" t="str">
        <f t="shared" si="0"/>
        <v>-40-ULT-130-GMC-</v>
      </c>
    </row>
    <row r="34" spans="3:16" x14ac:dyDescent="0.3">
      <c r="C34" s="3" t="s">
        <v>51</v>
      </c>
      <c r="D34" s="3">
        <v>41</v>
      </c>
      <c r="E34" s="3" t="s">
        <v>285</v>
      </c>
      <c r="F34" s="3" t="s">
        <v>291</v>
      </c>
      <c r="G34" s="3" t="s">
        <v>656</v>
      </c>
      <c r="H34" s="3">
        <v>131</v>
      </c>
      <c r="I34" s="3" t="s">
        <v>141</v>
      </c>
      <c r="J34" s="3" t="s">
        <v>441</v>
      </c>
      <c r="P34" s="3" t="str">
        <f t="shared" si="0"/>
        <v>-41-ECA-131-ILL-</v>
      </c>
    </row>
    <row r="35" spans="3:16" x14ac:dyDescent="0.3">
      <c r="C35" s="3" t="s">
        <v>57</v>
      </c>
      <c r="D35" s="3">
        <v>42</v>
      </c>
      <c r="E35" s="3" t="s">
        <v>444</v>
      </c>
      <c r="F35" s="3" t="s">
        <v>318</v>
      </c>
      <c r="G35" s="3" t="s">
        <v>660</v>
      </c>
      <c r="H35" s="3">
        <v>132</v>
      </c>
      <c r="I35" s="3" t="s">
        <v>370</v>
      </c>
      <c r="J35" s="3" t="s">
        <v>442</v>
      </c>
      <c r="P35" s="3" t="str">
        <f t="shared" si="0"/>
        <v>-42-ESA-132-MCD-</v>
      </c>
    </row>
    <row r="36" spans="3:16" x14ac:dyDescent="0.3">
      <c r="C36" s="3" t="s">
        <v>52</v>
      </c>
      <c r="D36" s="3">
        <v>43</v>
      </c>
      <c r="E36" s="3" t="s">
        <v>248</v>
      </c>
      <c r="F36" s="3" t="s">
        <v>294</v>
      </c>
      <c r="G36" s="3" t="s">
        <v>662</v>
      </c>
      <c r="H36" s="3">
        <v>133</v>
      </c>
      <c r="I36" s="3" t="s">
        <v>17</v>
      </c>
      <c r="J36" s="3" t="s">
        <v>18</v>
      </c>
      <c r="P36" s="3" t="str">
        <f t="shared" si="0"/>
        <v>-43-ELA-133-MNI-</v>
      </c>
    </row>
    <row r="37" spans="3:16" x14ac:dyDescent="0.3">
      <c r="C37" s="3" t="s">
        <v>33</v>
      </c>
      <c r="D37" s="3">
        <v>44</v>
      </c>
      <c r="E37" s="3" t="s">
        <v>157</v>
      </c>
      <c r="F37" s="3" t="s">
        <v>158</v>
      </c>
      <c r="G37" s="3" t="s">
        <v>664</v>
      </c>
      <c r="H37" s="3">
        <v>134</v>
      </c>
      <c r="I37" s="3" t="s">
        <v>19</v>
      </c>
      <c r="J37" s="3" t="s">
        <v>667</v>
      </c>
      <c r="P37" s="3" t="str">
        <f t="shared" si="0"/>
        <v>-44-ESG-134-MPH-</v>
      </c>
    </row>
    <row r="38" spans="3:16" x14ac:dyDescent="0.3">
      <c r="C38" s="3" t="s">
        <v>41</v>
      </c>
      <c r="D38" s="3">
        <v>45</v>
      </c>
      <c r="E38" s="3" t="s">
        <v>119</v>
      </c>
      <c r="F38" s="3" t="s">
        <v>295</v>
      </c>
      <c r="G38" s="3" t="s">
        <v>236</v>
      </c>
      <c r="H38" s="3">
        <v>135</v>
      </c>
      <c r="I38" s="3" t="s">
        <v>341</v>
      </c>
      <c r="J38" s="3" t="s">
        <v>20</v>
      </c>
      <c r="P38" s="3" t="str">
        <f t="shared" si="0"/>
        <v>-45-EGR-135-MPR-</v>
      </c>
    </row>
    <row r="39" spans="3:16" x14ac:dyDescent="0.3">
      <c r="C39" s="3" t="s">
        <v>30</v>
      </c>
      <c r="D39" s="3">
        <v>46</v>
      </c>
      <c r="E39" s="3" t="s">
        <v>342</v>
      </c>
      <c r="F39" s="3" t="s">
        <v>343</v>
      </c>
      <c r="G39" s="3" t="s">
        <v>134</v>
      </c>
      <c r="H39" s="3">
        <v>136</v>
      </c>
      <c r="I39" s="3" t="s">
        <v>340</v>
      </c>
      <c r="J39" s="3" t="s">
        <v>339</v>
      </c>
      <c r="P39" s="3" t="str">
        <f t="shared" si="0"/>
        <v>-46-FIL-136-MTP-</v>
      </c>
    </row>
    <row r="40" spans="3:16" x14ac:dyDescent="0.3">
      <c r="C40" s="3" t="s">
        <v>250</v>
      </c>
      <c r="D40" s="3">
        <v>47</v>
      </c>
      <c r="E40" s="3" t="s">
        <v>217</v>
      </c>
      <c r="F40" s="3" t="s">
        <v>161</v>
      </c>
      <c r="G40" s="3" t="s">
        <v>132</v>
      </c>
      <c r="H40" s="3">
        <v>137</v>
      </c>
      <c r="I40" s="3" t="s">
        <v>21</v>
      </c>
      <c r="J40" s="3" t="s">
        <v>22</v>
      </c>
      <c r="P40" s="3" t="str">
        <f t="shared" si="0"/>
        <v>-47-GOX-137-MOT-</v>
      </c>
    </row>
    <row r="41" spans="3:16" x14ac:dyDescent="0.3">
      <c r="C41" s="3" t="s">
        <v>53</v>
      </c>
      <c r="D41" s="3">
        <v>48</v>
      </c>
      <c r="E41" s="3" t="s">
        <v>219</v>
      </c>
      <c r="F41" s="3" t="s">
        <v>162</v>
      </c>
      <c r="G41" s="3" t="s">
        <v>157</v>
      </c>
      <c r="H41" s="3">
        <v>138</v>
      </c>
      <c r="I41" s="3" t="s">
        <v>23</v>
      </c>
      <c r="J41" s="3" t="s">
        <v>24</v>
      </c>
      <c r="P41" s="3" t="str">
        <f t="shared" si="0"/>
        <v>-48-GOZ-138-PRD-</v>
      </c>
    </row>
    <row r="42" spans="3:16" x14ac:dyDescent="0.3">
      <c r="C42" s="39" t="s">
        <v>29</v>
      </c>
      <c r="D42" s="3">
        <v>49</v>
      </c>
      <c r="E42" s="3" t="s">
        <v>141</v>
      </c>
      <c r="F42" s="3" t="s">
        <v>296</v>
      </c>
      <c r="G42" s="3" t="s">
        <v>322</v>
      </c>
      <c r="H42" s="3">
        <v>139</v>
      </c>
      <c r="I42" s="3" t="s">
        <v>153</v>
      </c>
      <c r="J42" s="3" t="s">
        <v>203</v>
      </c>
      <c r="P42" s="3" t="str">
        <f t="shared" si="0"/>
        <v>-49-ILU-139-PRO-</v>
      </c>
    </row>
    <row r="43" spans="3:16" x14ac:dyDescent="0.3">
      <c r="C43" s="3" t="s">
        <v>54</v>
      </c>
      <c r="D43" s="3">
        <v>50</v>
      </c>
      <c r="E43" s="3" t="s">
        <v>139</v>
      </c>
      <c r="F43" s="3" t="s">
        <v>299</v>
      </c>
      <c r="G43" s="55" t="s">
        <v>342</v>
      </c>
      <c r="H43" s="3">
        <v>140</v>
      </c>
      <c r="I43" s="3" t="s">
        <v>443</v>
      </c>
      <c r="J43" s="3" t="s">
        <v>502</v>
      </c>
      <c r="P43" s="3" t="str">
        <f t="shared" si="0"/>
        <v>-50-OZO-140-QBT-</v>
      </c>
    </row>
    <row r="44" spans="3:16" x14ac:dyDescent="0.3">
      <c r="C44" s="3" t="s">
        <v>32</v>
      </c>
      <c r="D44" s="3">
        <v>51</v>
      </c>
      <c r="E44" s="3" t="s">
        <v>214</v>
      </c>
      <c r="F44" s="3" t="s">
        <v>312</v>
      </c>
      <c r="G44" s="3" t="s">
        <v>603</v>
      </c>
      <c r="H44" s="3">
        <v>141</v>
      </c>
      <c r="I44" s="3" t="s">
        <v>445</v>
      </c>
      <c r="J44" s="3" t="s">
        <v>503</v>
      </c>
    </row>
    <row r="45" spans="3:16" x14ac:dyDescent="0.3">
      <c r="C45" s="3" t="s">
        <v>58</v>
      </c>
      <c r="D45" s="3">
        <v>52</v>
      </c>
      <c r="E45" s="3" t="s">
        <v>252</v>
      </c>
      <c r="F45" s="3" t="s">
        <v>636</v>
      </c>
      <c r="G45" s="3" t="s">
        <v>15</v>
      </c>
      <c r="H45" s="3">
        <v>142</v>
      </c>
      <c r="I45" s="3" t="s">
        <v>286</v>
      </c>
      <c r="J45" s="3" t="s">
        <v>211</v>
      </c>
    </row>
    <row r="46" spans="3:16" x14ac:dyDescent="0.3">
      <c r="C46" s="3" t="s">
        <v>40</v>
      </c>
      <c r="D46" s="3">
        <v>53</v>
      </c>
      <c r="E46" s="3" t="s">
        <v>251</v>
      </c>
      <c r="F46" s="3" t="s">
        <v>639</v>
      </c>
      <c r="G46" s="3" t="s">
        <v>104</v>
      </c>
      <c r="H46" s="3">
        <v>143</v>
      </c>
      <c r="I46" s="3" t="s">
        <v>446</v>
      </c>
      <c r="J46" s="3" t="s">
        <v>447</v>
      </c>
    </row>
    <row r="47" spans="3:16" x14ac:dyDescent="0.3">
      <c r="C47" s="3" t="s">
        <v>213</v>
      </c>
      <c r="D47" s="3">
        <v>54</v>
      </c>
      <c r="E47" s="3" t="s">
        <v>215</v>
      </c>
      <c r="F47" s="3" t="s">
        <v>293</v>
      </c>
      <c r="G47" s="3" t="s">
        <v>448</v>
      </c>
      <c r="H47" s="3">
        <v>144</v>
      </c>
      <c r="I47" s="3" t="s">
        <v>154</v>
      </c>
      <c r="J47" s="3" t="s">
        <v>180</v>
      </c>
    </row>
    <row r="48" spans="3:16" x14ac:dyDescent="0.3">
      <c r="C48" s="3" t="s">
        <v>34</v>
      </c>
      <c r="D48" s="3">
        <v>55</v>
      </c>
      <c r="E48" s="3" t="s">
        <v>466</v>
      </c>
      <c r="F48" s="3" t="s">
        <v>647</v>
      </c>
      <c r="G48" s="3" t="s">
        <v>451</v>
      </c>
      <c r="H48" s="3">
        <v>145</v>
      </c>
      <c r="I48" s="3" t="s">
        <v>449</v>
      </c>
      <c r="J48" s="3" t="s">
        <v>450</v>
      </c>
    </row>
    <row r="49" spans="3:10" x14ac:dyDescent="0.3">
      <c r="C49" s="3" t="s">
        <v>218</v>
      </c>
      <c r="D49" s="3">
        <v>56</v>
      </c>
      <c r="E49" s="3" t="s">
        <v>469</v>
      </c>
      <c r="F49" s="3" t="s">
        <v>674</v>
      </c>
      <c r="G49" s="3" t="s">
        <v>672</v>
      </c>
      <c r="H49" s="3">
        <v>146</v>
      </c>
      <c r="I49" s="54" t="s">
        <v>287</v>
      </c>
      <c r="J49" s="3" t="s">
        <v>290</v>
      </c>
    </row>
    <row r="50" spans="3:10" x14ac:dyDescent="0.3">
      <c r="C50" s="3" t="s">
        <v>461</v>
      </c>
      <c r="D50" s="3">
        <v>57</v>
      </c>
      <c r="E50" s="3" t="s">
        <v>474</v>
      </c>
      <c r="F50" s="3" t="s">
        <v>675</v>
      </c>
      <c r="G50" s="3" t="s">
        <v>453</v>
      </c>
      <c r="H50" s="3">
        <v>147</v>
      </c>
      <c r="I50" s="53" t="s">
        <v>452</v>
      </c>
      <c r="J50" s="3" t="s">
        <v>313</v>
      </c>
    </row>
    <row r="51" spans="3:10" x14ac:dyDescent="0.3">
      <c r="C51" s="3" t="s">
        <v>122</v>
      </c>
      <c r="D51" s="3">
        <v>58</v>
      </c>
      <c r="E51" s="3" t="s">
        <v>216</v>
      </c>
      <c r="F51" s="3" t="s">
        <v>677</v>
      </c>
      <c r="G51" s="3" t="s">
        <v>220</v>
      </c>
      <c r="H51" s="3">
        <v>148</v>
      </c>
      <c r="I51" s="3" t="s">
        <v>328</v>
      </c>
      <c r="J51" s="3" t="s">
        <v>329</v>
      </c>
    </row>
    <row r="52" spans="3:10" x14ac:dyDescent="0.3">
      <c r="C52" s="3" t="s">
        <v>114</v>
      </c>
      <c r="D52" s="3">
        <v>59</v>
      </c>
      <c r="E52" s="3" t="s">
        <v>483</v>
      </c>
      <c r="F52" s="3" t="s">
        <v>315</v>
      </c>
      <c r="G52" s="3" t="s">
        <v>139</v>
      </c>
      <c r="H52" s="3">
        <v>149</v>
      </c>
      <c r="I52" s="3" t="s">
        <v>454</v>
      </c>
      <c r="J52" s="3" t="s">
        <v>455</v>
      </c>
    </row>
    <row r="53" spans="3:10" x14ac:dyDescent="0.3">
      <c r="C53" s="3" t="s">
        <v>472</v>
      </c>
      <c r="D53" s="3">
        <v>60</v>
      </c>
      <c r="E53" s="3" t="s">
        <v>154</v>
      </c>
      <c r="F53" s="3" t="s">
        <v>180</v>
      </c>
      <c r="G53" s="54" t="s">
        <v>153</v>
      </c>
      <c r="H53" s="3">
        <v>150</v>
      </c>
      <c r="I53" s="3" t="s">
        <v>456</v>
      </c>
      <c r="J53" s="3" t="s">
        <v>457</v>
      </c>
    </row>
    <row r="54" spans="3:10" x14ac:dyDescent="0.3">
      <c r="C54" s="3" t="s">
        <v>478</v>
      </c>
      <c r="D54" s="3">
        <v>61</v>
      </c>
      <c r="E54" s="3" t="s">
        <v>122</v>
      </c>
      <c r="F54" s="3" t="s">
        <v>465</v>
      </c>
      <c r="G54" s="3" t="s">
        <v>213</v>
      </c>
      <c r="H54" s="3">
        <v>151</v>
      </c>
      <c r="I54" s="3" t="s">
        <v>458</v>
      </c>
      <c r="J54" s="3" t="s">
        <v>459</v>
      </c>
    </row>
    <row r="55" spans="3:10" x14ac:dyDescent="0.3">
      <c r="C55" s="3" t="s">
        <v>116</v>
      </c>
      <c r="D55" s="3">
        <v>62</v>
      </c>
      <c r="E55" s="3" t="s">
        <v>114</v>
      </c>
      <c r="F55" s="3" t="s">
        <v>455</v>
      </c>
      <c r="G55" s="54" t="s">
        <v>286</v>
      </c>
      <c r="H55" s="3">
        <v>152</v>
      </c>
      <c r="I55" s="3" t="s">
        <v>460</v>
      </c>
      <c r="J55" s="3" t="s">
        <v>117</v>
      </c>
    </row>
    <row r="56" spans="3:10" x14ac:dyDescent="0.3">
      <c r="C56" s="3" t="s">
        <v>221</v>
      </c>
      <c r="D56" s="3">
        <v>63</v>
      </c>
      <c r="E56" s="3" t="s">
        <v>478</v>
      </c>
      <c r="F56" s="3" t="s">
        <v>479</v>
      </c>
      <c r="G56" s="3" t="s">
        <v>475</v>
      </c>
      <c r="H56" s="3">
        <v>153</v>
      </c>
      <c r="I56" s="3" t="s">
        <v>463</v>
      </c>
      <c r="J56" s="3" t="s">
        <v>464</v>
      </c>
    </row>
    <row r="57" spans="3:10" x14ac:dyDescent="0.3">
      <c r="C57" s="3" t="s">
        <v>487</v>
      </c>
      <c r="D57" s="3">
        <v>64</v>
      </c>
      <c r="E57" s="3" t="s">
        <v>487</v>
      </c>
      <c r="F57" s="3" t="s">
        <v>709</v>
      </c>
      <c r="G57" s="3" t="s">
        <v>480</v>
      </c>
      <c r="H57" s="3">
        <v>154</v>
      </c>
      <c r="I57" s="3" t="s">
        <v>467</v>
      </c>
      <c r="J57" s="3" t="s">
        <v>468</v>
      </c>
    </row>
    <row r="58" spans="3:10" x14ac:dyDescent="0.3">
      <c r="C58" s="56" t="s">
        <v>490</v>
      </c>
      <c r="D58" s="3">
        <v>65</v>
      </c>
      <c r="E58" s="3" t="s">
        <v>494</v>
      </c>
      <c r="F58" s="3" t="s">
        <v>495</v>
      </c>
      <c r="G58" s="54" t="s">
        <v>287</v>
      </c>
      <c r="H58" s="3">
        <v>155</v>
      </c>
      <c r="I58" s="3" t="s">
        <v>470</v>
      </c>
      <c r="J58" s="3" t="s">
        <v>471</v>
      </c>
    </row>
    <row r="59" spans="3:10" x14ac:dyDescent="0.3">
      <c r="C59" s="3" t="s">
        <v>120</v>
      </c>
      <c r="D59" s="3">
        <v>66</v>
      </c>
      <c r="E59" s="3" t="s">
        <v>120</v>
      </c>
      <c r="F59" s="3" t="s">
        <v>683</v>
      </c>
      <c r="G59" s="3" t="s">
        <v>484</v>
      </c>
      <c r="H59" s="3">
        <v>156</v>
      </c>
      <c r="I59" s="3" t="s">
        <v>476</v>
      </c>
      <c r="J59" s="3" t="s">
        <v>477</v>
      </c>
    </row>
    <row r="60" spans="3:10" x14ac:dyDescent="0.3">
      <c r="C60" s="3" t="s">
        <v>129</v>
      </c>
      <c r="D60" s="3">
        <v>67</v>
      </c>
      <c r="E60" s="3" t="s">
        <v>129</v>
      </c>
      <c r="F60" s="3" t="s">
        <v>710</v>
      </c>
      <c r="G60" s="54" t="s">
        <v>344</v>
      </c>
      <c r="H60" s="3">
        <v>157</v>
      </c>
      <c r="I60" s="3" t="s">
        <v>481</v>
      </c>
      <c r="J60" s="3" t="s">
        <v>482</v>
      </c>
    </row>
    <row r="61" spans="3:10" x14ac:dyDescent="0.3">
      <c r="C61" s="3" t="s">
        <v>130</v>
      </c>
      <c r="D61" s="3">
        <v>68</v>
      </c>
      <c r="E61" s="3" t="s">
        <v>130</v>
      </c>
      <c r="F61" s="3" t="s">
        <v>711</v>
      </c>
      <c r="G61" s="3" t="s">
        <v>155</v>
      </c>
      <c r="H61" s="3">
        <v>158</v>
      </c>
      <c r="I61" s="3" t="s">
        <v>485</v>
      </c>
      <c r="J61" s="3" t="s">
        <v>486</v>
      </c>
    </row>
    <row r="62" spans="3:10" x14ac:dyDescent="0.3">
      <c r="C62" s="3" t="s">
        <v>39</v>
      </c>
      <c r="D62" s="3">
        <v>69</v>
      </c>
      <c r="E62" s="3" t="s">
        <v>222</v>
      </c>
      <c r="F62" s="3" t="s">
        <v>74</v>
      </c>
      <c r="G62" s="3" t="s">
        <v>122</v>
      </c>
      <c r="H62" s="3">
        <v>159</v>
      </c>
      <c r="I62" s="3" t="s">
        <v>156</v>
      </c>
      <c r="J62" s="3" t="s">
        <v>164</v>
      </c>
    </row>
    <row r="63" spans="3:10" x14ac:dyDescent="0.3">
      <c r="C63" s="3" t="s">
        <v>121</v>
      </c>
      <c r="D63" s="3">
        <v>70</v>
      </c>
      <c r="E63" s="3" t="s">
        <v>127</v>
      </c>
      <c r="F63" s="3" t="s">
        <v>712</v>
      </c>
      <c r="G63" s="3" t="s">
        <v>114</v>
      </c>
      <c r="H63" s="3">
        <v>160</v>
      </c>
      <c r="I63" s="3" t="s">
        <v>489</v>
      </c>
      <c r="J63" s="3" t="s">
        <v>330</v>
      </c>
    </row>
    <row r="64" spans="3:10" x14ac:dyDescent="0.3">
      <c r="C64" s="3" t="s">
        <v>127</v>
      </c>
      <c r="D64" s="3">
        <v>71</v>
      </c>
      <c r="E64" s="3" t="s">
        <v>128</v>
      </c>
      <c r="F64" s="3" t="s">
        <v>713</v>
      </c>
      <c r="G64" s="53" t="s">
        <v>452</v>
      </c>
      <c r="H64" s="3">
        <v>161</v>
      </c>
      <c r="I64" s="3" t="s">
        <v>176</v>
      </c>
      <c r="J64" s="3" t="s">
        <v>208</v>
      </c>
    </row>
    <row r="65" spans="3:10" x14ac:dyDescent="0.3">
      <c r="C65" s="3" t="s">
        <v>128</v>
      </c>
      <c r="D65" s="3">
        <v>72</v>
      </c>
      <c r="E65" s="3" t="s">
        <v>685</v>
      </c>
      <c r="F65" s="3" t="s">
        <v>686</v>
      </c>
      <c r="G65" s="3" t="s">
        <v>328</v>
      </c>
      <c r="H65" s="3">
        <v>162</v>
      </c>
      <c r="I65" s="56" t="s">
        <v>492</v>
      </c>
      <c r="J65" s="3" t="s">
        <v>493</v>
      </c>
    </row>
    <row r="66" spans="3:10" x14ac:dyDescent="0.3">
      <c r="C66" s="3" t="s">
        <v>118</v>
      </c>
      <c r="D66" s="3">
        <v>73</v>
      </c>
      <c r="E66" s="3" t="s">
        <v>118</v>
      </c>
      <c r="F66" s="3" t="s">
        <v>700</v>
      </c>
      <c r="G66" s="3" t="s">
        <v>687</v>
      </c>
      <c r="H66" s="3">
        <v>163</v>
      </c>
      <c r="I66" s="3" t="s">
        <v>690</v>
      </c>
      <c r="J66" s="3" t="s">
        <v>331</v>
      </c>
    </row>
    <row r="67" spans="3:10" x14ac:dyDescent="0.3">
      <c r="C67" s="3" t="s">
        <v>224</v>
      </c>
      <c r="D67" s="3">
        <v>74</v>
      </c>
      <c r="E67" s="3" t="s">
        <v>224</v>
      </c>
      <c r="F67" s="3" t="s">
        <v>167</v>
      </c>
      <c r="G67" s="3" t="s">
        <v>688</v>
      </c>
      <c r="H67" s="3">
        <v>164</v>
      </c>
      <c r="I67" s="3" t="s">
        <v>105</v>
      </c>
      <c r="J67" s="3" t="s">
        <v>105</v>
      </c>
    </row>
    <row r="68" spans="3:10" x14ac:dyDescent="0.3">
      <c r="C68" s="3" t="s">
        <v>497</v>
      </c>
      <c r="D68" s="3">
        <v>75</v>
      </c>
      <c r="E68" s="3" t="s">
        <v>499</v>
      </c>
      <c r="F68" s="3" t="s">
        <v>204</v>
      </c>
      <c r="G68" s="3" t="s">
        <v>112</v>
      </c>
      <c r="H68" s="3">
        <v>165</v>
      </c>
      <c r="I68" s="3" t="s">
        <v>25</v>
      </c>
      <c r="J68" s="3" t="s">
        <v>181</v>
      </c>
    </row>
    <row r="69" spans="3:10" x14ac:dyDescent="0.3">
      <c r="C69" s="3" t="s">
        <v>212</v>
      </c>
      <c r="D69" s="3">
        <v>76</v>
      </c>
      <c r="E69" s="56"/>
      <c r="G69" s="3" t="s">
        <v>691</v>
      </c>
      <c r="H69" s="3">
        <v>166</v>
      </c>
      <c r="I69" s="3" t="s">
        <v>346</v>
      </c>
      <c r="J69" s="3" t="s">
        <v>345</v>
      </c>
    </row>
    <row r="70" spans="3:10" x14ac:dyDescent="0.3">
      <c r="C70" s="3" t="s">
        <v>63</v>
      </c>
      <c r="D70" s="3">
        <v>77</v>
      </c>
      <c r="E70" s="56"/>
      <c r="G70" s="3" t="s">
        <v>693</v>
      </c>
      <c r="H70" s="3">
        <v>167</v>
      </c>
      <c r="I70" s="3" t="s">
        <v>348</v>
      </c>
      <c r="J70" s="3" t="s">
        <v>347</v>
      </c>
    </row>
    <row r="71" spans="3:10" x14ac:dyDescent="0.3">
      <c r="C71" s="3" t="s">
        <v>61</v>
      </c>
      <c r="D71" s="3">
        <v>78</v>
      </c>
      <c r="G71" s="3" t="s">
        <v>695</v>
      </c>
      <c r="H71" s="3">
        <v>168</v>
      </c>
      <c r="I71" s="3" t="s">
        <v>279</v>
      </c>
      <c r="J71" s="3" t="s">
        <v>283</v>
      </c>
    </row>
    <row r="72" spans="3:10" x14ac:dyDescent="0.3">
      <c r="C72" s="3" t="s">
        <v>62</v>
      </c>
      <c r="D72" s="3">
        <v>79</v>
      </c>
      <c r="G72" s="3" t="s">
        <v>697</v>
      </c>
      <c r="H72" s="3">
        <v>169</v>
      </c>
      <c r="I72" s="3" t="s">
        <v>280</v>
      </c>
      <c r="J72" s="3" t="s">
        <v>206</v>
      </c>
    </row>
    <row r="73" spans="3:10" x14ac:dyDescent="0.3">
      <c r="C73" s="3" t="s">
        <v>35</v>
      </c>
      <c r="D73" s="3">
        <v>80</v>
      </c>
      <c r="G73" s="3" t="s">
        <v>223</v>
      </c>
      <c r="H73" s="3">
        <v>170</v>
      </c>
      <c r="I73" s="3" t="s">
        <v>278</v>
      </c>
      <c r="J73" s="3" t="s">
        <v>284</v>
      </c>
    </row>
    <row r="74" spans="3:10" x14ac:dyDescent="0.3">
      <c r="C74" s="3" t="s">
        <v>36</v>
      </c>
      <c r="D74" s="3">
        <v>81</v>
      </c>
      <c r="G74" s="3" t="s">
        <v>118</v>
      </c>
      <c r="H74" s="3">
        <v>171</v>
      </c>
      <c r="I74" s="3" t="s">
        <v>277</v>
      </c>
      <c r="J74" s="3" t="s">
        <v>282</v>
      </c>
    </row>
    <row r="75" spans="3:10" x14ac:dyDescent="0.3">
      <c r="C75" s="3" t="s">
        <v>55</v>
      </c>
      <c r="D75" s="3">
        <v>82</v>
      </c>
      <c r="G75" s="3" t="s">
        <v>178</v>
      </c>
      <c r="H75" s="3">
        <v>172</v>
      </c>
      <c r="I75" s="3" t="s">
        <v>276</v>
      </c>
      <c r="J75" s="3" t="s">
        <v>281</v>
      </c>
    </row>
    <row r="76" spans="3:10" x14ac:dyDescent="0.3">
      <c r="C76" s="3" t="s">
        <v>226</v>
      </c>
      <c r="D76" s="3">
        <v>83</v>
      </c>
      <c r="G76" s="3" t="s">
        <v>225</v>
      </c>
      <c r="H76" s="3">
        <v>173</v>
      </c>
      <c r="I76" s="3" t="s">
        <v>26</v>
      </c>
      <c r="J76" s="3" t="s">
        <v>204</v>
      </c>
    </row>
    <row r="77" spans="3:10" x14ac:dyDescent="0.3">
      <c r="C77" s="56" t="s">
        <v>557</v>
      </c>
      <c r="D77" s="3">
        <v>84</v>
      </c>
      <c r="G77" s="56" t="s">
        <v>492</v>
      </c>
      <c r="H77" s="3">
        <v>174</v>
      </c>
      <c r="I77" s="3" t="s">
        <v>27</v>
      </c>
      <c r="J77" s="3" t="s">
        <v>28</v>
      </c>
    </row>
    <row r="78" spans="3:10" x14ac:dyDescent="0.3">
      <c r="C78" s="3" t="s">
        <v>1085</v>
      </c>
      <c r="D78" s="3">
        <v>85</v>
      </c>
      <c r="G78" s="3" t="s">
        <v>105</v>
      </c>
      <c r="H78" s="3">
        <v>175</v>
      </c>
      <c r="I78" s="3" t="s">
        <v>106</v>
      </c>
      <c r="J78" s="3" t="s">
        <v>205</v>
      </c>
    </row>
    <row r="79" spans="3:10" x14ac:dyDescent="0.3">
      <c r="G79" s="3" t="s">
        <v>25</v>
      </c>
      <c r="H79" s="3">
        <v>176</v>
      </c>
    </row>
    <row r="80" spans="3:10" x14ac:dyDescent="0.3">
      <c r="G80" s="3" t="s">
        <v>321</v>
      </c>
      <c r="H80" s="3">
        <v>177</v>
      </c>
    </row>
    <row r="81" spans="7:8" x14ac:dyDescent="0.3">
      <c r="G81" s="3" t="s">
        <v>703</v>
      </c>
      <c r="H81" s="3">
        <v>178</v>
      </c>
    </row>
  </sheetData>
  <sortState xmlns:xlrd2="http://schemas.microsoft.com/office/spreadsheetml/2017/richdata2" ref="I3:J52">
    <sortCondition ref="I3:I52"/>
  </sortState>
  <phoneticPr fontId="2" type="noConversion"/>
  <dataValidations count="7">
    <dataValidation type="list" allowBlank="1" showInputMessage="1" showErrorMessage="1" sqref="I46" xr:uid="{17EEE5FE-1253-45E5-BA0D-8995FD31B586}">
      <formula1>$I$4:$I$50</formula1>
    </dataValidation>
    <dataValidation type="list" allowBlank="1" showInputMessage="1" showErrorMessage="1" sqref="I77" xr:uid="{10ED2B41-F496-426F-B379-A1DA17CBFB9E}">
      <formula1>$G$3:$G$48</formula1>
    </dataValidation>
    <dataValidation type="list" allowBlank="1" showInputMessage="1" showErrorMessage="1" sqref="E69:E70" xr:uid="{065D5241-506F-459C-A7E6-203112D27674}">
      <formula1>$C$3:$C$58</formula1>
    </dataValidation>
    <dataValidation type="list" allowBlank="1" showInputMessage="1" showErrorMessage="1" sqref="C74" xr:uid="{2CB26509-45B0-43DF-9D16-B7A39D669053}">
      <formula1>$C$1:$C$50</formula1>
    </dataValidation>
    <dataValidation type="list" allowBlank="1" showInputMessage="1" showErrorMessage="1" sqref="G44" xr:uid="{1CE12F8F-7E36-4221-A5B5-ACD2CD3F24BE}">
      <formula1>$G$4:$G$39</formula1>
    </dataValidation>
    <dataValidation type="list" allowBlank="1" showInputMessage="1" showErrorMessage="1" sqref="G42 G8:G9" xr:uid="{ACE89D22-3AD3-4099-946C-8305AE0A3800}">
      <formula1>$E$4:$E$38</formula1>
    </dataValidation>
    <dataValidation type="list" allowBlank="1" showInputMessage="1" showErrorMessage="1" sqref="G81" xr:uid="{E7546DD4-6B88-431E-826A-72CEC0199972}">
      <formula1>$E$3:$E$75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2"/>
  <sheetViews>
    <sheetView topLeftCell="C11" workbookViewId="0">
      <selection activeCell="H28" sqref="H28"/>
    </sheetView>
  </sheetViews>
  <sheetFormatPr defaultRowHeight="14.4" x14ac:dyDescent="0.3"/>
  <cols>
    <col min="1" max="1" width="31.44140625" hidden="1" customWidth="1"/>
    <col min="2" max="2" width="15.21875" hidden="1" customWidth="1"/>
    <col min="3" max="3" width="67.5546875" customWidth="1"/>
    <col min="8" max="8" width="37.33203125" customWidth="1"/>
  </cols>
  <sheetData>
    <row r="1" spans="1:8" x14ac:dyDescent="0.3">
      <c r="A1" t="s">
        <v>0</v>
      </c>
      <c r="B1" t="s">
        <v>1</v>
      </c>
      <c r="C1" t="str">
        <f>_xlfn.CONCAT(A1,B1)</f>
        <v>GrupoEquipamento</v>
      </c>
      <c r="D1" t="s">
        <v>578</v>
      </c>
      <c r="H1" t="s">
        <v>338</v>
      </c>
    </row>
    <row r="2" spans="1:8" ht="15.6" customHeight="1" x14ac:dyDescent="0.3">
      <c r="A2" t="s">
        <v>131</v>
      </c>
      <c r="B2" t="s">
        <v>333</v>
      </c>
      <c r="C2" t="s">
        <v>1096</v>
      </c>
      <c r="D2" t="s">
        <v>586</v>
      </c>
      <c r="H2" s="10" t="s">
        <v>337</v>
      </c>
    </row>
    <row r="3" spans="1:8" x14ac:dyDescent="0.3">
      <c r="A3" t="s">
        <v>131</v>
      </c>
      <c r="B3" t="s">
        <v>21</v>
      </c>
      <c r="C3" t="s">
        <v>1097</v>
      </c>
      <c r="D3" t="s">
        <v>586</v>
      </c>
    </row>
    <row r="4" spans="1:8" x14ac:dyDescent="0.3">
      <c r="A4" t="s">
        <v>102</v>
      </c>
      <c r="B4" t="s">
        <v>151</v>
      </c>
      <c r="C4" t="s">
        <v>1118</v>
      </c>
      <c r="D4" t="s">
        <v>596</v>
      </c>
    </row>
    <row r="5" spans="1:8" x14ac:dyDescent="0.3">
      <c r="A5" t="s">
        <v>102</v>
      </c>
      <c r="B5" t="s">
        <v>154</v>
      </c>
      <c r="C5" t="s">
        <v>1100</v>
      </c>
      <c r="D5" t="s">
        <v>588</v>
      </c>
    </row>
    <row r="6" spans="1:8" x14ac:dyDescent="0.3">
      <c r="A6" t="s">
        <v>143</v>
      </c>
      <c r="B6" t="s">
        <v>150</v>
      </c>
      <c r="C6" t="s">
        <v>1108</v>
      </c>
      <c r="D6" s="26" t="s">
        <v>581</v>
      </c>
    </row>
    <row r="7" spans="1:8" x14ac:dyDescent="0.3">
      <c r="A7" t="s">
        <v>143</v>
      </c>
      <c r="B7" t="s">
        <v>21</v>
      </c>
      <c r="C7" t="s">
        <v>1092</v>
      </c>
      <c r="D7" t="s">
        <v>583</v>
      </c>
    </row>
    <row r="8" spans="1:8" x14ac:dyDescent="0.3">
      <c r="A8" t="s">
        <v>143</v>
      </c>
      <c r="B8" t="s">
        <v>154</v>
      </c>
      <c r="C8" t="s">
        <v>1087</v>
      </c>
      <c r="D8" t="s">
        <v>579</v>
      </c>
    </row>
    <row r="9" spans="1:8" x14ac:dyDescent="0.3">
      <c r="A9" t="s">
        <v>143</v>
      </c>
      <c r="B9" t="s">
        <v>276</v>
      </c>
      <c r="C9" t="s">
        <v>1115</v>
      </c>
      <c r="D9" t="s">
        <v>596</v>
      </c>
    </row>
    <row r="10" spans="1:8" x14ac:dyDescent="0.3">
      <c r="A10" t="s">
        <v>143</v>
      </c>
      <c r="B10" t="s">
        <v>279</v>
      </c>
      <c r="C10" t="s">
        <v>1088</v>
      </c>
      <c r="D10" t="s">
        <v>580</v>
      </c>
    </row>
    <row r="11" spans="1:8" x14ac:dyDescent="0.3">
      <c r="A11" t="s">
        <v>143</v>
      </c>
      <c r="B11" t="s">
        <v>149</v>
      </c>
      <c r="C11" t="s">
        <v>1089</v>
      </c>
      <c r="D11" t="s">
        <v>581</v>
      </c>
    </row>
    <row r="12" spans="1:8" x14ac:dyDescent="0.3">
      <c r="A12" t="s">
        <v>143</v>
      </c>
      <c r="B12" t="s">
        <v>141</v>
      </c>
      <c r="C12" t="s">
        <v>1116</v>
      </c>
      <c r="D12" t="s">
        <v>582</v>
      </c>
    </row>
    <row r="13" spans="1:8" x14ac:dyDescent="0.3">
      <c r="A13" t="s">
        <v>143</v>
      </c>
      <c r="B13" t="s">
        <v>101</v>
      </c>
      <c r="C13" t="s">
        <v>1091</v>
      </c>
      <c r="D13" t="s">
        <v>582</v>
      </c>
    </row>
    <row r="14" spans="1:8" x14ac:dyDescent="0.3">
      <c r="A14" t="s">
        <v>143</v>
      </c>
      <c r="B14" t="s">
        <v>25</v>
      </c>
      <c r="C14" t="s">
        <v>1090</v>
      </c>
      <c r="D14" t="s">
        <v>582</v>
      </c>
    </row>
    <row r="15" spans="1:8" x14ac:dyDescent="0.3">
      <c r="A15" t="s">
        <v>144</v>
      </c>
      <c r="B15" t="s">
        <v>150</v>
      </c>
      <c r="C15" t="s">
        <v>1103</v>
      </c>
      <c r="D15" t="s">
        <v>597</v>
      </c>
    </row>
    <row r="16" spans="1:8" x14ac:dyDescent="0.3">
      <c r="A16" t="s">
        <v>144</v>
      </c>
      <c r="B16" t="s">
        <v>21</v>
      </c>
      <c r="C16" t="s">
        <v>1095</v>
      </c>
      <c r="D16" t="s">
        <v>585</v>
      </c>
    </row>
    <row r="17" spans="1:4" x14ac:dyDescent="0.3">
      <c r="A17" t="s">
        <v>144</v>
      </c>
      <c r="B17" t="s">
        <v>154</v>
      </c>
      <c r="C17" t="s">
        <v>1094</v>
      </c>
      <c r="D17" t="s">
        <v>585</v>
      </c>
    </row>
    <row r="18" spans="1:4" x14ac:dyDescent="0.3">
      <c r="A18" t="s">
        <v>144</v>
      </c>
      <c r="B18" t="s">
        <v>276</v>
      </c>
      <c r="C18" t="s">
        <v>1113</v>
      </c>
      <c r="D18" t="s">
        <v>595</v>
      </c>
    </row>
    <row r="19" spans="1:4" x14ac:dyDescent="0.3">
      <c r="A19" t="s">
        <v>144</v>
      </c>
      <c r="B19" t="s">
        <v>279</v>
      </c>
      <c r="C19" t="s">
        <v>1120</v>
      </c>
      <c r="D19" t="s">
        <v>1121</v>
      </c>
    </row>
    <row r="20" spans="1:4" x14ac:dyDescent="0.3">
      <c r="A20" t="s">
        <v>103</v>
      </c>
      <c r="B20" t="s">
        <v>150</v>
      </c>
      <c r="C20" t="s">
        <v>1093</v>
      </c>
      <c r="D20" t="s">
        <v>584</v>
      </c>
    </row>
    <row r="21" spans="1:4" x14ac:dyDescent="0.3">
      <c r="A21" t="s">
        <v>133</v>
      </c>
      <c r="B21" t="s">
        <v>21</v>
      </c>
      <c r="C21" t="s">
        <v>1102</v>
      </c>
      <c r="D21" t="s">
        <v>589</v>
      </c>
    </row>
    <row r="22" spans="1:4" x14ac:dyDescent="0.3">
      <c r="A22" t="s">
        <v>133</v>
      </c>
      <c r="B22" t="s">
        <v>150</v>
      </c>
      <c r="C22" t="s">
        <v>1112</v>
      </c>
      <c r="D22" t="s">
        <v>593</v>
      </c>
    </row>
    <row r="23" spans="1:4" x14ac:dyDescent="0.3">
      <c r="A23" t="s">
        <v>322</v>
      </c>
      <c r="B23" t="s">
        <v>440</v>
      </c>
      <c r="C23" t="s">
        <v>1106</v>
      </c>
      <c r="D23" t="s">
        <v>596</v>
      </c>
    </row>
    <row r="24" spans="1:4" x14ac:dyDescent="0.3">
      <c r="A24" t="s">
        <v>104</v>
      </c>
      <c r="B24" t="s">
        <v>153</v>
      </c>
      <c r="C24" t="s">
        <v>1117</v>
      </c>
      <c r="D24" t="s">
        <v>592</v>
      </c>
    </row>
    <row r="25" spans="1:4" x14ac:dyDescent="0.3">
      <c r="A25" t="s">
        <v>104</v>
      </c>
      <c r="B25" t="s">
        <v>443</v>
      </c>
      <c r="C25" t="s">
        <v>1105</v>
      </c>
      <c r="D25" t="s">
        <v>590</v>
      </c>
    </row>
    <row r="26" spans="1:4" x14ac:dyDescent="0.3">
      <c r="A26" t="s">
        <v>332</v>
      </c>
      <c r="B26" t="s">
        <v>370</v>
      </c>
      <c r="C26" t="s">
        <v>1114</v>
      </c>
      <c r="D26" t="s">
        <v>590</v>
      </c>
    </row>
    <row r="27" spans="1:4" x14ac:dyDescent="0.3">
      <c r="A27" t="s">
        <v>332</v>
      </c>
      <c r="B27" t="s">
        <v>443</v>
      </c>
      <c r="C27" t="s">
        <v>1109</v>
      </c>
      <c r="D27" t="s">
        <v>590</v>
      </c>
    </row>
    <row r="28" spans="1:4" x14ac:dyDescent="0.3">
      <c r="A28" t="s">
        <v>332</v>
      </c>
      <c r="B28" t="s">
        <v>445</v>
      </c>
      <c r="C28" t="s">
        <v>1122</v>
      </c>
      <c r="D28" t="s">
        <v>581</v>
      </c>
    </row>
    <row r="29" spans="1:4" x14ac:dyDescent="0.3">
      <c r="A29" t="s">
        <v>332</v>
      </c>
      <c r="B29" t="s">
        <v>445</v>
      </c>
      <c r="C29" t="s">
        <v>1098</v>
      </c>
      <c r="D29" t="s">
        <v>581</v>
      </c>
    </row>
    <row r="30" spans="1:4" x14ac:dyDescent="0.3">
      <c r="A30" t="s">
        <v>332</v>
      </c>
      <c r="B30" t="s">
        <v>141</v>
      </c>
      <c r="C30" t="s">
        <v>1099</v>
      </c>
      <c r="D30" t="s">
        <v>587</v>
      </c>
    </row>
    <row r="31" spans="1:4" x14ac:dyDescent="0.3">
      <c r="A31" t="s">
        <v>17</v>
      </c>
      <c r="B31" t="s">
        <v>328</v>
      </c>
      <c r="C31" t="s">
        <v>1101</v>
      </c>
      <c r="D31" s="26" t="s">
        <v>592</v>
      </c>
    </row>
    <row r="32" spans="1:4" x14ac:dyDescent="0.3">
      <c r="A32" t="s">
        <v>286</v>
      </c>
      <c r="B32" t="s">
        <v>154</v>
      </c>
      <c r="C32" t="s">
        <v>1119</v>
      </c>
      <c r="D32" t="s">
        <v>590</v>
      </c>
    </row>
    <row r="33" spans="1:4" x14ac:dyDescent="0.3">
      <c r="A33" t="s">
        <v>286</v>
      </c>
      <c r="B33" t="s">
        <v>154</v>
      </c>
      <c r="C33" t="s">
        <v>1123</v>
      </c>
      <c r="D33" t="s">
        <v>590</v>
      </c>
    </row>
    <row r="34" spans="1:4" x14ac:dyDescent="0.3">
      <c r="A34" t="s">
        <v>286</v>
      </c>
      <c r="B34" t="s">
        <v>141</v>
      </c>
      <c r="C34" t="s">
        <v>1110</v>
      </c>
      <c r="D34" t="s">
        <v>594</v>
      </c>
    </row>
    <row r="35" spans="1:4" x14ac:dyDescent="0.3">
      <c r="A35" t="s">
        <v>286</v>
      </c>
      <c r="B35" t="s">
        <v>443</v>
      </c>
      <c r="C35" t="s">
        <v>1111</v>
      </c>
      <c r="D35" t="s">
        <v>594</v>
      </c>
    </row>
    <row r="36" spans="1:4" x14ac:dyDescent="0.3">
      <c r="A36" t="s">
        <v>286</v>
      </c>
      <c r="B36" t="s">
        <v>101</v>
      </c>
      <c r="C36" t="s">
        <v>1104</v>
      </c>
      <c r="D36" t="s">
        <v>590</v>
      </c>
    </row>
    <row r="37" spans="1:4" x14ac:dyDescent="0.3">
      <c r="A37" t="s">
        <v>286</v>
      </c>
      <c r="B37" t="s">
        <v>446</v>
      </c>
      <c r="C37" t="s">
        <v>1107</v>
      </c>
      <c r="D37" t="s">
        <v>591</v>
      </c>
    </row>
    <row r="38" spans="1:4" x14ac:dyDescent="0.3">
      <c r="A38" t="s">
        <v>286</v>
      </c>
      <c r="B38" t="s">
        <v>445</v>
      </c>
    </row>
    <row r="39" spans="1:4" x14ac:dyDescent="0.3">
      <c r="A39" t="s">
        <v>155</v>
      </c>
      <c r="B39" t="s">
        <v>432</v>
      </c>
    </row>
    <row r="40" spans="1:4" x14ac:dyDescent="0.3">
      <c r="A40" t="s">
        <v>112</v>
      </c>
      <c r="B40" t="s">
        <v>445</v>
      </c>
    </row>
    <row r="41" spans="1:4" x14ac:dyDescent="0.3">
      <c r="A41" t="s">
        <v>112</v>
      </c>
      <c r="B41" t="s">
        <v>176</v>
      </c>
    </row>
    <row r="42" spans="1:4" x14ac:dyDescent="0.3">
      <c r="A42" t="s">
        <v>112</v>
      </c>
      <c r="B42" t="s">
        <v>15</v>
      </c>
    </row>
  </sheetData>
  <sortState xmlns:xlrd2="http://schemas.microsoft.com/office/spreadsheetml/2017/richdata2" ref="A2:D42">
    <sortCondition ref="A2:A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registo_ativo-CDs (1)</vt:lpstr>
      <vt:lpstr>Checklist</vt:lpstr>
      <vt:lpstr>Localizacoes</vt:lpstr>
      <vt:lpstr>ID</vt:lpstr>
      <vt:lpstr>Imagens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</dc:creator>
  <cp:lastModifiedBy>Alberto Macamo</cp:lastModifiedBy>
  <dcterms:created xsi:type="dcterms:W3CDTF">2015-06-05T18:17:20Z</dcterms:created>
  <dcterms:modified xsi:type="dcterms:W3CDTF">2025-01-02T10:00:52Z</dcterms:modified>
</cp:coreProperties>
</file>